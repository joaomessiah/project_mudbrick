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biasverwoert/Documents/Archaeology/DPA_Qgis_Workspace/DPA_Risk_Assessment/"/>
    </mc:Choice>
  </mc:AlternateContent>
  <xr:revisionPtr revIDLastSave="0" documentId="8_{5D3A123D-253B-674C-B516-B689B5898EA4}" xr6:coauthVersionLast="47" xr6:coauthVersionMax="47" xr10:uidLastSave="{00000000-0000-0000-0000-000000000000}"/>
  <bookViews>
    <workbookView xWindow="0" yWindow="600" windowWidth="40960" windowHeight="23460" activeTab="3" xr2:uid="{00000000-000D-0000-FFFF-FFFF00000000}"/>
  </bookViews>
  <sheets>
    <sheet name="100m_By_GISNo_Merged" sheetId="4" r:id="rId1"/>
    <sheet name="250m_By_GISNo_Merged" sheetId="5" r:id="rId2"/>
    <sheet name="500m_By_GISNo_Merged" sheetId="6" r:id="rId3"/>
    <sheet name="GISNo_Points_Average" sheetId="7" r:id="rId4"/>
  </sheets>
  <definedNames>
    <definedName name="_xlnm._FilterDatabase" localSheetId="0" hidden="1">'100m_By_GISNo_Merged'!$A$1:$S$440</definedName>
    <definedName name="_xlnm._FilterDatabase" localSheetId="1" hidden="1">'250m_By_GISNo_Merged'!$A$1:$S$440</definedName>
    <definedName name="_xlnm._FilterDatabase" localSheetId="2" hidden="1">'500m_By_GISNo_Merged'!$A$1:$S$440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0" i="7" l="1"/>
  <c r="W440" i="7"/>
  <c r="Q440" i="7"/>
  <c r="AC439" i="7"/>
  <c r="W439" i="7"/>
  <c r="Q439" i="7"/>
  <c r="AC438" i="7"/>
  <c r="W438" i="7"/>
  <c r="Q438" i="7"/>
  <c r="AC437" i="7"/>
  <c r="W437" i="7"/>
  <c r="Q437" i="7"/>
  <c r="AC436" i="7"/>
  <c r="W436" i="7"/>
  <c r="Q436" i="7"/>
  <c r="AC435" i="7"/>
  <c r="W435" i="7"/>
  <c r="Q435" i="7"/>
  <c r="AC434" i="7"/>
  <c r="W434" i="7"/>
  <c r="Q434" i="7"/>
  <c r="AC433" i="7"/>
  <c r="W433" i="7"/>
  <c r="Q433" i="7"/>
  <c r="AC432" i="7"/>
  <c r="W432" i="7"/>
  <c r="Q432" i="7"/>
  <c r="AC431" i="7"/>
  <c r="W431" i="7"/>
  <c r="Q431" i="7"/>
  <c r="AC430" i="7"/>
  <c r="W430" i="7"/>
  <c r="Q430" i="7"/>
  <c r="AC429" i="7"/>
  <c r="W429" i="7"/>
  <c r="Q429" i="7"/>
  <c r="AC428" i="7"/>
  <c r="W428" i="7"/>
  <c r="Q428" i="7"/>
  <c r="AC427" i="7"/>
  <c r="W427" i="7"/>
  <c r="Q427" i="7"/>
  <c r="AC426" i="7"/>
  <c r="W426" i="7"/>
  <c r="Q426" i="7"/>
  <c r="AC425" i="7"/>
  <c r="W425" i="7"/>
  <c r="Q425" i="7"/>
  <c r="AC424" i="7"/>
  <c r="W424" i="7"/>
  <c r="Q424" i="7"/>
  <c r="AD424" i="7" s="1"/>
  <c r="AC423" i="7"/>
  <c r="W423" i="7"/>
  <c r="Q423" i="7"/>
  <c r="AC422" i="7"/>
  <c r="W422" i="7"/>
  <c r="Q422" i="7"/>
  <c r="AC421" i="7"/>
  <c r="W421" i="7"/>
  <c r="Q421" i="7"/>
  <c r="AC420" i="7"/>
  <c r="W420" i="7"/>
  <c r="Q420" i="7"/>
  <c r="AC419" i="7"/>
  <c r="W419" i="7"/>
  <c r="Q419" i="7"/>
  <c r="AC418" i="7"/>
  <c r="W418" i="7"/>
  <c r="Q418" i="7"/>
  <c r="AC417" i="7"/>
  <c r="W417" i="7"/>
  <c r="Q417" i="7"/>
  <c r="AC416" i="7"/>
  <c r="W416" i="7"/>
  <c r="Q416" i="7"/>
  <c r="AC415" i="7"/>
  <c r="W415" i="7"/>
  <c r="Q415" i="7"/>
  <c r="AC414" i="7"/>
  <c r="W414" i="7"/>
  <c r="Q414" i="7"/>
  <c r="AC413" i="7"/>
  <c r="W413" i="7"/>
  <c r="Q413" i="7"/>
  <c r="AC412" i="7"/>
  <c r="W412" i="7"/>
  <c r="Q412" i="7"/>
  <c r="AC411" i="7"/>
  <c r="W411" i="7"/>
  <c r="Q411" i="7"/>
  <c r="AC410" i="7"/>
  <c r="W410" i="7"/>
  <c r="Q410" i="7"/>
  <c r="AC409" i="7"/>
  <c r="W409" i="7"/>
  <c r="Q409" i="7"/>
  <c r="AD409" i="7" s="1"/>
  <c r="AC408" i="7"/>
  <c r="W408" i="7"/>
  <c r="Q408" i="7"/>
  <c r="AD408" i="7" s="1"/>
  <c r="AC407" i="7"/>
  <c r="W407" i="7"/>
  <c r="Q407" i="7"/>
  <c r="AC406" i="7"/>
  <c r="W406" i="7"/>
  <c r="Q406" i="7"/>
  <c r="AC405" i="7"/>
  <c r="W405" i="7"/>
  <c r="Q405" i="7"/>
  <c r="AC404" i="7"/>
  <c r="W404" i="7"/>
  <c r="Q404" i="7"/>
  <c r="AC403" i="7"/>
  <c r="W403" i="7"/>
  <c r="Q403" i="7"/>
  <c r="AC402" i="7"/>
  <c r="W402" i="7"/>
  <c r="Q402" i="7"/>
  <c r="AC401" i="7"/>
  <c r="W401" i="7"/>
  <c r="Q401" i="7"/>
  <c r="AC400" i="7"/>
  <c r="W400" i="7"/>
  <c r="Q400" i="7"/>
  <c r="AC399" i="7"/>
  <c r="W399" i="7"/>
  <c r="Q399" i="7"/>
  <c r="AC398" i="7"/>
  <c r="W398" i="7"/>
  <c r="Q398" i="7"/>
  <c r="AC397" i="7"/>
  <c r="W397" i="7"/>
  <c r="Q397" i="7"/>
  <c r="AC396" i="7"/>
  <c r="W396" i="7"/>
  <c r="Q396" i="7"/>
  <c r="AC395" i="7"/>
  <c r="W395" i="7"/>
  <c r="Q395" i="7"/>
  <c r="AC394" i="7"/>
  <c r="W394" i="7"/>
  <c r="Q394" i="7"/>
  <c r="AC393" i="7"/>
  <c r="W393" i="7"/>
  <c r="Q393" i="7"/>
  <c r="AD393" i="7" s="1"/>
  <c r="AC392" i="7"/>
  <c r="W392" i="7"/>
  <c r="Q392" i="7"/>
  <c r="AD392" i="7" s="1"/>
  <c r="AC391" i="7"/>
  <c r="W391" i="7"/>
  <c r="Q391" i="7"/>
  <c r="AC390" i="7"/>
  <c r="W390" i="7"/>
  <c r="Q390" i="7"/>
  <c r="AC389" i="7"/>
  <c r="W389" i="7"/>
  <c r="Q389" i="7"/>
  <c r="AC388" i="7"/>
  <c r="W388" i="7"/>
  <c r="Q388" i="7"/>
  <c r="AC387" i="7"/>
  <c r="W387" i="7"/>
  <c r="Q387" i="7"/>
  <c r="AC386" i="7"/>
  <c r="W386" i="7"/>
  <c r="Q386" i="7"/>
  <c r="AC385" i="7"/>
  <c r="W385" i="7"/>
  <c r="Q385" i="7"/>
  <c r="AC384" i="7"/>
  <c r="W384" i="7"/>
  <c r="Q384" i="7"/>
  <c r="AC383" i="7"/>
  <c r="W383" i="7"/>
  <c r="Q383" i="7"/>
  <c r="AC382" i="7"/>
  <c r="W382" i="7"/>
  <c r="Q382" i="7"/>
  <c r="AC381" i="7"/>
  <c r="W381" i="7"/>
  <c r="Q381" i="7"/>
  <c r="AC380" i="7"/>
  <c r="W380" i="7"/>
  <c r="Q380" i="7"/>
  <c r="AC379" i="7"/>
  <c r="W379" i="7"/>
  <c r="Q379" i="7"/>
  <c r="AC378" i="7"/>
  <c r="W378" i="7"/>
  <c r="Q378" i="7"/>
  <c r="AC377" i="7"/>
  <c r="W377" i="7"/>
  <c r="Q377" i="7"/>
  <c r="AD377" i="7" s="1"/>
  <c r="AC376" i="7"/>
  <c r="W376" i="7"/>
  <c r="Q376" i="7"/>
  <c r="AD376" i="7" s="1"/>
  <c r="AC375" i="7"/>
  <c r="W375" i="7"/>
  <c r="Q375" i="7"/>
  <c r="AC374" i="7"/>
  <c r="W374" i="7"/>
  <c r="Q374" i="7"/>
  <c r="AC373" i="7"/>
  <c r="W373" i="7"/>
  <c r="Q373" i="7"/>
  <c r="AC372" i="7"/>
  <c r="W372" i="7"/>
  <c r="Q372" i="7"/>
  <c r="AC371" i="7"/>
  <c r="W371" i="7"/>
  <c r="Q371" i="7"/>
  <c r="AC370" i="7"/>
  <c r="W370" i="7"/>
  <c r="Q370" i="7"/>
  <c r="AC369" i="7"/>
  <c r="W369" i="7"/>
  <c r="Q369" i="7"/>
  <c r="AC368" i="7"/>
  <c r="W368" i="7"/>
  <c r="Q368" i="7"/>
  <c r="AC367" i="7"/>
  <c r="W367" i="7"/>
  <c r="Q367" i="7"/>
  <c r="AC366" i="7"/>
  <c r="W366" i="7"/>
  <c r="Q366" i="7"/>
  <c r="AC365" i="7"/>
  <c r="W365" i="7"/>
  <c r="Q365" i="7"/>
  <c r="AC364" i="7"/>
  <c r="W364" i="7"/>
  <c r="Q364" i="7"/>
  <c r="AC363" i="7"/>
  <c r="W363" i="7"/>
  <c r="Q363" i="7"/>
  <c r="AC362" i="7"/>
  <c r="W362" i="7"/>
  <c r="Q362" i="7"/>
  <c r="AD362" i="7" s="1"/>
  <c r="AC361" i="7"/>
  <c r="W361" i="7"/>
  <c r="Q361" i="7"/>
  <c r="AD361" i="7" s="1"/>
  <c r="AC360" i="7"/>
  <c r="W360" i="7"/>
  <c r="Q360" i="7"/>
  <c r="AD360" i="7" s="1"/>
  <c r="AC359" i="7"/>
  <c r="W359" i="7"/>
  <c r="Q359" i="7"/>
  <c r="AC358" i="7"/>
  <c r="W358" i="7"/>
  <c r="Q358" i="7"/>
  <c r="AC357" i="7"/>
  <c r="W357" i="7"/>
  <c r="Q357" i="7"/>
  <c r="AC356" i="7"/>
  <c r="W356" i="7"/>
  <c r="Q356" i="7"/>
  <c r="AC355" i="7"/>
  <c r="W355" i="7"/>
  <c r="Q355" i="7"/>
  <c r="AC354" i="7"/>
  <c r="W354" i="7"/>
  <c r="Q354" i="7"/>
  <c r="AC353" i="7"/>
  <c r="W353" i="7"/>
  <c r="Q353" i="7"/>
  <c r="AC352" i="7"/>
  <c r="W352" i="7"/>
  <c r="Q352" i="7"/>
  <c r="AC351" i="7"/>
  <c r="W351" i="7"/>
  <c r="Q351" i="7"/>
  <c r="AC350" i="7"/>
  <c r="W350" i="7"/>
  <c r="Q350" i="7"/>
  <c r="AC349" i="7"/>
  <c r="W349" i="7"/>
  <c r="Q349" i="7"/>
  <c r="AC348" i="7"/>
  <c r="W348" i="7"/>
  <c r="Q348" i="7"/>
  <c r="AC347" i="7"/>
  <c r="W347" i="7"/>
  <c r="Q347" i="7"/>
  <c r="AC346" i="7"/>
  <c r="W346" i="7"/>
  <c r="Q346" i="7"/>
  <c r="AC345" i="7"/>
  <c r="W345" i="7"/>
  <c r="Q345" i="7"/>
  <c r="AD345" i="7" s="1"/>
  <c r="AC344" i="7"/>
  <c r="W344" i="7"/>
  <c r="Q344" i="7"/>
  <c r="AD344" i="7" s="1"/>
  <c r="AC343" i="7"/>
  <c r="W343" i="7"/>
  <c r="Q343" i="7"/>
  <c r="AC342" i="7"/>
  <c r="W342" i="7"/>
  <c r="Q342" i="7"/>
  <c r="AC341" i="7"/>
  <c r="W341" i="7"/>
  <c r="Q341" i="7"/>
  <c r="AC340" i="7"/>
  <c r="W340" i="7"/>
  <c r="Q340" i="7"/>
  <c r="AC339" i="7"/>
  <c r="W339" i="7"/>
  <c r="Q339" i="7"/>
  <c r="AC338" i="7"/>
  <c r="W338" i="7"/>
  <c r="Q338" i="7"/>
  <c r="AC337" i="7"/>
  <c r="W337" i="7"/>
  <c r="Q337" i="7"/>
  <c r="AC336" i="7"/>
  <c r="W336" i="7"/>
  <c r="Q336" i="7"/>
  <c r="AC335" i="7"/>
  <c r="W335" i="7"/>
  <c r="Q335" i="7"/>
  <c r="AC334" i="7"/>
  <c r="W334" i="7"/>
  <c r="Q334" i="7"/>
  <c r="AC333" i="7"/>
  <c r="W333" i="7"/>
  <c r="Q333" i="7"/>
  <c r="AC332" i="7"/>
  <c r="W332" i="7"/>
  <c r="Q332" i="7"/>
  <c r="AC331" i="7"/>
  <c r="W331" i="7"/>
  <c r="Q331" i="7"/>
  <c r="AC330" i="7"/>
  <c r="W330" i="7"/>
  <c r="Q330" i="7"/>
  <c r="AC329" i="7"/>
  <c r="W329" i="7"/>
  <c r="Q329" i="7"/>
  <c r="AD329" i="7" s="1"/>
  <c r="AC328" i="7"/>
  <c r="W328" i="7"/>
  <c r="Q328" i="7"/>
  <c r="AD328" i="7" s="1"/>
  <c r="AC327" i="7"/>
  <c r="W327" i="7"/>
  <c r="Q327" i="7"/>
  <c r="AC326" i="7"/>
  <c r="W326" i="7"/>
  <c r="Q326" i="7"/>
  <c r="AC325" i="7"/>
  <c r="W325" i="7"/>
  <c r="Q325" i="7"/>
  <c r="AC324" i="7"/>
  <c r="W324" i="7"/>
  <c r="Q324" i="7"/>
  <c r="AC323" i="7"/>
  <c r="W323" i="7"/>
  <c r="Q323" i="7"/>
  <c r="AC322" i="7"/>
  <c r="W322" i="7"/>
  <c r="Q322" i="7"/>
  <c r="AC321" i="7"/>
  <c r="W321" i="7"/>
  <c r="Q321" i="7"/>
  <c r="AC320" i="7"/>
  <c r="W320" i="7"/>
  <c r="Q320" i="7"/>
  <c r="AC319" i="7"/>
  <c r="W319" i="7"/>
  <c r="Q319" i="7"/>
  <c r="AC318" i="7"/>
  <c r="W318" i="7"/>
  <c r="Q318" i="7"/>
  <c r="AC317" i="7"/>
  <c r="W317" i="7"/>
  <c r="Q317" i="7"/>
  <c r="AC316" i="7"/>
  <c r="W316" i="7"/>
  <c r="Q316" i="7"/>
  <c r="AC315" i="7"/>
  <c r="W315" i="7"/>
  <c r="Q315" i="7"/>
  <c r="AC314" i="7"/>
  <c r="W314" i="7"/>
  <c r="Q314" i="7"/>
  <c r="AC313" i="7"/>
  <c r="W313" i="7"/>
  <c r="Q313" i="7"/>
  <c r="AD313" i="7" s="1"/>
  <c r="AC312" i="7"/>
  <c r="W312" i="7"/>
  <c r="Q312" i="7"/>
  <c r="AD312" i="7" s="1"/>
  <c r="AC311" i="7"/>
  <c r="W311" i="7"/>
  <c r="Q311" i="7"/>
  <c r="AC310" i="7"/>
  <c r="W310" i="7"/>
  <c r="Q310" i="7"/>
  <c r="AC309" i="7"/>
  <c r="W309" i="7"/>
  <c r="Q309" i="7"/>
  <c r="AC308" i="7"/>
  <c r="W308" i="7"/>
  <c r="Q308" i="7"/>
  <c r="AC307" i="7"/>
  <c r="W307" i="7"/>
  <c r="Q307" i="7"/>
  <c r="AC306" i="7"/>
  <c r="W306" i="7"/>
  <c r="Q306" i="7"/>
  <c r="AC305" i="7"/>
  <c r="W305" i="7"/>
  <c r="Q305" i="7"/>
  <c r="AC304" i="7"/>
  <c r="W304" i="7"/>
  <c r="Q304" i="7"/>
  <c r="AC303" i="7"/>
  <c r="W303" i="7"/>
  <c r="Q303" i="7"/>
  <c r="AC302" i="7"/>
  <c r="W302" i="7"/>
  <c r="Q302" i="7"/>
  <c r="AC301" i="7"/>
  <c r="W301" i="7"/>
  <c r="Q301" i="7"/>
  <c r="AC300" i="7"/>
  <c r="W300" i="7"/>
  <c r="Q300" i="7"/>
  <c r="AC299" i="7"/>
  <c r="W299" i="7"/>
  <c r="Q299" i="7"/>
  <c r="AC298" i="7"/>
  <c r="W298" i="7"/>
  <c r="Q298" i="7"/>
  <c r="AD298" i="7" s="1"/>
  <c r="AC297" i="7"/>
  <c r="W297" i="7"/>
  <c r="Q297" i="7"/>
  <c r="AD297" i="7" s="1"/>
  <c r="AC296" i="7"/>
  <c r="W296" i="7"/>
  <c r="Q296" i="7"/>
  <c r="AD296" i="7" s="1"/>
  <c r="AC295" i="7"/>
  <c r="W295" i="7"/>
  <c r="Q295" i="7"/>
  <c r="AC294" i="7"/>
  <c r="W294" i="7"/>
  <c r="Q294" i="7"/>
  <c r="AC293" i="7"/>
  <c r="W293" i="7"/>
  <c r="Q293" i="7"/>
  <c r="AC292" i="7"/>
  <c r="W292" i="7"/>
  <c r="Q292" i="7"/>
  <c r="AC291" i="7"/>
  <c r="W291" i="7"/>
  <c r="Q291" i="7"/>
  <c r="AC290" i="7"/>
  <c r="W290" i="7"/>
  <c r="Q290" i="7"/>
  <c r="AC289" i="7"/>
  <c r="W289" i="7"/>
  <c r="Q289" i="7"/>
  <c r="AC288" i="7"/>
  <c r="W288" i="7"/>
  <c r="Q288" i="7"/>
  <c r="AC287" i="7"/>
  <c r="W287" i="7"/>
  <c r="Q287" i="7"/>
  <c r="AC286" i="7"/>
  <c r="W286" i="7"/>
  <c r="Q286" i="7"/>
  <c r="AC285" i="7"/>
  <c r="W285" i="7"/>
  <c r="Q285" i="7"/>
  <c r="AC284" i="7"/>
  <c r="W284" i="7"/>
  <c r="Q284" i="7"/>
  <c r="AC283" i="7"/>
  <c r="W283" i="7"/>
  <c r="Q283" i="7"/>
  <c r="AC282" i="7"/>
  <c r="W282" i="7"/>
  <c r="Q282" i="7"/>
  <c r="AD282" i="7" s="1"/>
  <c r="AC281" i="7"/>
  <c r="W281" i="7"/>
  <c r="Q281" i="7"/>
  <c r="AD281" i="7" s="1"/>
  <c r="AC280" i="7"/>
  <c r="W280" i="7"/>
  <c r="Q280" i="7"/>
  <c r="AD280" i="7" s="1"/>
  <c r="AC279" i="7"/>
  <c r="W279" i="7"/>
  <c r="Q279" i="7"/>
  <c r="AC278" i="7"/>
  <c r="W278" i="7"/>
  <c r="Q278" i="7"/>
  <c r="AC277" i="7"/>
  <c r="W277" i="7"/>
  <c r="Q277" i="7"/>
  <c r="AC276" i="7"/>
  <c r="W276" i="7"/>
  <c r="Q276" i="7"/>
  <c r="AC275" i="7"/>
  <c r="W275" i="7"/>
  <c r="Q275" i="7"/>
  <c r="AC274" i="7"/>
  <c r="W274" i="7"/>
  <c r="Q274" i="7"/>
  <c r="AC273" i="7"/>
  <c r="W273" i="7"/>
  <c r="Q273" i="7"/>
  <c r="AC272" i="7"/>
  <c r="W272" i="7"/>
  <c r="Q272" i="7"/>
  <c r="AC271" i="7"/>
  <c r="W271" i="7"/>
  <c r="Q271" i="7"/>
  <c r="AC270" i="7"/>
  <c r="W270" i="7"/>
  <c r="Q270" i="7"/>
  <c r="AC269" i="7"/>
  <c r="W269" i="7"/>
  <c r="Q269" i="7"/>
  <c r="AC268" i="7"/>
  <c r="W268" i="7"/>
  <c r="Q268" i="7"/>
  <c r="AC267" i="7"/>
  <c r="W267" i="7"/>
  <c r="Q267" i="7"/>
  <c r="AC266" i="7"/>
  <c r="W266" i="7"/>
  <c r="Q266" i="7"/>
  <c r="AC265" i="7"/>
  <c r="W265" i="7"/>
  <c r="Q265" i="7"/>
  <c r="AD265" i="7" s="1"/>
  <c r="AC264" i="7"/>
  <c r="W264" i="7"/>
  <c r="Q264" i="7"/>
  <c r="AD264" i="7" s="1"/>
  <c r="AC263" i="7"/>
  <c r="W263" i="7"/>
  <c r="Q263" i="7"/>
  <c r="AC262" i="7"/>
  <c r="W262" i="7"/>
  <c r="Q262" i="7"/>
  <c r="AC261" i="7"/>
  <c r="W261" i="7"/>
  <c r="Q261" i="7"/>
  <c r="AC260" i="7"/>
  <c r="W260" i="7"/>
  <c r="Q260" i="7"/>
  <c r="AC259" i="7"/>
  <c r="W259" i="7"/>
  <c r="Q259" i="7"/>
  <c r="AC258" i="7"/>
  <c r="W258" i="7"/>
  <c r="Q258" i="7"/>
  <c r="AC257" i="7"/>
  <c r="W257" i="7"/>
  <c r="Q257" i="7"/>
  <c r="AC256" i="7"/>
  <c r="W256" i="7"/>
  <c r="Q256" i="7"/>
  <c r="AC255" i="7"/>
  <c r="W255" i="7"/>
  <c r="Q255" i="7"/>
  <c r="AC254" i="7"/>
  <c r="W254" i="7"/>
  <c r="Q254" i="7"/>
  <c r="AC253" i="7"/>
  <c r="W253" i="7"/>
  <c r="Q253" i="7"/>
  <c r="AC252" i="7"/>
  <c r="W252" i="7"/>
  <c r="Q252" i="7"/>
  <c r="AC251" i="7"/>
  <c r="W251" i="7"/>
  <c r="Q251" i="7"/>
  <c r="AC250" i="7"/>
  <c r="W250" i="7"/>
  <c r="Q250" i="7"/>
  <c r="AC249" i="7"/>
  <c r="W249" i="7"/>
  <c r="Q249" i="7"/>
  <c r="AD249" i="7" s="1"/>
  <c r="AC248" i="7"/>
  <c r="W248" i="7"/>
  <c r="Q248" i="7"/>
  <c r="AD248" i="7" s="1"/>
  <c r="AC247" i="7"/>
  <c r="W247" i="7"/>
  <c r="Q247" i="7"/>
  <c r="AC246" i="7"/>
  <c r="W246" i="7"/>
  <c r="Q246" i="7"/>
  <c r="AC245" i="7"/>
  <c r="W245" i="7"/>
  <c r="Q245" i="7"/>
  <c r="AC244" i="7"/>
  <c r="W244" i="7"/>
  <c r="Q244" i="7"/>
  <c r="AC243" i="7"/>
  <c r="W243" i="7"/>
  <c r="Q243" i="7"/>
  <c r="AC242" i="7"/>
  <c r="W242" i="7"/>
  <c r="Q242" i="7"/>
  <c r="AC241" i="7"/>
  <c r="W241" i="7"/>
  <c r="Q241" i="7"/>
  <c r="AC240" i="7"/>
  <c r="W240" i="7"/>
  <c r="Q240" i="7"/>
  <c r="AC239" i="7"/>
  <c r="W239" i="7"/>
  <c r="Q239" i="7"/>
  <c r="AC238" i="7"/>
  <c r="W238" i="7"/>
  <c r="Q238" i="7"/>
  <c r="AC237" i="7"/>
  <c r="W237" i="7"/>
  <c r="Q237" i="7"/>
  <c r="AC236" i="7"/>
  <c r="W236" i="7"/>
  <c r="Q236" i="7"/>
  <c r="AC235" i="7"/>
  <c r="W235" i="7"/>
  <c r="Q235" i="7"/>
  <c r="AC234" i="7"/>
  <c r="W234" i="7"/>
  <c r="Q234" i="7"/>
  <c r="AC233" i="7"/>
  <c r="W233" i="7"/>
  <c r="Q233" i="7"/>
  <c r="AD233" i="7" s="1"/>
  <c r="AC232" i="7"/>
  <c r="W232" i="7"/>
  <c r="Q232" i="7"/>
  <c r="AD232" i="7" s="1"/>
  <c r="AC231" i="7"/>
  <c r="W231" i="7"/>
  <c r="Q231" i="7"/>
  <c r="AC230" i="7"/>
  <c r="W230" i="7"/>
  <c r="Q230" i="7"/>
  <c r="AC229" i="7"/>
  <c r="W229" i="7"/>
  <c r="Q229" i="7"/>
  <c r="AC228" i="7"/>
  <c r="W228" i="7"/>
  <c r="Q228" i="7"/>
  <c r="AC227" i="7"/>
  <c r="W227" i="7"/>
  <c r="Q227" i="7"/>
  <c r="AC226" i="7"/>
  <c r="W226" i="7"/>
  <c r="Q226" i="7"/>
  <c r="AC225" i="7"/>
  <c r="W225" i="7"/>
  <c r="Q225" i="7"/>
  <c r="AC224" i="7"/>
  <c r="W224" i="7"/>
  <c r="Q224" i="7"/>
  <c r="AC223" i="7"/>
  <c r="W223" i="7"/>
  <c r="Q223" i="7"/>
  <c r="AC222" i="7"/>
  <c r="W222" i="7"/>
  <c r="Q222" i="7"/>
  <c r="AC221" i="7"/>
  <c r="W221" i="7"/>
  <c r="Q221" i="7"/>
  <c r="AC220" i="7"/>
  <c r="W220" i="7"/>
  <c r="Q220" i="7"/>
  <c r="AC219" i="7"/>
  <c r="W219" i="7"/>
  <c r="Q219" i="7"/>
  <c r="AC218" i="7"/>
  <c r="W218" i="7"/>
  <c r="Q218" i="7"/>
  <c r="AC217" i="7"/>
  <c r="W217" i="7"/>
  <c r="Q217" i="7"/>
  <c r="AD217" i="7" s="1"/>
  <c r="AC216" i="7"/>
  <c r="W216" i="7"/>
  <c r="Q216" i="7"/>
  <c r="AC215" i="7"/>
  <c r="W215" i="7"/>
  <c r="Q215" i="7"/>
  <c r="AC214" i="7"/>
  <c r="W214" i="7"/>
  <c r="Q214" i="7"/>
  <c r="AC213" i="7"/>
  <c r="W213" i="7"/>
  <c r="Q213" i="7"/>
  <c r="AC212" i="7"/>
  <c r="W212" i="7"/>
  <c r="Q212" i="7"/>
  <c r="AC211" i="7"/>
  <c r="W211" i="7"/>
  <c r="Q211" i="7"/>
  <c r="AC210" i="7"/>
  <c r="W210" i="7"/>
  <c r="Q210" i="7"/>
  <c r="AC209" i="7"/>
  <c r="W209" i="7"/>
  <c r="Q209" i="7"/>
  <c r="AC208" i="7"/>
  <c r="W208" i="7"/>
  <c r="Q208" i="7"/>
  <c r="AC207" i="7"/>
  <c r="W207" i="7"/>
  <c r="Q207" i="7"/>
  <c r="AC206" i="7"/>
  <c r="W206" i="7"/>
  <c r="Q206" i="7"/>
  <c r="AC205" i="7"/>
  <c r="W205" i="7"/>
  <c r="Q205" i="7"/>
  <c r="AC204" i="7"/>
  <c r="W204" i="7"/>
  <c r="Q204" i="7"/>
  <c r="AC203" i="7"/>
  <c r="W203" i="7"/>
  <c r="Q203" i="7"/>
  <c r="AC202" i="7"/>
  <c r="W202" i="7"/>
  <c r="Q202" i="7"/>
  <c r="AC201" i="7"/>
  <c r="W201" i="7"/>
  <c r="Q201" i="7"/>
  <c r="AD201" i="7" s="1"/>
  <c r="AC200" i="7"/>
  <c r="W200" i="7"/>
  <c r="Q200" i="7"/>
  <c r="AC199" i="7"/>
  <c r="W199" i="7"/>
  <c r="Q199" i="7"/>
  <c r="AC198" i="7"/>
  <c r="W198" i="7"/>
  <c r="Q198" i="7"/>
  <c r="AC197" i="7"/>
  <c r="W197" i="7"/>
  <c r="Q197" i="7"/>
  <c r="AC196" i="7"/>
  <c r="W196" i="7"/>
  <c r="Q196" i="7"/>
  <c r="AC195" i="7"/>
  <c r="W195" i="7"/>
  <c r="Q195" i="7"/>
  <c r="AC194" i="7"/>
  <c r="W194" i="7"/>
  <c r="Q194" i="7"/>
  <c r="AC193" i="7"/>
  <c r="W193" i="7"/>
  <c r="Q193" i="7"/>
  <c r="AC192" i="7"/>
  <c r="W192" i="7"/>
  <c r="Q192" i="7"/>
  <c r="AC191" i="7"/>
  <c r="W191" i="7"/>
  <c r="Q191" i="7"/>
  <c r="AC190" i="7"/>
  <c r="W190" i="7"/>
  <c r="Q190" i="7"/>
  <c r="AC189" i="7"/>
  <c r="W189" i="7"/>
  <c r="Q189" i="7"/>
  <c r="AC188" i="7"/>
  <c r="W188" i="7"/>
  <c r="Q188" i="7"/>
  <c r="AC187" i="7"/>
  <c r="W187" i="7"/>
  <c r="Q187" i="7"/>
  <c r="AC186" i="7"/>
  <c r="W186" i="7"/>
  <c r="Q186" i="7"/>
  <c r="AC185" i="7"/>
  <c r="W185" i="7"/>
  <c r="Q185" i="7"/>
  <c r="AD185" i="7" s="1"/>
  <c r="AC184" i="7"/>
  <c r="W184" i="7"/>
  <c r="Q184" i="7"/>
  <c r="AC183" i="7"/>
  <c r="W183" i="7"/>
  <c r="Q183" i="7"/>
  <c r="AC182" i="7"/>
  <c r="W182" i="7"/>
  <c r="Q182" i="7"/>
  <c r="AC181" i="7"/>
  <c r="W181" i="7"/>
  <c r="Q181" i="7"/>
  <c r="AC180" i="7"/>
  <c r="W180" i="7"/>
  <c r="Q180" i="7"/>
  <c r="AC179" i="7"/>
  <c r="W179" i="7"/>
  <c r="Q179" i="7"/>
  <c r="AC178" i="7"/>
  <c r="W178" i="7"/>
  <c r="Q178" i="7"/>
  <c r="AC177" i="7"/>
  <c r="W177" i="7"/>
  <c r="Q177" i="7"/>
  <c r="AC176" i="7"/>
  <c r="W176" i="7"/>
  <c r="Q176" i="7"/>
  <c r="AC175" i="7"/>
  <c r="W175" i="7"/>
  <c r="Q175" i="7"/>
  <c r="AC174" i="7"/>
  <c r="W174" i="7"/>
  <c r="AD174" i="7" s="1"/>
  <c r="Q174" i="7"/>
  <c r="AC173" i="7"/>
  <c r="W173" i="7"/>
  <c r="Q173" i="7"/>
  <c r="AC172" i="7"/>
  <c r="W172" i="7"/>
  <c r="Q172" i="7"/>
  <c r="AC171" i="7"/>
  <c r="W171" i="7"/>
  <c r="Q171" i="7"/>
  <c r="AC170" i="7"/>
  <c r="W170" i="7"/>
  <c r="Q170" i="7"/>
  <c r="AC169" i="7"/>
  <c r="W169" i="7"/>
  <c r="Q169" i="7"/>
  <c r="AC168" i="7"/>
  <c r="W168" i="7"/>
  <c r="Q168" i="7"/>
  <c r="AC167" i="7"/>
  <c r="W167" i="7"/>
  <c r="Q167" i="7"/>
  <c r="AC166" i="7"/>
  <c r="W166" i="7"/>
  <c r="Q166" i="7"/>
  <c r="AC165" i="7"/>
  <c r="W165" i="7"/>
  <c r="Q165" i="7"/>
  <c r="AC164" i="7"/>
  <c r="W164" i="7"/>
  <c r="Q164" i="7"/>
  <c r="AC163" i="7"/>
  <c r="W163" i="7"/>
  <c r="Q163" i="7"/>
  <c r="AC162" i="7"/>
  <c r="W162" i="7"/>
  <c r="Q162" i="7"/>
  <c r="AC161" i="7"/>
  <c r="W161" i="7"/>
  <c r="Q161" i="7"/>
  <c r="AC160" i="7"/>
  <c r="W160" i="7"/>
  <c r="Q160" i="7"/>
  <c r="AC159" i="7"/>
  <c r="W159" i="7"/>
  <c r="Q159" i="7"/>
  <c r="AC158" i="7"/>
  <c r="W158" i="7"/>
  <c r="Q158" i="7"/>
  <c r="AC157" i="7"/>
  <c r="W157" i="7"/>
  <c r="Q157" i="7"/>
  <c r="AC156" i="7"/>
  <c r="W156" i="7"/>
  <c r="Q156" i="7"/>
  <c r="AC155" i="7"/>
  <c r="W155" i="7"/>
  <c r="Q155" i="7"/>
  <c r="AC154" i="7"/>
  <c r="W154" i="7"/>
  <c r="Q154" i="7"/>
  <c r="AC153" i="7"/>
  <c r="W153" i="7"/>
  <c r="Q153" i="7"/>
  <c r="AD153" i="7" s="1"/>
  <c r="AC152" i="7"/>
  <c r="W152" i="7"/>
  <c r="Q152" i="7"/>
  <c r="AD152" i="7" s="1"/>
  <c r="AC151" i="7"/>
  <c r="W151" i="7"/>
  <c r="Q151" i="7"/>
  <c r="AC150" i="7"/>
  <c r="W150" i="7"/>
  <c r="Q150" i="7"/>
  <c r="AC149" i="7"/>
  <c r="W149" i="7"/>
  <c r="Q149" i="7"/>
  <c r="AC148" i="7"/>
  <c r="W148" i="7"/>
  <c r="Q148" i="7"/>
  <c r="AC147" i="7"/>
  <c r="W147" i="7"/>
  <c r="Q147" i="7"/>
  <c r="AC146" i="7"/>
  <c r="W146" i="7"/>
  <c r="Q146" i="7"/>
  <c r="AC145" i="7"/>
  <c r="W145" i="7"/>
  <c r="Q145" i="7"/>
  <c r="AC144" i="7"/>
  <c r="W144" i="7"/>
  <c r="Q144" i="7"/>
  <c r="AC143" i="7"/>
  <c r="W143" i="7"/>
  <c r="Q143" i="7"/>
  <c r="AC142" i="7"/>
  <c r="W142" i="7"/>
  <c r="Q142" i="7"/>
  <c r="AC141" i="7"/>
  <c r="W141" i="7"/>
  <c r="Q141" i="7"/>
  <c r="AC140" i="7"/>
  <c r="W140" i="7"/>
  <c r="Q140" i="7"/>
  <c r="AC139" i="7"/>
  <c r="W139" i="7"/>
  <c r="Q139" i="7"/>
  <c r="AC138" i="7"/>
  <c r="W138" i="7"/>
  <c r="Q138" i="7"/>
  <c r="AC137" i="7"/>
  <c r="W137" i="7"/>
  <c r="Q137" i="7"/>
  <c r="AD137" i="7" s="1"/>
  <c r="AC136" i="7"/>
  <c r="W136" i="7"/>
  <c r="Q136" i="7"/>
  <c r="AD136" i="7" s="1"/>
  <c r="AC135" i="7"/>
  <c r="W135" i="7"/>
  <c r="Q135" i="7"/>
  <c r="AC134" i="7"/>
  <c r="W134" i="7"/>
  <c r="Q134" i="7"/>
  <c r="AC133" i="7"/>
  <c r="W133" i="7"/>
  <c r="Q133" i="7"/>
  <c r="AC132" i="7"/>
  <c r="W132" i="7"/>
  <c r="Q132" i="7"/>
  <c r="AC131" i="7"/>
  <c r="W131" i="7"/>
  <c r="Q131" i="7"/>
  <c r="AC130" i="7"/>
  <c r="W130" i="7"/>
  <c r="Q130" i="7"/>
  <c r="AC129" i="7"/>
  <c r="W129" i="7"/>
  <c r="Q129" i="7"/>
  <c r="AC128" i="7"/>
  <c r="W128" i="7"/>
  <c r="Q128" i="7"/>
  <c r="AC127" i="7"/>
  <c r="W127" i="7"/>
  <c r="Q127" i="7"/>
  <c r="AC126" i="7"/>
  <c r="W126" i="7"/>
  <c r="Q126" i="7"/>
  <c r="AC125" i="7"/>
  <c r="W125" i="7"/>
  <c r="Q125" i="7"/>
  <c r="AC124" i="7"/>
  <c r="W124" i="7"/>
  <c r="Q124" i="7"/>
  <c r="AC123" i="7"/>
  <c r="W123" i="7"/>
  <c r="Q123" i="7"/>
  <c r="AC122" i="7"/>
  <c r="W122" i="7"/>
  <c r="Q122" i="7"/>
  <c r="AC121" i="7"/>
  <c r="W121" i="7"/>
  <c r="Q121" i="7"/>
  <c r="AD121" i="7" s="1"/>
  <c r="AC120" i="7"/>
  <c r="W120" i="7"/>
  <c r="Q120" i="7"/>
  <c r="AC119" i="7"/>
  <c r="W119" i="7"/>
  <c r="Q119" i="7"/>
  <c r="AC118" i="7"/>
  <c r="W118" i="7"/>
  <c r="Q118" i="7"/>
  <c r="AC117" i="7"/>
  <c r="W117" i="7"/>
  <c r="Q117" i="7"/>
  <c r="AC116" i="7"/>
  <c r="W116" i="7"/>
  <c r="Q116" i="7"/>
  <c r="AC115" i="7"/>
  <c r="W115" i="7"/>
  <c r="Q115" i="7"/>
  <c r="AC114" i="7"/>
  <c r="W114" i="7"/>
  <c r="Q114" i="7"/>
  <c r="AC113" i="7"/>
  <c r="W113" i="7"/>
  <c r="Q113" i="7"/>
  <c r="AC112" i="7"/>
  <c r="W112" i="7"/>
  <c r="Q112" i="7"/>
  <c r="AC111" i="7"/>
  <c r="W111" i="7"/>
  <c r="Q111" i="7"/>
  <c r="AC110" i="7"/>
  <c r="W110" i="7"/>
  <c r="AD110" i="7" s="1"/>
  <c r="Q110" i="7"/>
  <c r="AC109" i="7"/>
  <c r="W109" i="7"/>
  <c r="Q109" i="7"/>
  <c r="AC108" i="7"/>
  <c r="W108" i="7"/>
  <c r="Q108" i="7"/>
  <c r="AC107" i="7"/>
  <c r="W107" i="7"/>
  <c r="Q107" i="7"/>
  <c r="AC106" i="7"/>
  <c r="W106" i="7"/>
  <c r="Q106" i="7"/>
  <c r="AC105" i="7"/>
  <c r="W105" i="7"/>
  <c r="Q105" i="7"/>
  <c r="AC104" i="7"/>
  <c r="W104" i="7"/>
  <c r="Q104" i="7"/>
  <c r="AC103" i="7"/>
  <c r="W103" i="7"/>
  <c r="Q103" i="7"/>
  <c r="AC102" i="7"/>
  <c r="W102" i="7"/>
  <c r="Q102" i="7"/>
  <c r="AC101" i="7"/>
  <c r="W101" i="7"/>
  <c r="Q101" i="7"/>
  <c r="AC100" i="7"/>
  <c r="W100" i="7"/>
  <c r="Q100" i="7"/>
  <c r="AC99" i="7"/>
  <c r="W99" i="7"/>
  <c r="Q99" i="7"/>
  <c r="AC98" i="7"/>
  <c r="W98" i="7"/>
  <c r="Q98" i="7"/>
  <c r="AC97" i="7"/>
  <c r="W97" i="7"/>
  <c r="Q97" i="7"/>
  <c r="AC96" i="7"/>
  <c r="W96" i="7"/>
  <c r="Q96" i="7"/>
  <c r="AC95" i="7"/>
  <c r="W95" i="7"/>
  <c r="Q95" i="7"/>
  <c r="AC94" i="7"/>
  <c r="W94" i="7"/>
  <c r="Q94" i="7"/>
  <c r="AC93" i="7"/>
  <c r="W93" i="7"/>
  <c r="Q93" i="7"/>
  <c r="AC92" i="7"/>
  <c r="W92" i="7"/>
  <c r="Q92" i="7"/>
  <c r="AC91" i="7"/>
  <c r="W91" i="7"/>
  <c r="Q91" i="7"/>
  <c r="AC90" i="7"/>
  <c r="W90" i="7"/>
  <c r="Q90" i="7"/>
  <c r="AC89" i="7"/>
  <c r="W89" i="7"/>
  <c r="Q89" i="7"/>
  <c r="AD89" i="7" s="1"/>
  <c r="AC88" i="7"/>
  <c r="W88" i="7"/>
  <c r="Q88" i="7"/>
  <c r="AD88" i="7" s="1"/>
  <c r="AC87" i="7"/>
  <c r="W87" i="7"/>
  <c r="Q87" i="7"/>
  <c r="AC86" i="7"/>
  <c r="W86" i="7"/>
  <c r="Q86" i="7"/>
  <c r="AC85" i="7"/>
  <c r="W85" i="7"/>
  <c r="Q85" i="7"/>
  <c r="AC84" i="7"/>
  <c r="W84" i="7"/>
  <c r="Q84" i="7"/>
  <c r="AC83" i="7"/>
  <c r="W83" i="7"/>
  <c r="Q83" i="7"/>
  <c r="AC82" i="7"/>
  <c r="W82" i="7"/>
  <c r="Q82" i="7"/>
  <c r="AC81" i="7"/>
  <c r="W81" i="7"/>
  <c r="Q81" i="7"/>
  <c r="AC80" i="7"/>
  <c r="W80" i="7"/>
  <c r="Q80" i="7"/>
  <c r="AC79" i="7"/>
  <c r="W79" i="7"/>
  <c r="Q79" i="7"/>
  <c r="AC78" i="7"/>
  <c r="W78" i="7"/>
  <c r="Q78" i="7"/>
  <c r="AC77" i="7"/>
  <c r="W77" i="7"/>
  <c r="Q77" i="7"/>
  <c r="AC76" i="7"/>
  <c r="W76" i="7"/>
  <c r="Q76" i="7"/>
  <c r="AC75" i="7"/>
  <c r="W75" i="7"/>
  <c r="Q75" i="7"/>
  <c r="AC74" i="7"/>
  <c r="W74" i="7"/>
  <c r="Q74" i="7"/>
  <c r="AC73" i="7"/>
  <c r="W73" i="7"/>
  <c r="Q73" i="7"/>
  <c r="AD73" i="7" s="1"/>
  <c r="AC72" i="7"/>
  <c r="W72" i="7"/>
  <c r="Q72" i="7"/>
  <c r="AD72" i="7" s="1"/>
  <c r="AC71" i="7"/>
  <c r="W71" i="7"/>
  <c r="Q71" i="7"/>
  <c r="AC70" i="7"/>
  <c r="W70" i="7"/>
  <c r="Q70" i="7"/>
  <c r="AC69" i="7"/>
  <c r="W69" i="7"/>
  <c r="Q69" i="7"/>
  <c r="AC68" i="7"/>
  <c r="W68" i="7"/>
  <c r="Q68" i="7"/>
  <c r="AC67" i="7"/>
  <c r="W67" i="7"/>
  <c r="Q67" i="7"/>
  <c r="AC66" i="7"/>
  <c r="W66" i="7"/>
  <c r="Q66" i="7"/>
  <c r="AC65" i="7"/>
  <c r="W65" i="7"/>
  <c r="Q65" i="7"/>
  <c r="AC64" i="7"/>
  <c r="W64" i="7"/>
  <c r="Q64" i="7"/>
  <c r="AC63" i="7"/>
  <c r="W63" i="7"/>
  <c r="Q63" i="7"/>
  <c r="AC62" i="7"/>
  <c r="W62" i="7"/>
  <c r="Q62" i="7"/>
  <c r="AC61" i="7"/>
  <c r="W61" i="7"/>
  <c r="Q61" i="7"/>
  <c r="AC60" i="7"/>
  <c r="W60" i="7"/>
  <c r="Q60" i="7"/>
  <c r="AC59" i="7"/>
  <c r="W59" i="7"/>
  <c r="Q59" i="7"/>
  <c r="AC58" i="7"/>
  <c r="W58" i="7"/>
  <c r="Q58" i="7"/>
  <c r="AC57" i="7"/>
  <c r="W57" i="7"/>
  <c r="Q57" i="7"/>
  <c r="AD57" i="7" s="1"/>
  <c r="AC56" i="7"/>
  <c r="W56" i="7"/>
  <c r="Q56" i="7"/>
  <c r="AD56" i="7" s="1"/>
  <c r="AC55" i="7"/>
  <c r="W55" i="7"/>
  <c r="Q55" i="7"/>
  <c r="AC54" i="7"/>
  <c r="W54" i="7"/>
  <c r="Q54" i="7"/>
  <c r="AC53" i="7"/>
  <c r="W53" i="7"/>
  <c r="Q53" i="7"/>
  <c r="AC52" i="7"/>
  <c r="W52" i="7"/>
  <c r="Q52" i="7"/>
  <c r="AC51" i="7"/>
  <c r="W51" i="7"/>
  <c r="Q51" i="7"/>
  <c r="AC50" i="7"/>
  <c r="W50" i="7"/>
  <c r="Q50" i="7"/>
  <c r="AC49" i="7"/>
  <c r="W49" i="7"/>
  <c r="Q49" i="7"/>
  <c r="AC48" i="7"/>
  <c r="W48" i="7"/>
  <c r="Q48" i="7"/>
  <c r="AC47" i="7"/>
  <c r="W47" i="7"/>
  <c r="Q47" i="7"/>
  <c r="AC46" i="7"/>
  <c r="W46" i="7"/>
  <c r="Q46" i="7"/>
  <c r="AC45" i="7"/>
  <c r="W45" i="7"/>
  <c r="Q45" i="7"/>
  <c r="AC44" i="7"/>
  <c r="W44" i="7"/>
  <c r="Q44" i="7"/>
  <c r="AC43" i="7"/>
  <c r="W43" i="7"/>
  <c r="Q43" i="7"/>
  <c r="AC42" i="7"/>
  <c r="W42" i="7"/>
  <c r="Q42" i="7"/>
  <c r="AC41" i="7"/>
  <c r="W41" i="7"/>
  <c r="Q41" i="7"/>
  <c r="AD41" i="7" s="1"/>
  <c r="AC40" i="7"/>
  <c r="W40" i="7"/>
  <c r="Q40" i="7"/>
  <c r="AD40" i="7" s="1"/>
  <c r="AC39" i="7"/>
  <c r="W39" i="7"/>
  <c r="Q39" i="7"/>
  <c r="AC38" i="7"/>
  <c r="W38" i="7"/>
  <c r="Q38" i="7"/>
  <c r="AC37" i="7"/>
  <c r="W37" i="7"/>
  <c r="Q37" i="7"/>
  <c r="AC36" i="7"/>
  <c r="W36" i="7"/>
  <c r="Q36" i="7"/>
  <c r="AC35" i="7"/>
  <c r="W35" i="7"/>
  <c r="Q35" i="7"/>
  <c r="AC34" i="7"/>
  <c r="W34" i="7"/>
  <c r="Q34" i="7"/>
  <c r="AC33" i="7"/>
  <c r="W33" i="7"/>
  <c r="Q33" i="7"/>
  <c r="AC32" i="7"/>
  <c r="W32" i="7"/>
  <c r="Q32" i="7"/>
  <c r="AC31" i="7"/>
  <c r="W31" i="7"/>
  <c r="Q31" i="7"/>
  <c r="AC30" i="7"/>
  <c r="W30" i="7"/>
  <c r="Q30" i="7"/>
  <c r="AC29" i="7"/>
  <c r="W29" i="7"/>
  <c r="Q29" i="7"/>
  <c r="AC28" i="7"/>
  <c r="W28" i="7"/>
  <c r="Q28" i="7"/>
  <c r="AC27" i="7"/>
  <c r="W27" i="7"/>
  <c r="Q27" i="7"/>
  <c r="AC26" i="7"/>
  <c r="W26" i="7"/>
  <c r="Q26" i="7"/>
  <c r="AC25" i="7"/>
  <c r="W25" i="7"/>
  <c r="Q25" i="7"/>
  <c r="AD25" i="7" s="1"/>
  <c r="AC24" i="7"/>
  <c r="W24" i="7"/>
  <c r="Q24" i="7"/>
  <c r="AD24" i="7" s="1"/>
  <c r="AC23" i="7"/>
  <c r="W23" i="7"/>
  <c r="Q23" i="7"/>
  <c r="AC22" i="7"/>
  <c r="W22" i="7"/>
  <c r="Q22" i="7"/>
  <c r="AC21" i="7"/>
  <c r="W21" i="7"/>
  <c r="Q21" i="7"/>
  <c r="AC20" i="7"/>
  <c r="W20" i="7"/>
  <c r="Q20" i="7"/>
  <c r="AC19" i="7"/>
  <c r="W19" i="7"/>
  <c r="Q19" i="7"/>
  <c r="AC18" i="7"/>
  <c r="W18" i="7"/>
  <c r="Q18" i="7"/>
  <c r="AC17" i="7"/>
  <c r="W17" i="7"/>
  <c r="Q17" i="7"/>
  <c r="AC16" i="7"/>
  <c r="W16" i="7"/>
  <c r="Q16" i="7"/>
  <c r="AC15" i="7"/>
  <c r="W15" i="7"/>
  <c r="Q15" i="7"/>
  <c r="AC14" i="7"/>
  <c r="W14" i="7"/>
  <c r="Q14" i="7"/>
  <c r="AC13" i="7"/>
  <c r="W13" i="7"/>
  <c r="Q13" i="7"/>
  <c r="AC12" i="7"/>
  <c r="W12" i="7"/>
  <c r="Q12" i="7"/>
  <c r="AC11" i="7"/>
  <c r="W11" i="7"/>
  <c r="Q11" i="7"/>
  <c r="AC10" i="7"/>
  <c r="W10" i="7"/>
  <c r="Q10" i="7"/>
  <c r="AC9" i="7"/>
  <c r="W9" i="7"/>
  <c r="Q9" i="7"/>
  <c r="AD9" i="7" s="1"/>
  <c r="AC8" i="7"/>
  <c r="W8" i="7"/>
  <c r="Q8" i="7"/>
  <c r="AD8" i="7" s="1"/>
  <c r="AC7" i="7"/>
  <c r="W7" i="7"/>
  <c r="Q7" i="7"/>
  <c r="AC6" i="7"/>
  <c r="W6" i="7"/>
  <c r="Q6" i="7"/>
  <c r="AC5" i="7"/>
  <c r="W5" i="7"/>
  <c r="Q5" i="7"/>
  <c r="AC4" i="7"/>
  <c r="W4" i="7"/>
  <c r="Q4" i="7"/>
  <c r="AC3" i="7"/>
  <c r="W3" i="7"/>
  <c r="Q3" i="7"/>
  <c r="AC2" i="7"/>
  <c r="W2" i="7"/>
  <c r="Q2" i="7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AD402" i="7" l="1"/>
  <c r="AD418" i="7"/>
  <c r="AD434" i="7"/>
  <c r="AD440" i="7"/>
  <c r="AD425" i="7"/>
  <c r="AD10" i="7"/>
  <c r="AD26" i="7"/>
  <c r="AD42" i="7"/>
  <c r="AD58" i="7"/>
  <c r="AD74" i="7"/>
  <c r="AD90" i="7"/>
  <c r="AD106" i="7"/>
  <c r="AD138" i="7"/>
  <c r="AD154" i="7"/>
  <c r="AD170" i="7"/>
  <c r="AD202" i="7"/>
  <c r="AD218" i="7"/>
  <c r="AD234" i="7"/>
  <c r="AD250" i="7"/>
  <c r="AD266" i="7"/>
  <c r="AD428" i="7"/>
  <c r="AD378" i="7"/>
  <c r="AD394" i="7"/>
  <c r="AD12" i="7"/>
  <c r="AD28" i="7"/>
  <c r="AD44" i="7"/>
  <c r="AD60" i="7"/>
  <c r="AD76" i="7"/>
  <c r="AD92" i="7"/>
  <c r="AD140" i="7"/>
  <c r="AD204" i="7"/>
  <c r="AD236" i="7"/>
  <c r="AD252" i="7"/>
  <c r="AD268" i="7"/>
  <c r="AD284" i="7"/>
  <c r="AD300" i="7"/>
  <c r="AD316" i="7"/>
  <c r="AD332" i="7"/>
  <c r="AD348" i="7"/>
  <c r="AD364" i="7"/>
  <c r="AD380" i="7"/>
  <c r="AD396" i="7"/>
  <c r="AD15" i="7"/>
  <c r="AD31" i="7"/>
  <c r="AD47" i="7"/>
  <c r="AD63" i="7"/>
  <c r="AD79" i="7"/>
  <c r="AD95" i="7"/>
  <c r="AD111" i="7"/>
  <c r="AD159" i="7"/>
  <c r="AD175" i="7"/>
  <c r="AD207" i="7"/>
  <c r="AD223" i="7"/>
  <c r="AD7" i="7"/>
  <c r="AD23" i="7"/>
  <c r="AD39" i="7"/>
  <c r="AD55" i="7"/>
  <c r="AD71" i="7"/>
  <c r="AD87" i="7"/>
  <c r="AD103" i="7"/>
  <c r="AD119" i="7"/>
  <c r="AD151" i="7"/>
  <c r="AD215" i="7"/>
  <c r="AD2" i="7"/>
  <c r="AD18" i="7"/>
  <c r="AD34" i="7"/>
  <c r="AD50" i="7"/>
  <c r="AD66" i="7"/>
  <c r="AD82" i="7"/>
  <c r="AD98" i="7"/>
  <c r="AD114" i="7"/>
  <c r="AD146" i="7"/>
  <c r="AD162" i="7"/>
  <c r="AD178" i="7"/>
  <c r="AD194" i="7"/>
  <c r="AD4" i="7"/>
  <c r="AD20" i="7"/>
  <c r="AD36" i="7"/>
  <c r="AD52" i="7"/>
  <c r="AD68" i="7"/>
  <c r="AD84" i="7"/>
  <c r="AD100" i="7"/>
  <c r="AD116" i="7"/>
  <c r="AD164" i="7"/>
  <c r="AD180" i="7"/>
  <c r="AD196" i="7"/>
  <c r="AD228" i="7"/>
  <c r="AD244" i="7"/>
  <c r="AD260" i="7"/>
  <c r="AD276" i="7"/>
  <c r="AD292" i="7"/>
  <c r="AD308" i="7"/>
  <c r="AD324" i="7"/>
  <c r="AD340" i="7"/>
  <c r="AD167" i="7"/>
  <c r="AD127" i="7"/>
  <c r="AD410" i="7"/>
  <c r="AD426" i="7"/>
  <c r="AD5" i="7"/>
  <c r="AD21" i="7"/>
  <c r="AD37" i="7"/>
  <c r="AD53" i="7"/>
  <c r="AD69" i="7"/>
  <c r="AD85" i="7"/>
  <c r="AD101" i="7"/>
  <c r="AD117" i="7"/>
  <c r="AD122" i="7"/>
  <c r="AD149" i="7"/>
  <c r="AD165" i="7"/>
  <c r="AD229" i="7"/>
  <c r="AD245" i="7"/>
  <c r="AD293" i="7"/>
  <c r="AD309" i="7"/>
  <c r="AD325" i="7"/>
  <c r="AD341" i="7"/>
  <c r="AD357" i="7"/>
  <c r="AD373" i="7"/>
  <c r="AD389" i="7"/>
  <c r="AD405" i="7"/>
  <c r="AD421" i="7"/>
  <c r="AD437" i="7"/>
  <c r="AD112" i="7"/>
  <c r="AD11" i="7"/>
  <c r="AD27" i="7"/>
  <c r="AD43" i="7"/>
  <c r="AD59" i="7"/>
  <c r="AD75" i="7"/>
  <c r="AD91" i="7"/>
  <c r="AD107" i="7"/>
  <c r="AD155" i="7"/>
  <c r="AD187" i="7"/>
  <c r="AD203" i="7"/>
  <c r="AD219" i="7"/>
  <c r="AD6" i="7"/>
  <c r="AD22" i="7"/>
  <c r="AD38" i="7"/>
  <c r="AD54" i="7"/>
  <c r="AD70" i="7"/>
  <c r="AD86" i="7"/>
  <c r="AD102" i="7"/>
  <c r="AD118" i="7"/>
  <c r="AD134" i="7"/>
  <c r="AD166" i="7"/>
  <c r="AD182" i="7"/>
  <c r="AD198" i="7"/>
  <c r="AD390" i="7"/>
  <c r="AD406" i="7"/>
  <c r="AD422" i="7"/>
  <c r="AD438" i="7"/>
  <c r="AD113" i="7"/>
  <c r="AD129" i="7"/>
  <c r="AD161" i="7"/>
  <c r="AD177" i="7"/>
  <c r="AD193" i="7"/>
  <c r="AD209" i="7"/>
  <c r="AD417" i="7"/>
  <c r="AD433" i="7"/>
  <c r="AD423" i="7"/>
  <c r="AD439" i="7"/>
  <c r="AD13" i="7"/>
  <c r="AD29" i="7"/>
  <c r="AD45" i="7"/>
  <c r="AD61" i="7"/>
  <c r="AD77" i="7"/>
  <c r="AD93" i="7"/>
  <c r="AD141" i="7"/>
  <c r="AD189" i="7"/>
  <c r="AD205" i="7"/>
  <c r="AD365" i="7"/>
  <c r="AD381" i="7"/>
  <c r="AD397" i="7"/>
  <c r="AD413" i="7"/>
  <c r="AD429" i="7"/>
  <c r="AD130" i="7"/>
  <c r="AD115" i="7"/>
  <c r="AD125" i="7"/>
  <c r="AD131" i="7"/>
  <c r="AD147" i="7"/>
  <c r="AD163" i="7"/>
  <c r="AD179" i="7"/>
  <c r="AD195" i="7"/>
  <c r="AD211" i="7"/>
  <c r="AD142" i="7"/>
  <c r="AD158" i="7"/>
  <c r="AD206" i="7"/>
  <c r="AD105" i="7"/>
  <c r="AD356" i="7"/>
  <c r="AD372" i="7"/>
  <c r="AD388" i="7"/>
  <c r="AD404" i="7"/>
  <c r="AD420" i="7"/>
  <c r="AD436" i="7"/>
  <c r="AD415" i="7"/>
  <c r="AD431" i="7"/>
  <c r="AD126" i="7"/>
  <c r="AD157" i="7"/>
  <c r="AD16" i="7"/>
  <c r="AD32" i="7"/>
  <c r="AD48" i="7"/>
  <c r="AD64" i="7"/>
  <c r="AD80" i="7"/>
  <c r="AD96" i="7"/>
  <c r="AD132" i="7"/>
  <c r="AD183" i="7"/>
  <c r="AD224" i="7"/>
  <c r="AD240" i="7"/>
  <c r="AD256" i="7"/>
  <c r="AD272" i="7"/>
  <c r="AD288" i="7"/>
  <c r="AD304" i="7"/>
  <c r="AD384" i="7"/>
  <c r="AD400" i="7"/>
  <c r="AD416" i="7"/>
  <c r="AD432" i="7"/>
  <c r="AD173" i="7"/>
  <c r="AD214" i="7"/>
  <c r="AD427" i="7"/>
  <c r="AD17" i="7"/>
  <c r="AD33" i="7"/>
  <c r="AD49" i="7"/>
  <c r="AD65" i="7"/>
  <c r="AD81" i="7"/>
  <c r="AD97" i="7"/>
  <c r="AD123" i="7"/>
  <c r="AD133" i="7"/>
  <c r="AD148" i="7"/>
  <c r="AD199" i="7"/>
  <c r="AD412" i="7"/>
  <c r="AD143" i="7"/>
  <c r="AD169" i="7"/>
  <c r="AD210" i="7"/>
  <c r="AD139" i="7"/>
  <c r="AD190" i="7"/>
  <c r="AD3" i="7"/>
  <c r="AD19" i="7"/>
  <c r="AD35" i="7"/>
  <c r="AD51" i="7"/>
  <c r="AD67" i="7"/>
  <c r="AD83" i="7"/>
  <c r="AD99" i="7"/>
  <c r="AD109" i="7"/>
  <c r="AD135" i="7"/>
  <c r="AD145" i="7"/>
  <c r="AD150" i="7"/>
  <c r="AD14" i="7"/>
  <c r="AD30" i="7"/>
  <c r="AD46" i="7"/>
  <c r="AD62" i="7"/>
  <c r="AD78" i="7"/>
  <c r="AD94" i="7"/>
  <c r="AD171" i="7"/>
  <c r="AD181" i="7"/>
  <c r="AD186" i="7"/>
  <c r="AD191" i="7"/>
  <c r="AD414" i="7"/>
  <c r="AD419" i="7"/>
  <c r="AD430" i="7"/>
  <c r="AD435" i="7"/>
  <c r="AD144" i="7"/>
  <c r="AD200" i="7"/>
  <c r="AD239" i="7"/>
  <c r="AD255" i="7"/>
  <c r="AD271" i="7"/>
  <c r="AD287" i="7"/>
  <c r="AD303" i="7"/>
  <c r="AD319" i="7"/>
  <c r="AD335" i="7"/>
  <c r="AD351" i="7"/>
  <c r="AD367" i="7"/>
  <c r="AD383" i="7"/>
  <c r="AD399" i="7"/>
  <c r="AD314" i="7"/>
  <c r="AD330" i="7"/>
  <c r="AD346" i="7"/>
  <c r="AD261" i="7"/>
  <c r="AD277" i="7"/>
  <c r="AD320" i="7"/>
  <c r="AD336" i="7"/>
  <c r="AD352" i="7"/>
  <c r="AD368" i="7"/>
  <c r="AD128" i="7"/>
  <c r="AD192" i="7"/>
  <c r="AD235" i="7"/>
  <c r="AD251" i="7"/>
  <c r="AD267" i="7"/>
  <c r="AD283" i="7"/>
  <c r="AD299" i="7"/>
  <c r="AD315" i="7"/>
  <c r="AD331" i="7"/>
  <c r="AD347" i="7"/>
  <c r="AD363" i="7"/>
  <c r="AD379" i="7"/>
  <c r="AD395" i="7"/>
  <c r="AD411" i="7"/>
  <c r="AD124" i="7"/>
  <c r="AD188" i="7"/>
  <c r="AD197" i="7"/>
  <c r="AD230" i="7"/>
  <c r="AD246" i="7"/>
  <c r="AD262" i="7"/>
  <c r="AD278" i="7"/>
  <c r="AD294" i="7"/>
  <c r="AD310" i="7"/>
  <c r="AD326" i="7"/>
  <c r="AD342" i="7"/>
  <c r="AD358" i="7"/>
  <c r="AD374" i="7"/>
  <c r="AD120" i="7"/>
  <c r="AD184" i="7"/>
  <c r="AD220" i="7"/>
  <c r="AD225" i="7"/>
  <c r="AD241" i="7"/>
  <c r="AD257" i="7"/>
  <c r="AD273" i="7"/>
  <c r="AD289" i="7"/>
  <c r="AD305" i="7"/>
  <c r="AD321" i="7"/>
  <c r="AD337" i="7"/>
  <c r="AD353" i="7"/>
  <c r="AD369" i="7"/>
  <c r="AD385" i="7"/>
  <c r="AD401" i="7"/>
  <c r="AD176" i="7"/>
  <c r="AD216" i="7"/>
  <c r="AD231" i="7"/>
  <c r="AD247" i="7"/>
  <c r="AD263" i="7"/>
  <c r="AD279" i="7"/>
  <c r="AD295" i="7"/>
  <c r="AD311" i="7"/>
  <c r="AD327" i="7"/>
  <c r="AD343" i="7"/>
  <c r="AD359" i="7"/>
  <c r="AD375" i="7"/>
  <c r="AD391" i="7"/>
  <c r="AD407" i="7"/>
  <c r="AD108" i="7"/>
  <c r="AD172" i="7"/>
  <c r="AD221" i="7"/>
  <c r="AD226" i="7"/>
  <c r="AD242" i="7"/>
  <c r="AD258" i="7"/>
  <c r="AD274" i="7"/>
  <c r="AD290" i="7"/>
  <c r="AD306" i="7"/>
  <c r="AD322" i="7"/>
  <c r="AD338" i="7"/>
  <c r="AD354" i="7"/>
  <c r="AD370" i="7"/>
  <c r="AD386" i="7"/>
  <c r="AD104" i="7"/>
  <c r="AD168" i="7"/>
  <c r="AD212" i="7"/>
  <c r="AD237" i="7"/>
  <c r="AD253" i="7"/>
  <c r="AD269" i="7"/>
  <c r="AD285" i="7"/>
  <c r="AD301" i="7"/>
  <c r="AD317" i="7"/>
  <c r="AD333" i="7"/>
  <c r="AD349" i="7"/>
  <c r="AD160" i="7"/>
  <c r="AD208" i="7"/>
  <c r="AD222" i="7"/>
  <c r="AD227" i="7"/>
  <c r="AD243" i="7"/>
  <c r="AD259" i="7"/>
  <c r="AD275" i="7"/>
  <c r="AD291" i="7"/>
  <c r="AD307" i="7"/>
  <c r="AD323" i="7"/>
  <c r="AD339" i="7"/>
  <c r="AD355" i="7"/>
  <c r="AD371" i="7"/>
  <c r="AD387" i="7"/>
  <c r="AD403" i="7"/>
  <c r="AD156" i="7"/>
  <c r="AD213" i="7"/>
  <c r="AD238" i="7"/>
  <c r="AD254" i="7"/>
  <c r="AD270" i="7"/>
  <c r="AD286" i="7"/>
  <c r="AD302" i="7"/>
  <c r="AD318" i="7"/>
  <c r="AD334" i="7"/>
  <c r="AD350" i="7"/>
  <c r="AD366" i="7"/>
  <c r="AD382" i="7"/>
  <c r="AD398" i="7"/>
</calcChain>
</file>

<file path=xl/sharedStrings.xml><?xml version="1.0" encoding="utf-8"?>
<sst xmlns="http://schemas.openxmlformats.org/spreadsheetml/2006/main" count="16531" uniqueCount="1893">
  <si>
    <t>GISNo</t>
  </si>
  <si>
    <t>tn_count</t>
  </si>
  <si>
    <t>SerialNo_list</t>
  </si>
  <si>
    <t>District</t>
  </si>
  <si>
    <t>Town_villa</t>
  </si>
  <si>
    <t>ToponymEN</t>
  </si>
  <si>
    <t>ToponymGR</t>
  </si>
  <si>
    <t>N_T</t>
  </si>
  <si>
    <t>N_T_specif</t>
  </si>
  <si>
    <t>Chronology</t>
  </si>
  <si>
    <t>Year</t>
  </si>
  <si>
    <t>buffer_m2_total</t>
  </si>
  <si>
    <t>agriculture</t>
  </si>
  <si>
    <t>archaeological</t>
  </si>
  <si>
    <t>infrastructure</t>
  </si>
  <si>
    <t>urban</t>
  </si>
  <si>
    <t>not_classified</t>
  </si>
  <si>
    <t>built_up</t>
  </si>
  <si>
    <t>urbanization_category</t>
  </si>
  <si>
    <t>Points</t>
  </si>
  <si>
    <t>37, 38, 111, 112, 136, 137, 138, 139, 140, 141, 142, 143, 148, 162, 191, 197, 210, 211, 212, 226, 227, 242, 243, 247, 264, 265, 268, 278, 291, 294, 295, 296, 297, 298, 299, 300, 312, 314, 315, 316, 327, 339, 360, 361, 369, 370, 371, 372, 373, 374, 375, 383, 389, 398, 401, 461, 465, 466, 467, 468, 469, 470, 471, 472, 473, 474, 475, 476, 477, 478, 479, 480, 481, 482, 483, 484, 485, 486, 487, 488, 489, 490, 491, 492, 493, 499, 506, 507, 508, 511, 514, 515, 516, 517, 518, 519, 520, 521, 522, 523, 533, 537, 542, 549, 582, 584, 615, 649, 650, 651, 652, 663, 680, 693, 701, 704, 708, 714, 715, 718, 729, 735, 736, 737, 738, 739, 740, 756, 771, 790, 791, 792, 793, 794, 795, 796, 797, 798, 799, 800, 801, 802, 803, 804, 805, 806, 807, 883, 884, 885, 886, 887, 888, 889, 890, 891, 898, 900, 904, 905, 913, 914, 915, 916, 917, 918, 921, 930</t>
  </si>
  <si>
    <t>AMM037</t>
  </si>
  <si>
    <t>Agios Serghios</t>
  </si>
  <si>
    <t>Koumentelis</t>
  </si>
  <si>
    <t>Κουμέντελης</t>
  </si>
  <si>
    <t>N</t>
  </si>
  <si>
    <t>H</t>
  </si>
  <si>
    <t>1974</t>
  </si>
  <si>
    <t>not urbanized</t>
  </si>
  <si>
    <t>706</t>
  </si>
  <si>
    <t>PAF011</t>
  </si>
  <si>
    <t>Agios Georgios</t>
  </si>
  <si>
    <t>Loutron</t>
  </si>
  <si>
    <t>Λουτρόν</t>
  </si>
  <si>
    <t>R</t>
  </si>
  <si>
    <t>1957</t>
  </si>
  <si>
    <t>limited built-up influence</t>
  </si>
  <si>
    <t>328</t>
  </si>
  <si>
    <t>LAR055</t>
  </si>
  <si>
    <t>Larnaka</t>
  </si>
  <si>
    <t>Perivolia</t>
  </si>
  <si>
    <t>Περιβόλια</t>
  </si>
  <si>
    <t>N (?)</t>
  </si>
  <si>
    <t>1958</t>
  </si>
  <si>
    <t>clearly urbanized</t>
  </si>
  <si>
    <t>337</t>
  </si>
  <si>
    <t>LAR064</t>
  </si>
  <si>
    <t>Pergamos</t>
  </si>
  <si>
    <t>Geneokopetra</t>
  </si>
  <si>
    <t>Γενεοκόπετρα</t>
  </si>
  <si>
    <t>1956</t>
  </si>
  <si>
    <t>334</t>
  </si>
  <si>
    <t>LAR061</t>
  </si>
  <si>
    <t>Mosfiloti</t>
  </si>
  <si>
    <t>Spilioi</t>
  </si>
  <si>
    <t>Σπήλιοι</t>
  </si>
  <si>
    <t>1965</t>
  </si>
  <si>
    <t>350</t>
  </si>
  <si>
    <t>LAR077</t>
  </si>
  <si>
    <t>Xylotymbou</t>
  </si>
  <si>
    <t>Laksia Ayiou Vasileiou</t>
  </si>
  <si>
    <t>Λαξιά Αγίου Βασιλείου</t>
  </si>
  <si>
    <t>1961</t>
  </si>
  <si>
    <t>345, 346, 347, 348</t>
  </si>
  <si>
    <t>LAR072</t>
  </si>
  <si>
    <t>Ayia Marina</t>
  </si>
  <si>
    <t>Αγία Μαρίνα</t>
  </si>
  <si>
    <t>T</t>
  </si>
  <si>
    <t>1934</t>
  </si>
  <si>
    <t>moderately developed</t>
  </si>
  <si>
    <t>340</t>
  </si>
  <si>
    <t>LAR067</t>
  </si>
  <si>
    <t>Pyla</t>
  </si>
  <si>
    <t>Ampelia tou Hotzia</t>
  </si>
  <si>
    <t>Αμπέλια του Χότζια</t>
  </si>
  <si>
    <t>281</t>
  </si>
  <si>
    <t>LAR008</t>
  </si>
  <si>
    <t>Aradippou</t>
  </si>
  <si>
    <t>Kameni mantra</t>
  </si>
  <si>
    <t>Καμένη Μάντρα</t>
  </si>
  <si>
    <t>Ts</t>
  </si>
  <si>
    <t>287</t>
  </si>
  <si>
    <t>LAR014</t>
  </si>
  <si>
    <t>Kalavassos</t>
  </si>
  <si>
    <t>Plakes</t>
  </si>
  <si>
    <t>Πλάκες</t>
  </si>
  <si>
    <t>1976</t>
  </si>
  <si>
    <t>336</t>
  </si>
  <si>
    <t>LAR063</t>
  </si>
  <si>
    <t>Oroklini</t>
  </si>
  <si>
    <t>Lakkos tis Elias</t>
  </si>
  <si>
    <t>Λάκκος της Ελιάς</t>
  </si>
  <si>
    <t>H-R</t>
  </si>
  <si>
    <t>1979</t>
  </si>
  <si>
    <t>292</t>
  </si>
  <si>
    <t>LAR019</t>
  </si>
  <si>
    <t>Kofinou</t>
  </si>
  <si>
    <t>Kastres</t>
  </si>
  <si>
    <t>Κάστρες</t>
  </si>
  <si>
    <t>293</t>
  </si>
  <si>
    <t>LAR020</t>
  </si>
  <si>
    <t>Achnari</t>
  </si>
  <si>
    <t>Αχνάρι</t>
  </si>
  <si>
    <t>284, 285</t>
  </si>
  <si>
    <t>LAR011</t>
  </si>
  <si>
    <t>Kafkalies</t>
  </si>
  <si>
    <t>Καφκαλιές (Καφκαλλιά)</t>
  </si>
  <si>
    <t>275</t>
  </si>
  <si>
    <t>LAR002</t>
  </si>
  <si>
    <t>Agios Theodoros</t>
  </si>
  <si>
    <t>Alonia ton Plakon</t>
  </si>
  <si>
    <t>Αλώνια των Πλακών</t>
  </si>
  <si>
    <t>1990</t>
  </si>
  <si>
    <t>289</t>
  </si>
  <si>
    <t>LAR016</t>
  </si>
  <si>
    <t>Klavdia</t>
  </si>
  <si>
    <t>Stazousa</t>
  </si>
  <si>
    <t>Στάζουσα</t>
  </si>
  <si>
    <t>1991</t>
  </si>
  <si>
    <t>276</t>
  </si>
  <si>
    <t>LAR003</t>
  </si>
  <si>
    <t>Anafotia</t>
  </si>
  <si>
    <t>Kokkines</t>
  </si>
  <si>
    <t>Κόκκινες</t>
  </si>
  <si>
    <t>2001</t>
  </si>
  <si>
    <t>strongly developed / semi-urbanized</t>
  </si>
  <si>
    <t>279</t>
  </si>
  <si>
    <t>LAR006</t>
  </si>
  <si>
    <t>Koukoulas</t>
  </si>
  <si>
    <t>Κουκουλάς</t>
  </si>
  <si>
    <t>1975</t>
  </si>
  <si>
    <t>280</t>
  </si>
  <si>
    <t>LAR007</t>
  </si>
  <si>
    <t>Κουκουλάς (ή Τσιακκιλερό)</t>
  </si>
  <si>
    <t>283</t>
  </si>
  <si>
    <t>LAR010</t>
  </si>
  <si>
    <t>Dromolaksia</t>
  </si>
  <si>
    <t>Vyzakia</t>
  </si>
  <si>
    <t>Βυζακιά</t>
  </si>
  <si>
    <t>335</t>
  </si>
  <si>
    <t>LAR062</t>
  </si>
  <si>
    <t>Ormideia</t>
  </si>
  <si>
    <t>Ampeli</t>
  </si>
  <si>
    <t>Αμπέλι</t>
  </si>
  <si>
    <t>407</t>
  </si>
  <si>
    <t>LEM057</t>
  </si>
  <si>
    <t>Dymes</t>
  </si>
  <si>
    <t>Leivadi</t>
  </si>
  <si>
    <t>Λειβάδι</t>
  </si>
  <si>
    <t>1963</t>
  </si>
  <si>
    <t>504</t>
  </si>
  <si>
    <t>LEM154</t>
  </si>
  <si>
    <t>Parekklisia (Kellaki)</t>
  </si>
  <si>
    <t>Laksia tis Arkosytzias</t>
  </si>
  <si>
    <t>Λαξιά της Αρκοσυτζιάς</t>
  </si>
  <si>
    <t>1962</t>
  </si>
  <si>
    <t>931</t>
  </si>
  <si>
    <t>PAF236</t>
  </si>
  <si>
    <t>Prodromi</t>
  </si>
  <si>
    <t>Kambos</t>
  </si>
  <si>
    <t>Κάμπος</t>
  </si>
  <si>
    <t>1960</t>
  </si>
  <si>
    <t>342</t>
  </si>
  <si>
    <t>LAR069</t>
  </si>
  <si>
    <t>Tochni</t>
  </si>
  <si>
    <t>Laksia tou Chani</t>
  </si>
  <si>
    <t>Λαξιά του Χανή</t>
  </si>
  <si>
    <t>2004</t>
  </si>
  <si>
    <t>459</t>
  </si>
  <si>
    <t>LEM109</t>
  </si>
  <si>
    <t>Kolossi</t>
  </si>
  <si>
    <t>Kafkalla</t>
  </si>
  <si>
    <t>Καφκάλλα</t>
  </si>
  <si>
    <t>498</t>
  </si>
  <si>
    <t>LEM148</t>
  </si>
  <si>
    <t>Monagri</t>
  </si>
  <si>
    <t>Petaliotis Mia</t>
  </si>
  <si>
    <t>Πεταλιώτης Μια</t>
  </si>
  <si>
    <t>531</t>
  </si>
  <si>
    <t>LEM181</t>
  </si>
  <si>
    <t>Sylikou</t>
  </si>
  <si>
    <t>Laona</t>
  </si>
  <si>
    <t>Λαόνα</t>
  </si>
  <si>
    <t>358</t>
  </si>
  <si>
    <t>LEM008</t>
  </si>
  <si>
    <t>Agios Theodoros (Soleas)</t>
  </si>
  <si>
    <t>Kampos</t>
  </si>
  <si>
    <t>1966</t>
  </si>
  <si>
    <t>399</t>
  </si>
  <si>
    <t>LEM049</t>
  </si>
  <si>
    <t>Anogira</t>
  </si>
  <si>
    <t>Apikreni</t>
  </si>
  <si>
    <t>Απίκρενη</t>
  </si>
  <si>
    <t>1970</t>
  </si>
  <si>
    <t>495</t>
  </si>
  <si>
    <t>LEM145</t>
  </si>
  <si>
    <t>Limnatis</t>
  </si>
  <si>
    <t>Mia Kremmos</t>
  </si>
  <si>
    <t>Μία Κρεμμός</t>
  </si>
  <si>
    <t>530</t>
  </si>
  <si>
    <t>LEM180</t>
  </si>
  <si>
    <t>Sykopetra</t>
  </si>
  <si>
    <t>Kolympia</t>
  </si>
  <si>
    <t>Κολύμπια</t>
  </si>
  <si>
    <t>1971</t>
  </si>
  <si>
    <t>509</t>
  </si>
  <si>
    <t>LEM159</t>
  </si>
  <si>
    <t>Platres, Kato</t>
  </si>
  <si>
    <t>Syrkatis</t>
  </si>
  <si>
    <t>Συρκάτης</t>
  </si>
  <si>
    <t>1973</t>
  </si>
  <si>
    <t>356</t>
  </si>
  <si>
    <t>LEM006</t>
  </si>
  <si>
    <t>Agios Konstantinos</t>
  </si>
  <si>
    <t>Miliaris-Vikla</t>
  </si>
  <si>
    <t>Μηλιάρης-Βίκλα</t>
  </si>
  <si>
    <t>341</t>
  </si>
  <si>
    <t>LAR068</t>
  </si>
  <si>
    <t>Skarinou</t>
  </si>
  <si>
    <t>Skopelos</t>
  </si>
  <si>
    <t>Σκόπελος</t>
  </si>
  <si>
    <t>496, 497</t>
  </si>
  <si>
    <t>LEM146</t>
  </si>
  <si>
    <t>Amaksimata</t>
  </si>
  <si>
    <t>Αμαξίματα</t>
  </si>
  <si>
    <t>524, 525</t>
  </si>
  <si>
    <t>LEM174</t>
  </si>
  <si>
    <t>Polemidia (Kato)</t>
  </si>
  <si>
    <t>Tzilalaoura</t>
  </si>
  <si>
    <t>Τζιλαλάουρα</t>
  </si>
  <si>
    <t>1978</t>
  </si>
  <si>
    <t>456, 457</t>
  </si>
  <si>
    <t>LEM106</t>
  </si>
  <si>
    <t>Khandria</t>
  </si>
  <si>
    <t>Domes</t>
  </si>
  <si>
    <t>Δόμες</t>
  </si>
  <si>
    <t>510</t>
  </si>
  <si>
    <t>LEM160</t>
  </si>
  <si>
    <t>Arkatzin tou Vathkia</t>
  </si>
  <si>
    <t>Αρκάτζιην του Βαθκιά</t>
  </si>
  <si>
    <t>1980</t>
  </si>
  <si>
    <t>406</t>
  </si>
  <si>
    <t>LEM056</t>
  </si>
  <si>
    <t>Dierona</t>
  </si>
  <si>
    <t>405</t>
  </si>
  <si>
    <t>LEM055</t>
  </si>
  <si>
    <t>Apsiou</t>
  </si>
  <si>
    <t>Gerampelouthkia</t>
  </si>
  <si>
    <t>Γεραμπελούθκια</t>
  </si>
  <si>
    <t>1981</t>
  </si>
  <si>
    <t>404</t>
  </si>
  <si>
    <t>LEM054</t>
  </si>
  <si>
    <t>Avdimou</t>
  </si>
  <si>
    <t>Psararis</t>
  </si>
  <si>
    <t>Ψαράρης</t>
  </si>
  <si>
    <t>500</t>
  </si>
  <si>
    <t>LEM150</t>
  </si>
  <si>
    <t>Moniatis</t>
  </si>
  <si>
    <t>Saittas(Kattes)</t>
  </si>
  <si>
    <t>Σαϊττάς (Κάττες)</t>
  </si>
  <si>
    <t>Ν</t>
  </si>
  <si>
    <t>503</t>
  </si>
  <si>
    <t>LEM153</t>
  </si>
  <si>
    <t>Paramytha</t>
  </si>
  <si>
    <t>Kolympoi</t>
  </si>
  <si>
    <t>Κόλυμποι</t>
  </si>
  <si>
    <t>1989</t>
  </si>
  <si>
    <t>403</t>
  </si>
  <si>
    <t>LEM053</t>
  </si>
  <si>
    <t>Mantri (Mantres)</t>
  </si>
  <si>
    <t>Μαντρί (Μάντρες)</t>
  </si>
  <si>
    <t>1994</t>
  </si>
  <si>
    <t>527</t>
  </si>
  <si>
    <t>LEM177</t>
  </si>
  <si>
    <t>Prasteio</t>
  </si>
  <si>
    <t>Kato Trimithoudin</t>
  </si>
  <si>
    <t>Κάτω Τριμιθούδι</t>
  </si>
  <si>
    <t>1995</t>
  </si>
  <si>
    <t>775</t>
  </si>
  <si>
    <t>PAF080</t>
  </si>
  <si>
    <t>Mandria</t>
  </si>
  <si>
    <t>Kambos tou Loutra</t>
  </si>
  <si>
    <t>Κάμπος και Λουτρά</t>
  </si>
  <si>
    <t>1997</t>
  </si>
  <si>
    <t>564, 565</t>
  </si>
  <si>
    <t>LEF024</t>
  </si>
  <si>
    <t>Astromeritis</t>
  </si>
  <si>
    <t>Potamoi (Trimmatos)</t>
  </si>
  <si>
    <t>Ποταμοί (Τρίμματος)</t>
  </si>
  <si>
    <t>573</t>
  </si>
  <si>
    <t>LEF033</t>
  </si>
  <si>
    <t>Dali</t>
  </si>
  <si>
    <t>575</t>
  </si>
  <si>
    <t>LEF035</t>
  </si>
  <si>
    <t>Lemonoudi</t>
  </si>
  <si>
    <t>Λεμονούδι</t>
  </si>
  <si>
    <t>Ts (2)</t>
  </si>
  <si>
    <t>574</t>
  </si>
  <si>
    <t>LEF034</t>
  </si>
  <si>
    <t>Aetomoutti</t>
  </si>
  <si>
    <t>Αετόμουττη</t>
  </si>
  <si>
    <t>671</t>
  </si>
  <si>
    <t>LEF131</t>
  </si>
  <si>
    <t>Nisou</t>
  </si>
  <si>
    <t>Maria Moutti</t>
  </si>
  <si>
    <t>Μαρία Μούττη</t>
  </si>
  <si>
    <t>687</t>
  </si>
  <si>
    <t>LEF147</t>
  </si>
  <si>
    <t>Potamia</t>
  </si>
  <si>
    <t>Diplopotamon</t>
  </si>
  <si>
    <t>Διπλοπόταμον</t>
  </si>
  <si>
    <t>686</t>
  </si>
  <si>
    <t>LEF146</t>
  </si>
  <si>
    <t>Ambelin</t>
  </si>
  <si>
    <t>Αμπέλιν</t>
  </si>
  <si>
    <t>685</t>
  </si>
  <si>
    <t>LEF145</t>
  </si>
  <si>
    <t>Fourkismenos</t>
  </si>
  <si>
    <t>Φουρκισμένος</t>
  </si>
  <si>
    <t>552</t>
  </si>
  <si>
    <t>LEF012</t>
  </si>
  <si>
    <t>Agios Sozomenos</t>
  </si>
  <si>
    <t>Vamos</t>
  </si>
  <si>
    <t>Βάμος</t>
  </si>
  <si>
    <t>553, 554, 555</t>
  </si>
  <si>
    <t>LEF013</t>
  </si>
  <si>
    <t>Halasmata</t>
  </si>
  <si>
    <t>Χαλάσματα</t>
  </si>
  <si>
    <t>556</t>
  </si>
  <si>
    <t>LEF016</t>
  </si>
  <si>
    <t>Choupan Tèpe</t>
  </si>
  <si>
    <t>548</t>
  </si>
  <si>
    <t>LEF008</t>
  </si>
  <si>
    <t>Agia Marina (Xyliatou)</t>
  </si>
  <si>
    <t>Tholos</t>
  </si>
  <si>
    <t>Θόλος</t>
  </si>
  <si>
    <t>Τ</t>
  </si>
  <si>
    <t>689</t>
  </si>
  <si>
    <t>LEF149</t>
  </si>
  <si>
    <t>Pyroi</t>
  </si>
  <si>
    <t>Kastros</t>
  </si>
  <si>
    <t>Κάστρος</t>
  </si>
  <si>
    <t>690, 691</t>
  </si>
  <si>
    <t>LEF150</t>
  </si>
  <si>
    <t>Ayios Yeoryios</t>
  </si>
  <si>
    <t>Άγιος Γεώργιος</t>
  </si>
  <si>
    <t>692</t>
  </si>
  <si>
    <t>LEF152</t>
  </si>
  <si>
    <t>Chalasmata</t>
  </si>
  <si>
    <t>605, 606, 607</t>
  </si>
  <si>
    <t>LEF065</t>
  </si>
  <si>
    <t>Geri/Yeri</t>
  </si>
  <si>
    <t>Khalasmata</t>
  </si>
  <si>
    <t>694</t>
  </si>
  <si>
    <t>LEF154</t>
  </si>
  <si>
    <t>Shia</t>
  </si>
  <si>
    <t>Anoyia</t>
  </si>
  <si>
    <t>Ανώγια</t>
  </si>
  <si>
    <t>579</t>
  </si>
  <si>
    <t>LEF039</t>
  </si>
  <si>
    <t>Evrichou</t>
  </si>
  <si>
    <t>Pano Atsias (Panatsios)</t>
  </si>
  <si>
    <t>Πάνω Ατσάς (Πάνατσιος)</t>
  </si>
  <si>
    <t>1964</t>
  </si>
  <si>
    <t>657</t>
  </si>
  <si>
    <t>LEF117</t>
  </si>
  <si>
    <t>Mathiatis</t>
  </si>
  <si>
    <t>Kokkinantonis</t>
  </si>
  <si>
    <t>Κοκκιναντώνης</t>
  </si>
  <si>
    <t>623</t>
  </si>
  <si>
    <t>LEF083</t>
  </si>
  <si>
    <t>Klirou</t>
  </si>
  <si>
    <t>Pervolia kai Diplargaka</t>
  </si>
  <si>
    <t>Περβόλια και Διπλάργακα</t>
  </si>
  <si>
    <t>658</t>
  </si>
  <si>
    <t>LEF118</t>
  </si>
  <si>
    <t>661</t>
  </si>
  <si>
    <t>LEF121</t>
  </si>
  <si>
    <t>Menoiko</t>
  </si>
  <si>
    <t>Elies</t>
  </si>
  <si>
    <t>Ελιές</t>
  </si>
  <si>
    <t>684</t>
  </si>
  <si>
    <t>LEF144</t>
  </si>
  <si>
    <t>Politiko</t>
  </si>
  <si>
    <t>Ayios Mnason</t>
  </si>
  <si>
    <t>Άγιος Μνάσων</t>
  </si>
  <si>
    <t>578</t>
  </si>
  <si>
    <t>LEF038</t>
  </si>
  <si>
    <t>Atsas</t>
  </si>
  <si>
    <t>Ατσάς</t>
  </si>
  <si>
    <t>551</t>
  </si>
  <si>
    <t>LEF011</t>
  </si>
  <si>
    <t>Agios Ioannis (Malountas)</t>
  </si>
  <si>
    <t>Moutti tou melissiou</t>
  </si>
  <si>
    <t>Μούττη του μελισσιού</t>
  </si>
  <si>
    <t>550</t>
  </si>
  <si>
    <t>LEF010</t>
  </si>
  <si>
    <t>Pallouroudin</t>
  </si>
  <si>
    <t>Παλλουρούδιν</t>
  </si>
  <si>
    <t>696, 697</t>
  </si>
  <si>
    <t>PAF001</t>
  </si>
  <si>
    <t>Agia Varvara</t>
  </si>
  <si>
    <t>Asproyes</t>
  </si>
  <si>
    <t>Ασπρογιές</t>
  </si>
  <si>
    <t>700</t>
  </si>
  <si>
    <t>PAF005</t>
  </si>
  <si>
    <t>Neon Chorio</t>
  </si>
  <si>
    <t>Νέον Χωριόν</t>
  </si>
  <si>
    <t>698</t>
  </si>
  <si>
    <t>PAF003</t>
  </si>
  <si>
    <t>Kaminia</t>
  </si>
  <si>
    <t>Καμίνια</t>
  </si>
  <si>
    <t>699</t>
  </si>
  <si>
    <t>PAF004</t>
  </si>
  <si>
    <t>Melisies</t>
  </si>
  <si>
    <t>Μελισιές</t>
  </si>
  <si>
    <t>702</t>
  </si>
  <si>
    <t>PAF007</t>
  </si>
  <si>
    <t>Agia Marinouda</t>
  </si>
  <si>
    <t>Καυκάλλα</t>
  </si>
  <si>
    <t>710</t>
  </si>
  <si>
    <t>PAF015</t>
  </si>
  <si>
    <t>Anarita</t>
  </si>
  <si>
    <t>Kafkarouda</t>
  </si>
  <si>
    <t>Καυκαρούδα</t>
  </si>
  <si>
    <t>711</t>
  </si>
  <si>
    <t>PAF016</t>
  </si>
  <si>
    <t>Monokokkalos</t>
  </si>
  <si>
    <t>Μονοκόκκαλος</t>
  </si>
  <si>
    <t>725</t>
  </si>
  <si>
    <t>PAF030</t>
  </si>
  <si>
    <t>Axylou (Episkopi)</t>
  </si>
  <si>
    <t>Moutti tou Ayio Epfaneiou</t>
  </si>
  <si>
    <t>Μούττη του Αγίου Επιφανείου</t>
  </si>
  <si>
    <t>707</t>
  </si>
  <si>
    <t>PAF012</t>
  </si>
  <si>
    <t>Acheleia</t>
  </si>
  <si>
    <t>Ayios Leontios</t>
  </si>
  <si>
    <t>Άγιος Λεόντιος</t>
  </si>
  <si>
    <t>746</t>
  </si>
  <si>
    <t>PAF051</t>
  </si>
  <si>
    <t>Episkopi</t>
  </si>
  <si>
    <t>Teratsia tou Kosta</t>
  </si>
  <si>
    <t>Τερατσιά του Κώστα</t>
  </si>
  <si>
    <t>774</t>
  </si>
  <si>
    <t>PAF079</t>
  </si>
  <si>
    <t>Makounta</t>
  </si>
  <si>
    <t>Karydi</t>
  </si>
  <si>
    <t>Καρύδι</t>
  </si>
  <si>
    <t>776</t>
  </si>
  <si>
    <t>PAF081</t>
  </si>
  <si>
    <t>Mesa Chorio</t>
  </si>
  <si>
    <t>Tzelarotsos</t>
  </si>
  <si>
    <t>Τζελάροτσος</t>
  </si>
  <si>
    <t>784</t>
  </si>
  <si>
    <t>PAF089</t>
  </si>
  <si>
    <t>Neo Chorio</t>
  </si>
  <si>
    <t>Anatoliki</t>
  </si>
  <si>
    <t>Ανατολική</t>
  </si>
  <si>
    <t>786</t>
  </si>
  <si>
    <t>PAF091</t>
  </si>
  <si>
    <t>Agnades</t>
  </si>
  <si>
    <t>Αγνάδες</t>
  </si>
  <si>
    <t>787</t>
  </si>
  <si>
    <t>PAF092</t>
  </si>
  <si>
    <t>Ayios Kononas/Kashia tous lakkous</t>
  </si>
  <si>
    <t>Άγιος Κόνωνας/Κασιά τους λάκκους</t>
  </si>
  <si>
    <t>788</t>
  </si>
  <si>
    <t>PAF093</t>
  </si>
  <si>
    <t>Nikokleia</t>
  </si>
  <si>
    <t>Teratsies tou Skarnou</t>
  </si>
  <si>
    <t>Τερατσιές του Σκάρνου</t>
  </si>
  <si>
    <t>923</t>
  </si>
  <si>
    <t>PAF228</t>
  </si>
  <si>
    <t>Poli Chrysochous</t>
  </si>
  <si>
    <t>Schinies</t>
  </si>
  <si>
    <t>Σχινιές</t>
  </si>
  <si>
    <t>924</t>
  </si>
  <si>
    <t>PAF229</t>
  </si>
  <si>
    <t>Koliotrypes</t>
  </si>
  <si>
    <t>Κολιότρυπες</t>
  </si>
  <si>
    <t>925, 926</t>
  </si>
  <si>
    <t>PAF230</t>
  </si>
  <si>
    <t>Αγία Βαρβάρα</t>
  </si>
  <si>
    <t>892, 893</t>
  </si>
  <si>
    <t>PAF197</t>
  </si>
  <si>
    <t>Pelathousa</t>
  </si>
  <si>
    <t>Limni</t>
  </si>
  <si>
    <t>Λίμνη</t>
  </si>
  <si>
    <t>894</t>
  </si>
  <si>
    <t>PAF199</t>
  </si>
  <si>
    <t>Limni-Athkiatzia</t>
  </si>
  <si>
    <t>Λίμνη-Αθκιάτζια</t>
  </si>
  <si>
    <t>895</t>
  </si>
  <si>
    <t>PAF200</t>
  </si>
  <si>
    <t>Orniatis (Omiatis)</t>
  </si>
  <si>
    <t>Ορνιάτης (Ομιάτης)</t>
  </si>
  <si>
    <t>927, 928, 929</t>
  </si>
  <si>
    <t>PAF232</t>
  </si>
  <si>
    <t>Pomos</t>
  </si>
  <si>
    <t>Agiolites</t>
  </si>
  <si>
    <t>Αγιολύτες</t>
  </si>
  <si>
    <t>934</t>
  </si>
  <si>
    <t>PAF239</t>
  </si>
  <si>
    <t>Souskiou</t>
  </si>
  <si>
    <t>Stalies</t>
  </si>
  <si>
    <t>Σταλιές</t>
  </si>
  <si>
    <t>933</t>
  </si>
  <si>
    <t>PAF238</t>
  </si>
  <si>
    <t>Plakota</t>
  </si>
  <si>
    <t>Πλακοτά</t>
  </si>
  <si>
    <t>936</t>
  </si>
  <si>
    <t>PAF241</t>
  </si>
  <si>
    <t>Steni</t>
  </si>
  <si>
    <t>Kapsala</t>
  </si>
  <si>
    <t>Καψάλα</t>
  </si>
  <si>
    <t>940</t>
  </si>
  <si>
    <t>PAF245</t>
  </si>
  <si>
    <t>Tsada</t>
  </si>
  <si>
    <t>Skoutellin</t>
  </si>
  <si>
    <t>Σκουτέλλιν</t>
  </si>
  <si>
    <t>939</t>
  </si>
  <si>
    <t>PAF244</t>
  </si>
  <si>
    <t>Timi</t>
  </si>
  <si>
    <t>Vounaros</t>
  </si>
  <si>
    <t>Βούναρος</t>
  </si>
  <si>
    <t>938</t>
  </si>
  <si>
    <t>PAF243</t>
  </si>
  <si>
    <t>Stillarka</t>
  </si>
  <si>
    <t>Στιλλάρκα</t>
  </si>
  <si>
    <t>748</t>
  </si>
  <si>
    <t>PAF053</t>
  </si>
  <si>
    <t>Foinikas</t>
  </si>
  <si>
    <t>Vasilina</t>
  </si>
  <si>
    <t>Βασιλίνα</t>
  </si>
  <si>
    <t>734</t>
  </si>
  <si>
    <t>PAF039</t>
  </si>
  <si>
    <t>Chrysochou</t>
  </si>
  <si>
    <t>Alonia</t>
  </si>
  <si>
    <t>Αλώνια</t>
  </si>
  <si>
    <t>1972</t>
  </si>
  <si>
    <t>733</t>
  </si>
  <si>
    <t>PAF038</t>
  </si>
  <si>
    <t>Kokkinoyia</t>
  </si>
  <si>
    <t>Κοκκινόγια</t>
  </si>
  <si>
    <t>731</t>
  </si>
  <si>
    <t>PAF036</t>
  </si>
  <si>
    <t>Chloraka</t>
  </si>
  <si>
    <t>727</t>
  </si>
  <si>
    <t>PAF032</t>
  </si>
  <si>
    <t>Vrisouthkia</t>
  </si>
  <si>
    <t>Βρυσούδια</t>
  </si>
  <si>
    <t>728</t>
  </si>
  <si>
    <t>PAF033</t>
  </si>
  <si>
    <t>Kinodries</t>
  </si>
  <si>
    <t>Κινόδριες</t>
  </si>
  <si>
    <t>544</t>
  </si>
  <si>
    <t>LEF004</t>
  </si>
  <si>
    <t>Agios Epifaneios (Soleas)</t>
  </si>
  <si>
    <t>Gerontas</t>
  </si>
  <si>
    <t>Γέροντας</t>
  </si>
  <si>
    <t>1982</t>
  </si>
  <si>
    <t>557</t>
  </si>
  <si>
    <t>LEF017</t>
  </si>
  <si>
    <t>Akaki</t>
  </si>
  <si>
    <t>Halopetra</t>
  </si>
  <si>
    <t>Χαλόπετρα</t>
  </si>
  <si>
    <t>1987</t>
  </si>
  <si>
    <t>562, 563</t>
  </si>
  <si>
    <t>LEF022</t>
  </si>
  <si>
    <t>Arediou</t>
  </si>
  <si>
    <t>Kokkini</t>
  </si>
  <si>
    <t>Κόκκινη</t>
  </si>
  <si>
    <t>608</t>
  </si>
  <si>
    <t>LEF068</t>
  </si>
  <si>
    <t>Koutsopetrika</t>
  </si>
  <si>
    <t>Κουτσοπέτρικα</t>
  </si>
  <si>
    <t>576</t>
  </si>
  <si>
    <t>LEF036</t>
  </si>
  <si>
    <t>Deneia</t>
  </si>
  <si>
    <t>610</t>
  </si>
  <si>
    <t>LEF070</t>
  </si>
  <si>
    <t>Kalopanayiotis</t>
  </si>
  <si>
    <t>Dikhoritissa</t>
  </si>
  <si>
    <t>Διχωρίτισσα</t>
  </si>
  <si>
    <t>1968</t>
  </si>
  <si>
    <t>611</t>
  </si>
  <si>
    <t>LEF071</t>
  </si>
  <si>
    <t>Pentakallis (Pendakalles)</t>
  </si>
  <si>
    <t>Πεντακάλλης (Πεντακαλλές)</t>
  </si>
  <si>
    <t>634</t>
  </si>
  <si>
    <t>LEF094</t>
  </si>
  <si>
    <t>Lakatameia (Kato)</t>
  </si>
  <si>
    <t>Kafkalla tis Mantras (tou kara Dimitri)</t>
  </si>
  <si>
    <t>Καφκάλλα της Μάντρας (του Καρά Δημήτρη)</t>
  </si>
  <si>
    <t>688</t>
  </si>
  <si>
    <t>LEF148</t>
  </si>
  <si>
    <t>Pyrgos (Kato)</t>
  </si>
  <si>
    <t>Solomos</t>
  </si>
  <si>
    <t>Σολωμός</t>
  </si>
  <si>
    <t>679</t>
  </si>
  <si>
    <t>LEF139</t>
  </si>
  <si>
    <t>Pigenia</t>
  </si>
  <si>
    <t>Spiladia</t>
  </si>
  <si>
    <t>Σπηλάδια</t>
  </si>
  <si>
    <t>659</t>
  </si>
  <si>
    <t>LEF119</t>
  </si>
  <si>
    <t>Mansoura</t>
  </si>
  <si>
    <t>Ayios Theodoros</t>
  </si>
  <si>
    <t>Άγιος Θεόδωρος</t>
  </si>
  <si>
    <t>636</t>
  </si>
  <si>
    <t>LEF096</t>
  </si>
  <si>
    <t>Lefkosia</t>
  </si>
  <si>
    <t>609</t>
  </si>
  <si>
    <t>LEF069</t>
  </si>
  <si>
    <t>Kakopetria</t>
  </si>
  <si>
    <t>1996</t>
  </si>
  <si>
    <t>624</t>
  </si>
  <si>
    <t>LEF084</t>
  </si>
  <si>
    <t>274</t>
  </si>
  <si>
    <t>LAR001</t>
  </si>
  <si>
    <t>U</t>
  </si>
  <si>
    <t>286</t>
  </si>
  <si>
    <t>LAR013</t>
  </si>
  <si>
    <t>Gyrtomilos</t>
  </si>
  <si>
    <t>Γυρτόμυλος</t>
  </si>
  <si>
    <t>1984</t>
  </si>
  <si>
    <t>357</t>
  </si>
  <si>
    <t>LEM007</t>
  </si>
  <si>
    <t>Agios Theodoros (Agrou)</t>
  </si>
  <si>
    <t>390, 391</t>
  </si>
  <si>
    <t>LEM040</t>
  </si>
  <si>
    <t>Agros</t>
  </si>
  <si>
    <t>Vrysia-Aloni</t>
  </si>
  <si>
    <t>ΒρυσιάΑλώνι</t>
  </si>
  <si>
    <t>2003</t>
  </si>
  <si>
    <t>396</t>
  </si>
  <si>
    <t>LEM046</t>
  </si>
  <si>
    <t>Apeshia</t>
  </si>
  <si>
    <t>1936</t>
  </si>
  <si>
    <t>402</t>
  </si>
  <si>
    <t>LEM052</t>
  </si>
  <si>
    <t>Trapezomata</t>
  </si>
  <si>
    <t>ΤραπεζώματαΤραπεζόμαντρα</t>
  </si>
  <si>
    <t>1992</t>
  </si>
  <si>
    <t>534</t>
  </si>
  <si>
    <t>LEM184</t>
  </si>
  <si>
    <t>Vasa</t>
  </si>
  <si>
    <t>Gouppi</t>
  </si>
  <si>
    <t>Γούππι</t>
  </si>
  <si>
    <t>1959</t>
  </si>
  <si>
    <t>535</t>
  </si>
  <si>
    <t>LEM185</t>
  </si>
  <si>
    <t>Kampi</t>
  </si>
  <si>
    <t>Καμπί</t>
  </si>
  <si>
    <t>1938</t>
  </si>
  <si>
    <t>452</t>
  </si>
  <si>
    <t>LEM102</t>
  </si>
  <si>
    <t>Germasoyeia</t>
  </si>
  <si>
    <t>Paniotis</t>
  </si>
  <si>
    <t>Πανιώτης</t>
  </si>
  <si>
    <t>2000</t>
  </si>
  <si>
    <t>453</t>
  </si>
  <si>
    <t>LEM103</t>
  </si>
  <si>
    <t>Kantou</t>
  </si>
  <si>
    <t>Anatolia</t>
  </si>
  <si>
    <t>Ανατολία</t>
  </si>
  <si>
    <t>1986</t>
  </si>
  <si>
    <t>454, 455</t>
  </si>
  <si>
    <t>LEM104</t>
  </si>
  <si>
    <t>Kokkinospilios</t>
  </si>
  <si>
    <t>Κοκκινόσπηλιος</t>
  </si>
  <si>
    <t>458</t>
  </si>
  <si>
    <t>LEM108</t>
  </si>
  <si>
    <t>Pampoula</t>
  </si>
  <si>
    <t>Παμπούλα</t>
  </si>
  <si>
    <t>460</t>
  </si>
  <si>
    <t>LEM110</t>
  </si>
  <si>
    <t>Korphi</t>
  </si>
  <si>
    <t>1998</t>
  </si>
  <si>
    <t>462</t>
  </si>
  <si>
    <t>LEM112</t>
  </si>
  <si>
    <t>Kyperounta</t>
  </si>
  <si>
    <t>Panayia</t>
  </si>
  <si>
    <t>Παναγία</t>
  </si>
  <si>
    <t>501</t>
  </si>
  <si>
    <t>LEM151</t>
  </si>
  <si>
    <t>Palodhia</t>
  </si>
  <si>
    <t>502</t>
  </si>
  <si>
    <t>LEM152</t>
  </si>
  <si>
    <t>Between localities Laksia tou Makronou (N), Kserokoiladia (S), Kountouros (E)</t>
  </si>
  <si>
    <t>Between localities Λαξιά του Μακρόνου (N), Ξεροκοιλάδια (S), Κούντουρος (E)</t>
  </si>
  <si>
    <t>2005</t>
  </si>
  <si>
    <t>512, 513</t>
  </si>
  <si>
    <t>LEM162</t>
  </si>
  <si>
    <t>Polemidia</t>
  </si>
  <si>
    <t>Skasmata</t>
  </si>
  <si>
    <t>Σκάσματα</t>
  </si>
  <si>
    <t>526</t>
  </si>
  <si>
    <t>LEM176</t>
  </si>
  <si>
    <t>Potamiou</t>
  </si>
  <si>
    <t>Ts(5)</t>
  </si>
  <si>
    <t>528</t>
  </si>
  <si>
    <t>LEM178</t>
  </si>
  <si>
    <t>Spitali</t>
  </si>
  <si>
    <t>1926</t>
  </si>
  <si>
    <t>538</t>
  </si>
  <si>
    <t>LEM188</t>
  </si>
  <si>
    <t>Ypsonas</t>
  </si>
  <si>
    <t>Skotomenos</t>
  </si>
  <si>
    <t>Σκοτωμένος</t>
  </si>
  <si>
    <t>539, 540</t>
  </si>
  <si>
    <t>LEM189</t>
  </si>
  <si>
    <t>Kladeri</t>
  </si>
  <si>
    <t>Κλαδερή</t>
  </si>
  <si>
    <t>536</t>
  </si>
  <si>
    <t>LEM186</t>
  </si>
  <si>
    <t>Choliasmeni</t>
  </si>
  <si>
    <t>Χολιασμένη</t>
  </si>
  <si>
    <t>505</t>
  </si>
  <si>
    <t>LEM155</t>
  </si>
  <si>
    <t>Phasoula</t>
  </si>
  <si>
    <t>Agios Riginos</t>
  </si>
  <si>
    <t>Άγιος Ρηγίνος</t>
  </si>
  <si>
    <t>545, 546</t>
  </si>
  <si>
    <t>LEF005</t>
  </si>
  <si>
    <t>Agios Theodoros/Mansoura</t>
  </si>
  <si>
    <t>Spilios tou Listi</t>
  </si>
  <si>
    <t>Σπήλιος του Ληστή</t>
  </si>
  <si>
    <t>2009</t>
  </si>
  <si>
    <t>559</t>
  </si>
  <si>
    <t>LEF019</t>
  </si>
  <si>
    <t>Anagia</t>
  </si>
  <si>
    <t>Vounous</t>
  </si>
  <si>
    <t>Βούνους</t>
  </si>
  <si>
    <t>560</t>
  </si>
  <si>
    <t>LEF020</t>
  </si>
  <si>
    <t>Analiontas</t>
  </si>
  <si>
    <t>572</t>
  </si>
  <si>
    <t>LEF032</t>
  </si>
  <si>
    <t>Vasilika</t>
  </si>
  <si>
    <t>Βασιλικά</t>
  </si>
  <si>
    <t>570</t>
  </si>
  <si>
    <t>LEF030</t>
  </si>
  <si>
    <t>Eliouthkia tou Kouzourtou</t>
  </si>
  <si>
    <t>Ελιούθκια του Κούζουρτου</t>
  </si>
  <si>
    <t>577</t>
  </si>
  <si>
    <t>LEF037</t>
  </si>
  <si>
    <t>Phoinikas</t>
  </si>
  <si>
    <t>Φοίνικας</t>
  </si>
  <si>
    <t>1983</t>
  </si>
  <si>
    <t>625</t>
  </si>
  <si>
    <t>LEF085</t>
  </si>
  <si>
    <t>1985</t>
  </si>
  <si>
    <t>656</t>
  </si>
  <si>
    <t>LEF116</t>
  </si>
  <si>
    <t>Lythrodontas</t>
  </si>
  <si>
    <t>670</t>
  </si>
  <si>
    <t>LEF130</t>
  </si>
  <si>
    <t>Nikitari</t>
  </si>
  <si>
    <t>Mylos tou Rousou</t>
  </si>
  <si>
    <t>Μύλος του Ρούσου</t>
  </si>
  <si>
    <t>672</t>
  </si>
  <si>
    <t>LEF132</t>
  </si>
  <si>
    <t>681, 682, 683</t>
  </si>
  <si>
    <t>LEF141</t>
  </si>
  <si>
    <t>695</t>
  </si>
  <si>
    <t>LEF155</t>
  </si>
  <si>
    <t>Skouriotissa</t>
  </si>
  <si>
    <t>Apoti</t>
  </si>
  <si>
    <t>Άποτη</t>
  </si>
  <si>
    <t>1916</t>
  </si>
  <si>
    <t>580, 581</t>
  </si>
  <si>
    <t>LEF040</t>
  </si>
  <si>
    <t>Flasou</t>
  </si>
  <si>
    <t>1969</t>
  </si>
  <si>
    <t>712, 713, 716</t>
  </si>
  <si>
    <t>PAF017</t>
  </si>
  <si>
    <t>Anavargos</t>
  </si>
  <si>
    <t>Ellinospilioi/Alinospilios</t>
  </si>
  <si>
    <t>Ελληνόσπηλιοι/Αληνόσπηλιοι</t>
  </si>
  <si>
    <t>T (part of visible necropolis)</t>
  </si>
  <si>
    <t>705</t>
  </si>
  <si>
    <t>PAF010</t>
  </si>
  <si>
    <t>Agios Fotios</t>
  </si>
  <si>
    <t>717</t>
  </si>
  <si>
    <t>PAF022</t>
  </si>
  <si>
    <t>Archimandrita (Pano)</t>
  </si>
  <si>
    <t>719, 720, 721, 722</t>
  </si>
  <si>
    <t>PAF024</t>
  </si>
  <si>
    <t>Archimandrita</t>
  </si>
  <si>
    <t>Mantres</t>
  </si>
  <si>
    <t>Μάντρες</t>
  </si>
  <si>
    <t>Ts (7)</t>
  </si>
  <si>
    <t>723</t>
  </si>
  <si>
    <t>PAF028</t>
  </si>
  <si>
    <t>Archimandrita (Kato)</t>
  </si>
  <si>
    <t>Sklinitzia</t>
  </si>
  <si>
    <t>Σκλινίτζια</t>
  </si>
  <si>
    <t>744</t>
  </si>
  <si>
    <t>PAF049</t>
  </si>
  <si>
    <t>Emba</t>
  </si>
  <si>
    <t>749, 750</t>
  </si>
  <si>
    <t>PAF054</t>
  </si>
  <si>
    <t>Geroskipou</t>
  </si>
  <si>
    <t>755</t>
  </si>
  <si>
    <t>PAF060</t>
  </si>
  <si>
    <t>Katarameni</t>
  </si>
  <si>
    <t>Καταραμένη</t>
  </si>
  <si>
    <t>751, 752, 753</t>
  </si>
  <si>
    <t>PAF056</t>
  </si>
  <si>
    <t>Laxia</t>
  </si>
  <si>
    <t>Λαξιά</t>
  </si>
  <si>
    <t>754</t>
  </si>
  <si>
    <t>PAF059</t>
  </si>
  <si>
    <t>Geroskipou (Paphos)</t>
  </si>
  <si>
    <t>Ellinika</t>
  </si>
  <si>
    <t>Ελληνικά</t>
  </si>
  <si>
    <t>1887</t>
  </si>
  <si>
    <t>758</t>
  </si>
  <si>
    <t>PAF063</t>
  </si>
  <si>
    <t>Kallepeia</t>
  </si>
  <si>
    <t>759</t>
  </si>
  <si>
    <t>PAF064</t>
  </si>
  <si>
    <t>Kedares</t>
  </si>
  <si>
    <t>760</t>
  </si>
  <si>
    <t>PAF065</t>
  </si>
  <si>
    <t>Kissonerga</t>
  </si>
  <si>
    <t>761</t>
  </si>
  <si>
    <t>PAF066</t>
  </si>
  <si>
    <t>Kouklia</t>
  </si>
  <si>
    <t>Arkalon</t>
  </si>
  <si>
    <t>Άρκαλον</t>
  </si>
  <si>
    <t>767</t>
  </si>
  <si>
    <t>PAF072</t>
  </si>
  <si>
    <t>Xylinos</t>
  </si>
  <si>
    <t>Ξυλινός</t>
  </si>
  <si>
    <t>769</t>
  </si>
  <si>
    <t>PAF074</t>
  </si>
  <si>
    <t>Dimmata</t>
  </si>
  <si>
    <t>Δήμματα</t>
  </si>
  <si>
    <t>T (3)</t>
  </si>
  <si>
    <t>768</t>
  </si>
  <si>
    <t>PAF073</t>
  </si>
  <si>
    <t>Spilaion tou Arapi</t>
  </si>
  <si>
    <t>Σπήλαιον του Αράπη</t>
  </si>
  <si>
    <t>772</t>
  </si>
  <si>
    <t>PAF077</t>
  </si>
  <si>
    <t>Lemba</t>
  </si>
  <si>
    <t>Ayios Stephanos</t>
  </si>
  <si>
    <t>Άγιος Στέφανος</t>
  </si>
  <si>
    <t>773</t>
  </si>
  <si>
    <t>PAF078</t>
  </si>
  <si>
    <t>Limni (Pano)</t>
  </si>
  <si>
    <t>Charkomas</t>
  </si>
  <si>
    <t>Χαρκομάς</t>
  </si>
  <si>
    <t>777, 778, 779</t>
  </si>
  <si>
    <t>PAF082</t>
  </si>
  <si>
    <t>Mesogi</t>
  </si>
  <si>
    <t>780, 781, 782, 783</t>
  </si>
  <si>
    <t>PAF085</t>
  </si>
  <si>
    <t>Nea Dimmata</t>
  </si>
  <si>
    <t>785</t>
  </si>
  <si>
    <t>PAF090</t>
  </si>
  <si>
    <t>Pampelon</t>
  </si>
  <si>
    <t>Πάμπελον</t>
  </si>
  <si>
    <t>789</t>
  </si>
  <si>
    <t>PAF094</t>
  </si>
  <si>
    <t>Pachyammos</t>
  </si>
  <si>
    <t>897</t>
  </si>
  <si>
    <t>PAF202</t>
  </si>
  <si>
    <t>Peyia</t>
  </si>
  <si>
    <t>Agios Georghios</t>
  </si>
  <si>
    <t>896</t>
  </si>
  <si>
    <t>PAF201</t>
  </si>
  <si>
    <t>Meletis</t>
  </si>
  <si>
    <t>Μελέτης</t>
  </si>
  <si>
    <t>N (10 visible tombs, 1 unfinished)</t>
  </si>
  <si>
    <t>1888</t>
  </si>
  <si>
    <t>901</t>
  </si>
  <si>
    <t>PAF206</t>
  </si>
  <si>
    <t>Pappara</t>
  </si>
  <si>
    <t>Παππάρα</t>
  </si>
  <si>
    <t>899</t>
  </si>
  <si>
    <t>PAF204</t>
  </si>
  <si>
    <t>Vatouthkia</t>
  </si>
  <si>
    <t>Βατούθκια</t>
  </si>
  <si>
    <t>902</t>
  </si>
  <si>
    <t>PAF207</t>
  </si>
  <si>
    <t>Palaiomonastero</t>
  </si>
  <si>
    <t>Παλαιομονάστερο</t>
  </si>
  <si>
    <t>2007</t>
  </si>
  <si>
    <t>903</t>
  </si>
  <si>
    <t>PAF208</t>
  </si>
  <si>
    <t>Polemi</t>
  </si>
  <si>
    <t>919</t>
  </si>
  <si>
    <t>PAF224</t>
  </si>
  <si>
    <t>Koiladia</t>
  </si>
  <si>
    <t>Κοιλάδια</t>
  </si>
  <si>
    <t>922</t>
  </si>
  <si>
    <t>PAF227</t>
  </si>
  <si>
    <t>28</t>
  </si>
  <si>
    <t>AMM028</t>
  </si>
  <si>
    <t>Agios Andronikos</t>
  </si>
  <si>
    <t>1967</t>
  </si>
  <si>
    <t>31</t>
  </si>
  <si>
    <t>AMM031</t>
  </si>
  <si>
    <t>Agios Elias</t>
  </si>
  <si>
    <t>Spilios</t>
  </si>
  <si>
    <t>Σπήλιος</t>
  </si>
  <si>
    <t>29</t>
  </si>
  <si>
    <t>AMM029</t>
  </si>
  <si>
    <t>Kinanerades</t>
  </si>
  <si>
    <t>Κινανεράδες</t>
  </si>
  <si>
    <t>30</t>
  </si>
  <si>
    <t>AMM030</t>
  </si>
  <si>
    <t>Palaia Avgolida</t>
  </si>
  <si>
    <t>Παλαιά Αυγολίδα</t>
  </si>
  <si>
    <t>27</t>
  </si>
  <si>
    <t>AMM027</t>
  </si>
  <si>
    <t>Plaka</t>
  </si>
  <si>
    <t>Πλάκα</t>
  </si>
  <si>
    <t>42</t>
  </si>
  <si>
    <t>AMM042</t>
  </si>
  <si>
    <t>Akrotiri</t>
  </si>
  <si>
    <t>Ακρωτήρι</t>
  </si>
  <si>
    <t>32</t>
  </si>
  <si>
    <t>AMM032</t>
  </si>
  <si>
    <t>Agios Iacovos</t>
  </si>
  <si>
    <t>Livadhi</t>
  </si>
  <si>
    <t>39</t>
  </si>
  <si>
    <t>AMM039</t>
  </si>
  <si>
    <t>Agios Symeon</t>
  </si>
  <si>
    <t>Katsiaourena</t>
  </si>
  <si>
    <t>Κατσιαούρενα</t>
  </si>
  <si>
    <t>45</t>
  </si>
  <si>
    <t>AMM045</t>
  </si>
  <si>
    <t>Akanthou</t>
  </si>
  <si>
    <t>44</t>
  </si>
  <si>
    <t>AMM044</t>
  </si>
  <si>
    <t>Agios Perpiros</t>
  </si>
  <si>
    <t>Άγιος Πέρπυρος</t>
  </si>
  <si>
    <t>65</t>
  </si>
  <si>
    <t>AMM065</t>
  </si>
  <si>
    <t>Gastria</t>
  </si>
  <si>
    <t>Monastiraki</t>
  </si>
  <si>
    <t>Μοναστηράκι</t>
  </si>
  <si>
    <t>66, 67</t>
  </si>
  <si>
    <t>AMM066</t>
  </si>
  <si>
    <t>Eliochoria</t>
  </si>
  <si>
    <t>Ελιοχώρια</t>
  </si>
  <si>
    <t>54, 55</t>
  </si>
  <si>
    <t>AMM054</t>
  </si>
  <si>
    <t>Davlos</t>
  </si>
  <si>
    <t>Trapeza</t>
  </si>
  <si>
    <t>Τραπέζα</t>
  </si>
  <si>
    <t>52</t>
  </si>
  <si>
    <t>AMM052</t>
  </si>
  <si>
    <t>Kakos</t>
  </si>
  <si>
    <t>Κακος</t>
  </si>
  <si>
    <t>53</t>
  </si>
  <si>
    <t>AMM053</t>
  </si>
  <si>
    <t>Terkellovounos</t>
  </si>
  <si>
    <t>Τερκελλόβουνος</t>
  </si>
  <si>
    <t>70</t>
  </si>
  <si>
    <t>AMM070</t>
  </si>
  <si>
    <t>Kontea</t>
  </si>
  <si>
    <t>Ayios Mamas</t>
  </si>
  <si>
    <t>Άγιος Μάμας</t>
  </si>
  <si>
    <t>89</t>
  </si>
  <si>
    <t>AMM089</t>
  </si>
  <si>
    <t>Komi (Kepir)</t>
  </si>
  <si>
    <t>Aloupos</t>
  </si>
  <si>
    <t>Αλουπός</t>
  </si>
  <si>
    <t>91</t>
  </si>
  <si>
    <t>AMM091</t>
  </si>
  <si>
    <t>Vikli</t>
  </si>
  <si>
    <t>Βικλί</t>
  </si>
  <si>
    <t>92</t>
  </si>
  <si>
    <t>AMM092</t>
  </si>
  <si>
    <t>Klima</t>
  </si>
  <si>
    <t>Κλήμα</t>
  </si>
  <si>
    <t>88</t>
  </si>
  <si>
    <t>AMM088</t>
  </si>
  <si>
    <t>Koma tou Yialou</t>
  </si>
  <si>
    <t>Kortylas</t>
  </si>
  <si>
    <t>Κορτυλάς</t>
  </si>
  <si>
    <t>Η</t>
  </si>
  <si>
    <t>93</t>
  </si>
  <si>
    <t>AMM093</t>
  </si>
  <si>
    <t>Lapathos</t>
  </si>
  <si>
    <t>Varkes</t>
  </si>
  <si>
    <t>Βαρκές</t>
  </si>
  <si>
    <t>69, 102, 103, 104</t>
  </si>
  <si>
    <t>AMM069</t>
  </si>
  <si>
    <t>Gerani</t>
  </si>
  <si>
    <t>Trachonas tis Monargas</t>
  </si>
  <si>
    <t>Τράχωνας της Μοναργάς</t>
  </si>
  <si>
    <t>105</t>
  </si>
  <si>
    <t>AMM105</t>
  </si>
  <si>
    <t>Neta</t>
  </si>
  <si>
    <t>Pyrogi</t>
  </si>
  <si>
    <t>Πυρογή</t>
  </si>
  <si>
    <t>107</t>
  </si>
  <si>
    <t>AMM107</t>
  </si>
  <si>
    <t>Patriki</t>
  </si>
  <si>
    <t>Fragkafkolia</t>
  </si>
  <si>
    <t>Φραγκαφκολιά</t>
  </si>
  <si>
    <t>145, 146</t>
  </si>
  <si>
    <t>AMM145</t>
  </si>
  <si>
    <t>Styllos</t>
  </si>
  <si>
    <t>Kokkina</t>
  </si>
  <si>
    <t>Κόκκινα</t>
  </si>
  <si>
    <t>147</t>
  </si>
  <si>
    <t>AMM147</t>
  </si>
  <si>
    <t>Sygkrasi</t>
  </si>
  <si>
    <t>Plativounos</t>
  </si>
  <si>
    <t>157</t>
  </si>
  <si>
    <t>AMM157</t>
  </si>
  <si>
    <t>Trikomo</t>
  </si>
  <si>
    <t>Matsouki</t>
  </si>
  <si>
    <t>Ματσούκι</t>
  </si>
  <si>
    <t>158</t>
  </si>
  <si>
    <t>AMM158</t>
  </si>
  <si>
    <t>Vounari</t>
  </si>
  <si>
    <t>Βουνάρι</t>
  </si>
  <si>
    <t>160</t>
  </si>
  <si>
    <t>AMM160</t>
  </si>
  <si>
    <t>Charafti</t>
  </si>
  <si>
    <t>Χάραφτη</t>
  </si>
  <si>
    <t>156</t>
  </si>
  <si>
    <t>AMM156</t>
  </si>
  <si>
    <t>Kavalloi</t>
  </si>
  <si>
    <t>Καβάλλοι</t>
  </si>
  <si>
    <t>153, 154, 155</t>
  </si>
  <si>
    <t>AMM153</t>
  </si>
  <si>
    <t>Kafkallia A</t>
  </si>
  <si>
    <t>Καυκαλλιά Α</t>
  </si>
  <si>
    <t>34</t>
  </si>
  <si>
    <t>AMM034</t>
  </si>
  <si>
    <t>Agios Nikolaos (Lefkonoikou)</t>
  </si>
  <si>
    <t>Ellinospilios</t>
  </si>
  <si>
    <t>Ελληνόσπηλιος</t>
  </si>
  <si>
    <t>36</t>
  </si>
  <si>
    <t>AMM036</t>
  </si>
  <si>
    <t>Archangelos</t>
  </si>
  <si>
    <t>Αρχάγγελος</t>
  </si>
  <si>
    <t>47, 48, 49</t>
  </si>
  <si>
    <t>AMM047</t>
  </si>
  <si>
    <t>Ammochostos</t>
  </si>
  <si>
    <t>Karaolos</t>
  </si>
  <si>
    <t>Καράολος</t>
  </si>
  <si>
    <t>125, 126, 127, 128</t>
  </si>
  <si>
    <t>AMM125</t>
  </si>
  <si>
    <t>Rizokarpaso</t>
  </si>
  <si>
    <t>Vrysi</t>
  </si>
  <si>
    <t>Βρύση (Βρυσί)</t>
  </si>
  <si>
    <t>1937</t>
  </si>
  <si>
    <t>117, 118, 119, 120, 121, 122, 123, 124</t>
  </si>
  <si>
    <t>AMM117</t>
  </si>
  <si>
    <t>Afentrika-Limnionas</t>
  </si>
  <si>
    <t>Αφέντρικα/Λιμνιόνας</t>
  </si>
  <si>
    <t>90</t>
  </si>
  <si>
    <t>AMM090</t>
  </si>
  <si>
    <t>94</t>
  </si>
  <si>
    <t>AMM094</t>
  </si>
  <si>
    <t>Lefkonoiko</t>
  </si>
  <si>
    <t>98</t>
  </si>
  <si>
    <t>AMM098</t>
  </si>
  <si>
    <t>Mandres</t>
  </si>
  <si>
    <t>Plousia</t>
  </si>
  <si>
    <t>Πλουσιά</t>
  </si>
  <si>
    <t>97</t>
  </si>
  <si>
    <t>AMM097</t>
  </si>
  <si>
    <t>Melissouthkia</t>
  </si>
  <si>
    <t>Μελισσούθκια</t>
  </si>
  <si>
    <t>108, 109</t>
  </si>
  <si>
    <t>AMM108</t>
  </si>
  <si>
    <t>Peristerona</t>
  </si>
  <si>
    <t>Krotiri</t>
  </si>
  <si>
    <t>Κρωτήρι</t>
  </si>
  <si>
    <t>152</t>
  </si>
  <si>
    <t>AMM152</t>
  </si>
  <si>
    <t>Vounos ton Krinon</t>
  </si>
  <si>
    <t>Βουνός των Κρηνών</t>
  </si>
  <si>
    <t>58</t>
  </si>
  <si>
    <t>AMM058</t>
  </si>
  <si>
    <t>Flamoudi</t>
  </si>
  <si>
    <t>Lithosourka</t>
  </si>
  <si>
    <t>Λιθοσούρκα</t>
  </si>
  <si>
    <t>57</t>
  </si>
  <si>
    <t>AMM057</t>
  </si>
  <si>
    <t>Ampelia</t>
  </si>
  <si>
    <t>Αμπέλια</t>
  </si>
  <si>
    <t>59</t>
  </si>
  <si>
    <t>AMM059</t>
  </si>
  <si>
    <t>Pallouri</t>
  </si>
  <si>
    <t>Παλλούρι</t>
  </si>
  <si>
    <t>116</t>
  </si>
  <si>
    <t>AMM116</t>
  </si>
  <si>
    <t>Psyllatos</t>
  </si>
  <si>
    <t>Moutti</t>
  </si>
  <si>
    <t>Μούττη</t>
  </si>
  <si>
    <t>165</t>
  </si>
  <si>
    <t>KER004</t>
  </si>
  <si>
    <t>Agia Eirini</t>
  </si>
  <si>
    <t>Loura</t>
  </si>
  <si>
    <t>Λούρα</t>
  </si>
  <si>
    <t>1955</t>
  </si>
  <si>
    <t>166</t>
  </si>
  <si>
    <t>KER005</t>
  </si>
  <si>
    <t>Liontos</t>
  </si>
  <si>
    <t>Λιόντος</t>
  </si>
  <si>
    <t>163, 164</t>
  </si>
  <si>
    <t>KER002</t>
  </si>
  <si>
    <t>Ksirafes</t>
  </si>
  <si>
    <t>Ξιφάρες</t>
  </si>
  <si>
    <t>167</t>
  </si>
  <si>
    <t>KER006</t>
  </si>
  <si>
    <t>Foradomantra</t>
  </si>
  <si>
    <t>Φοραδόμαντρα</t>
  </si>
  <si>
    <t>168</t>
  </si>
  <si>
    <t>KER007</t>
  </si>
  <si>
    <t>Koukkopetres</t>
  </si>
  <si>
    <t>Κουκκόπετρες</t>
  </si>
  <si>
    <t>169</t>
  </si>
  <si>
    <t>KER008</t>
  </si>
  <si>
    <t>Kattouthkies</t>
  </si>
  <si>
    <t>Καττουθκιές</t>
  </si>
  <si>
    <t>174</t>
  </si>
  <si>
    <t>KER013</t>
  </si>
  <si>
    <t>Agirda</t>
  </si>
  <si>
    <t>Boc Koyiak</t>
  </si>
  <si>
    <t>172</t>
  </si>
  <si>
    <t>KER011</t>
  </si>
  <si>
    <t>Bostanlik</t>
  </si>
  <si>
    <t>173</t>
  </si>
  <si>
    <t>KER012</t>
  </si>
  <si>
    <t>Kutranli Maghra</t>
  </si>
  <si>
    <t>175</t>
  </si>
  <si>
    <t>KER014</t>
  </si>
  <si>
    <t>Asomatos</t>
  </si>
  <si>
    <t>Tris Elies</t>
  </si>
  <si>
    <t>Τρεις Ελιές</t>
  </si>
  <si>
    <t>176</t>
  </si>
  <si>
    <t>KER015</t>
  </si>
  <si>
    <t>Halospita</t>
  </si>
  <si>
    <t>Χαλόσπιτα</t>
  </si>
  <si>
    <t>177</t>
  </si>
  <si>
    <t>KER016</t>
  </si>
  <si>
    <t>Lakia tis Evretis</t>
  </si>
  <si>
    <t>Λακιά της Ευρετής</t>
  </si>
  <si>
    <t>179</t>
  </si>
  <si>
    <t>KER018</t>
  </si>
  <si>
    <t>Trimithkia</t>
  </si>
  <si>
    <t>Τριμίθκια</t>
  </si>
  <si>
    <t>178</t>
  </si>
  <si>
    <t>KER017</t>
  </si>
  <si>
    <t>Aloupotrypes</t>
  </si>
  <si>
    <t>Αλουπότρυπες</t>
  </si>
  <si>
    <t>272</t>
  </si>
  <si>
    <t>KER111</t>
  </si>
  <si>
    <t>Vasileia</t>
  </si>
  <si>
    <t>Petra pou chalase</t>
  </si>
  <si>
    <t>Πέτρα που χάλασε</t>
  </si>
  <si>
    <t>273</t>
  </si>
  <si>
    <t>KER112</t>
  </si>
  <si>
    <t>Petra tis Rodous</t>
  </si>
  <si>
    <t>Πέτρα της Ροδούς</t>
  </si>
  <si>
    <t>271</t>
  </si>
  <si>
    <t>KER110</t>
  </si>
  <si>
    <t>Kampos tou Loi</t>
  </si>
  <si>
    <t>Κάμπος του Λοή</t>
  </si>
  <si>
    <t>270</t>
  </si>
  <si>
    <t>KER109</t>
  </si>
  <si>
    <t>Varkes/Vanilas</t>
  </si>
  <si>
    <t>Βαρκές/Vanilas</t>
  </si>
  <si>
    <t>184</t>
  </si>
  <si>
    <t>KER023</t>
  </si>
  <si>
    <t>Dikomo</t>
  </si>
  <si>
    <t>Tourchellos</t>
  </si>
  <si>
    <t>181, 182</t>
  </si>
  <si>
    <t>KER020</t>
  </si>
  <si>
    <t>Dikomo (Pano)</t>
  </si>
  <si>
    <t>Mantres tou Iona</t>
  </si>
  <si>
    <t>Μάντρα του Ιωνά</t>
  </si>
  <si>
    <t>185</t>
  </si>
  <si>
    <t>KER024</t>
  </si>
  <si>
    <t>Kryon Neron</t>
  </si>
  <si>
    <t>Κρυόν νερόν</t>
  </si>
  <si>
    <t>183</t>
  </si>
  <si>
    <t>KER022</t>
  </si>
  <si>
    <t>Pigadia</t>
  </si>
  <si>
    <t>Πηγάδια</t>
  </si>
  <si>
    <t>186</t>
  </si>
  <si>
    <t>KER025</t>
  </si>
  <si>
    <t>Diorios</t>
  </si>
  <si>
    <t>Lakkos tou Kourri</t>
  </si>
  <si>
    <t>Λάκκος του Κούρρης</t>
  </si>
  <si>
    <t>187</t>
  </si>
  <si>
    <t>KER026</t>
  </si>
  <si>
    <t>Lakkouthkia</t>
  </si>
  <si>
    <t>Λακκουθκιά</t>
  </si>
  <si>
    <t>190</t>
  </si>
  <si>
    <t>KER029</t>
  </si>
  <si>
    <t>Palaiomantra</t>
  </si>
  <si>
    <t>Παλαιόμαντρα</t>
  </si>
  <si>
    <t>188</t>
  </si>
  <si>
    <t>KER027</t>
  </si>
  <si>
    <t>(Laxia tou) Hadji Bairam</t>
  </si>
  <si>
    <t>(Λαξιά του) Hadji Bairam</t>
  </si>
  <si>
    <t>189</t>
  </si>
  <si>
    <t>KER028</t>
  </si>
  <si>
    <t>Mahania (Makhenia)</t>
  </si>
  <si>
    <t>192</t>
  </si>
  <si>
    <t>KER031</t>
  </si>
  <si>
    <t>El(ai)a</t>
  </si>
  <si>
    <t>Βρύσι</t>
  </si>
  <si>
    <t>193</t>
  </si>
  <si>
    <t>KER032</t>
  </si>
  <si>
    <t>Kampιli</t>
  </si>
  <si>
    <t>Margi</t>
  </si>
  <si>
    <t>Μαργί</t>
  </si>
  <si>
    <t>194, 258, 259</t>
  </si>
  <si>
    <t>KER033</t>
  </si>
  <si>
    <t>195, 196</t>
  </si>
  <si>
    <t>KER034</t>
  </si>
  <si>
    <t>Kalon Chorion (Kapouti)</t>
  </si>
  <si>
    <t>Kapnistos</t>
  </si>
  <si>
    <t>Καπνιστός</t>
  </si>
  <si>
    <t>198</t>
  </si>
  <si>
    <t>KER037</t>
  </si>
  <si>
    <t>Pallouteri</t>
  </si>
  <si>
    <t>Παλλουτερή</t>
  </si>
  <si>
    <t>200</t>
  </si>
  <si>
    <t>KER039</t>
  </si>
  <si>
    <t>Melissia</t>
  </si>
  <si>
    <t>Μελίσσια</t>
  </si>
  <si>
    <t>199</t>
  </si>
  <si>
    <t>KER038</t>
  </si>
  <si>
    <t>Foiniki</t>
  </si>
  <si>
    <t>Φοινίκι</t>
  </si>
  <si>
    <t>202</t>
  </si>
  <si>
    <t>KER041</t>
  </si>
  <si>
    <t>Karavas</t>
  </si>
  <si>
    <t>Archaggelos</t>
  </si>
  <si>
    <t>204</t>
  </si>
  <si>
    <t>KER043</t>
  </si>
  <si>
    <t>Palaiomonastiron</t>
  </si>
  <si>
    <t>Παλαιομονάστηρον</t>
  </si>
  <si>
    <t>203</t>
  </si>
  <si>
    <t>KER042</t>
  </si>
  <si>
    <t>Karydia tou Markou</t>
  </si>
  <si>
    <t>Καρυδιά του Μάρκου</t>
  </si>
  <si>
    <t>201</t>
  </si>
  <si>
    <t>KER040</t>
  </si>
  <si>
    <t>Ayia Eirini</t>
  </si>
  <si>
    <t>Αγία Ειρήνη</t>
  </si>
  <si>
    <t>205</t>
  </si>
  <si>
    <t>KER044</t>
  </si>
  <si>
    <t>Karpashia</t>
  </si>
  <si>
    <t>Shiapia</t>
  </si>
  <si>
    <t>Σσιάπια</t>
  </si>
  <si>
    <t>228, 229</t>
  </si>
  <si>
    <t>KER067</t>
  </si>
  <si>
    <t>Kormakitis</t>
  </si>
  <si>
    <t>230</t>
  </si>
  <si>
    <t>KER069</t>
  </si>
  <si>
    <t>Herissa (Sherisses)</t>
  </si>
  <si>
    <t>Χέρισσα (Sherisses)</t>
  </si>
  <si>
    <t>233</t>
  </si>
  <si>
    <t>KER072</t>
  </si>
  <si>
    <t>Χαλόσπιτια</t>
  </si>
  <si>
    <t>232</t>
  </si>
  <si>
    <t>KER071</t>
  </si>
  <si>
    <t>231</t>
  </si>
  <si>
    <t>KER070</t>
  </si>
  <si>
    <t>Yerman tou Κυριάκου (Krikaki)</t>
  </si>
  <si>
    <t>Γείρμαν του Κυριάκου</t>
  </si>
  <si>
    <t>235</t>
  </si>
  <si>
    <t>KER074</t>
  </si>
  <si>
    <t>Krini</t>
  </si>
  <si>
    <t>Yere Oldu</t>
  </si>
  <si>
    <t>236</t>
  </si>
  <si>
    <t>KER075</t>
  </si>
  <si>
    <t>Koja Tarlasi</t>
  </si>
  <si>
    <t>245, 246</t>
  </si>
  <si>
    <t>KER084</t>
  </si>
  <si>
    <t>Lapithos</t>
  </si>
  <si>
    <t>Vrysi tou Barba</t>
  </si>
  <si>
    <t>Βρύση του Μπάρμπα</t>
  </si>
  <si>
    <t>248</t>
  </si>
  <si>
    <t>KER087</t>
  </si>
  <si>
    <t>Airiotissa</t>
  </si>
  <si>
    <t>Αιριώτισσα (Αρκότισσα)</t>
  </si>
  <si>
    <t>244</t>
  </si>
  <si>
    <t>KER083</t>
  </si>
  <si>
    <t>Htolithari (Phtolikhari)</t>
  </si>
  <si>
    <t>Χτολιθάρι</t>
  </si>
  <si>
    <t>251</t>
  </si>
  <si>
    <t>KER090</t>
  </si>
  <si>
    <t>Asproyi</t>
  </si>
  <si>
    <t>Ασρπογή</t>
  </si>
  <si>
    <t>250</t>
  </si>
  <si>
    <t>KER089</t>
  </si>
  <si>
    <t>Mantra tou Vizou</t>
  </si>
  <si>
    <t>Μάντρα του Βίζου</t>
  </si>
  <si>
    <t>249</t>
  </si>
  <si>
    <t>KER088</t>
  </si>
  <si>
    <t>Stavros</t>
  </si>
  <si>
    <t>Σταυρός</t>
  </si>
  <si>
    <t>252</t>
  </si>
  <si>
    <t>KER091</t>
  </si>
  <si>
    <t>Prostemenos</t>
  </si>
  <si>
    <t>Προστεμένος</t>
  </si>
  <si>
    <t>180</t>
  </si>
  <si>
    <t>KER019</t>
  </si>
  <si>
    <t>Bellapais</t>
  </si>
  <si>
    <t>Petromoudia</t>
  </si>
  <si>
    <t>Πετρομούδια</t>
  </si>
  <si>
    <t>260</t>
  </si>
  <si>
    <t>KER099</t>
  </si>
  <si>
    <t>Palaesophos</t>
  </si>
  <si>
    <t>Mersineri</t>
  </si>
  <si>
    <t>Μερσινέρι</t>
  </si>
  <si>
    <t>263</t>
  </si>
  <si>
    <t>KER102</t>
  </si>
  <si>
    <t>Pileri</t>
  </si>
  <si>
    <t>Yarin Alti</t>
  </si>
  <si>
    <t>261</t>
  </si>
  <si>
    <t>KER100</t>
  </si>
  <si>
    <t>Kafkalla/Makrotrachona</t>
  </si>
  <si>
    <t>Καφκάλλα/Μακροτράχωνα</t>
  </si>
  <si>
    <t>262</t>
  </si>
  <si>
    <t>KER101</t>
  </si>
  <si>
    <t>Veran Arasi</t>
  </si>
  <si>
    <t>267</t>
  </si>
  <si>
    <t>KER106</t>
  </si>
  <si>
    <t>Sysklipos</t>
  </si>
  <si>
    <t>Pylos</t>
  </si>
  <si>
    <t>Πύλος</t>
  </si>
  <si>
    <t>266</t>
  </si>
  <si>
    <t>KER105</t>
  </si>
  <si>
    <t>Mouttonevron</t>
  </si>
  <si>
    <t>Μουττόνεβρον</t>
  </si>
  <si>
    <t>269</t>
  </si>
  <si>
    <t>KER108</t>
  </si>
  <si>
    <t>Sychari</t>
  </si>
  <si>
    <t>Ziziros</t>
  </si>
  <si>
    <t>Ζίζιρος</t>
  </si>
  <si>
    <t>40</t>
  </si>
  <si>
    <t>AMM040</t>
  </si>
  <si>
    <t>161</t>
  </si>
  <si>
    <t>AMM161</t>
  </si>
  <si>
    <t>Vatili</t>
  </si>
  <si>
    <t>1889</t>
  </si>
  <si>
    <t>64</t>
  </si>
  <si>
    <t>AMM064</t>
  </si>
  <si>
    <t>Galinoporni</t>
  </si>
  <si>
    <t>68</t>
  </si>
  <si>
    <t>AMM068</t>
  </si>
  <si>
    <t>Genagra</t>
  </si>
  <si>
    <t>1951</t>
  </si>
  <si>
    <t>71</t>
  </si>
  <si>
    <t>AMM071</t>
  </si>
  <si>
    <t>Koroveia</t>
  </si>
  <si>
    <t>95</t>
  </si>
  <si>
    <t>AMM095</t>
  </si>
  <si>
    <t>Limnia</t>
  </si>
  <si>
    <t>101</t>
  </si>
  <si>
    <t>AMM101</t>
  </si>
  <si>
    <t>Milia</t>
  </si>
  <si>
    <t>1914</t>
  </si>
  <si>
    <t>96</t>
  </si>
  <si>
    <t>AMM096</t>
  </si>
  <si>
    <t>Liopetri</t>
  </si>
  <si>
    <t>110</t>
  </si>
  <si>
    <t>AMM110</t>
  </si>
  <si>
    <t>114, 115</t>
  </si>
  <si>
    <t>AMM114</t>
  </si>
  <si>
    <t>Pigi</t>
  </si>
  <si>
    <t>113</t>
  </si>
  <si>
    <t>AMM113</t>
  </si>
  <si>
    <t>Peristeronopigi</t>
  </si>
  <si>
    <t>144</t>
  </si>
  <si>
    <t>AMM144</t>
  </si>
  <si>
    <t>Sinta</t>
  </si>
  <si>
    <t>Siradash</t>
  </si>
  <si>
    <t>100</t>
  </si>
  <si>
    <t>AMM100</t>
  </si>
  <si>
    <t>Marathovounos</t>
  </si>
  <si>
    <t>Alonia tou Pishia</t>
  </si>
  <si>
    <t>Αλώνια του Πισία</t>
  </si>
  <si>
    <t>99</t>
  </si>
  <si>
    <t>AMM099</t>
  </si>
  <si>
    <t>Maratha</t>
  </si>
  <si>
    <t>Vrysin</t>
  </si>
  <si>
    <t>Βρυσίν</t>
  </si>
  <si>
    <t>1</t>
  </si>
  <si>
    <t>AMM001</t>
  </si>
  <si>
    <t>Achna</t>
  </si>
  <si>
    <t>150, 159</t>
  </si>
  <si>
    <t>AMM150</t>
  </si>
  <si>
    <t>60</t>
  </si>
  <si>
    <t>AMM060</t>
  </si>
  <si>
    <t>Spilios (tou Tsiali)</t>
  </si>
  <si>
    <t>Σπήλιος (του Τσιαλή)</t>
  </si>
  <si>
    <t>61</t>
  </si>
  <si>
    <t>AMM061</t>
  </si>
  <si>
    <t>Βαρκές (Bίρκες)</t>
  </si>
  <si>
    <t>170, 171</t>
  </si>
  <si>
    <t>KER009</t>
  </si>
  <si>
    <t>Agios Epiktitos</t>
  </si>
  <si>
    <t>Chrysochorafon</t>
  </si>
  <si>
    <t>Χρυσοχώραφον</t>
  </si>
  <si>
    <t>62</t>
  </si>
  <si>
    <t>AMM062</t>
  </si>
  <si>
    <t>Trachonas</t>
  </si>
  <si>
    <t>Τράχωνας</t>
  </si>
  <si>
    <t>282</t>
  </si>
  <si>
    <t>LAR009</t>
  </si>
  <si>
    <t>Athienou</t>
  </si>
  <si>
    <t>Malloura</t>
  </si>
  <si>
    <t>Μαλλούρα</t>
  </si>
  <si>
    <t>290</t>
  </si>
  <si>
    <t>LAR017</t>
  </si>
  <si>
    <t>349</t>
  </si>
  <si>
    <t>LAR076</t>
  </si>
  <si>
    <t>343</t>
  </si>
  <si>
    <t>LAR070</t>
  </si>
  <si>
    <t>Tersefanou</t>
  </si>
  <si>
    <t>344</t>
  </si>
  <si>
    <t>LAR071</t>
  </si>
  <si>
    <t>Tremetousia</t>
  </si>
  <si>
    <t>494</t>
  </si>
  <si>
    <t>LEM144</t>
  </si>
  <si>
    <t>Lemesos</t>
  </si>
  <si>
    <t>Vouppia</t>
  </si>
  <si>
    <t>Βουππιά</t>
  </si>
  <si>
    <t>351, 352, 353, 354, 355</t>
  </si>
  <si>
    <t>LEM001</t>
  </si>
  <si>
    <t>Agios Georgios Silikou</t>
  </si>
  <si>
    <t>Alis</t>
  </si>
  <si>
    <t>Αλής</t>
  </si>
  <si>
    <t>400</t>
  </si>
  <si>
    <t>LEM050</t>
  </si>
  <si>
    <t>Arsos</t>
  </si>
  <si>
    <t>Pantaros (Platanos)</t>
  </si>
  <si>
    <t>Πάνταρος (Πλάτανος)</t>
  </si>
  <si>
    <t>393</t>
  </si>
  <si>
    <t>LEM043</t>
  </si>
  <si>
    <t>Alassa</t>
  </si>
  <si>
    <t>Pano Vouppa</t>
  </si>
  <si>
    <t>Πάνω Βούππα</t>
  </si>
  <si>
    <t>463</t>
  </si>
  <si>
    <t>LEM113</t>
  </si>
  <si>
    <t>529</t>
  </si>
  <si>
    <t>LEM179</t>
  </si>
  <si>
    <t>640, 641, 642, 643, 644, 645, 646, 647, 648</t>
  </si>
  <si>
    <t>LEF100</t>
  </si>
  <si>
    <t>Agioi Omologhites</t>
  </si>
  <si>
    <t>Αγίοι Ομολογητές</t>
  </si>
  <si>
    <t>541</t>
  </si>
  <si>
    <t>LEF001</t>
  </si>
  <si>
    <t>Agyia</t>
  </si>
  <si>
    <t>Tashlik Yaka</t>
  </si>
  <si>
    <t>543</t>
  </si>
  <si>
    <t>LEF003</t>
  </si>
  <si>
    <t>Agia Marina (Skillouras)</t>
  </si>
  <si>
    <t>558, 585</t>
  </si>
  <si>
    <t>LEF018</t>
  </si>
  <si>
    <t>Ambelikou</t>
  </si>
  <si>
    <t>Toumpalin tou Mavrou</t>
  </si>
  <si>
    <t>Τουμπάλιν του Μαύρου</t>
  </si>
  <si>
    <t>613</t>
  </si>
  <si>
    <t>LEF073</t>
  </si>
  <si>
    <t>Karavostasi</t>
  </si>
  <si>
    <t>626</t>
  </si>
  <si>
    <t>LEF086</t>
  </si>
  <si>
    <t>Kakoskali (Ayia Eleni)</t>
  </si>
  <si>
    <t>Κακοσκαλί (Αγία Ελένη)</t>
  </si>
  <si>
    <t>627</t>
  </si>
  <si>
    <t>LEF087</t>
  </si>
  <si>
    <t>Korakou</t>
  </si>
  <si>
    <t>Avgolemou</t>
  </si>
  <si>
    <t>Αυγολέμου</t>
  </si>
  <si>
    <t>632</t>
  </si>
  <si>
    <t>LEF092</t>
  </si>
  <si>
    <t>Kyra</t>
  </si>
  <si>
    <t>633</t>
  </si>
  <si>
    <t>LEF093</t>
  </si>
  <si>
    <t>Kounouppa (Kournouppes)</t>
  </si>
  <si>
    <t>Κουνούππα (Κουρνούππες)</t>
  </si>
  <si>
    <t>631</t>
  </si>
  <si>
    <t>LEF091</t>
  </si>
  <si>
    <t>Ayios Yeorgios (Kambin tou Ayiou Yeorgiou)</t>
  </si>
  <si>
    <t>Άγιος Γεώργιος (Καμπίν του Αγίου Γεωργίου)</t>
  </si>
  <si>
    <t>630</t>
  </si>
  <si>
    <t>LEF090</t>
  </si>
  <si>
    <t>635</t>
  </si>
  <si>
    <t>LEF095</t>
  </si>
  <si>
    <t>Lefka</t>
  </si>
  <si>
    <t>Haїt-lik</t>
  </si>
  <si>
    <t>Haїtlik</t>
  </si>
  <si>
    <t>655</t>
  </si>
  <si>
    <t>LEF115</t>
  </si>
  <si>
    <t>Louroutzina</t>
  </si>
  <si>
    <t>Kokkinokremmos (Kokkinokafkalla)</t>
  </si>
  <si>
    <t>Κοκκινόκρεμμος (Κοκκινοκαφκάλλα)</t>
  </si>
  <si>
    <t>660</t>
  </si>
  <si>
    <t>LEF120</t>
  </si>
  <si>
    <t>Ayia Thekli</t>
  </si>
  <si>
    <t>Αγία Θέκλη</t>
  </si>
  <si>
    <t>662</t>
  </si>
  <si>
    <t>LEF122</t>
  </si>
  <si>
    <t>Mitsero</t>
  </si>
  <si>
    <t>666, 667</t>
  </si>
  <si>
    <t>LEF126</t>
  </si>
  <si>
    <t>Morfou</t>
  </si>
  <si>
    <t>Ambelia</t>
  </si>
  <si>
    <t>665</t>
  </si>
  <si>
    <t>LEF125</t>
  </si>
  <si>
    <t>669</t>
  </si>
  <si>
    <t>LEF129</t>
  </si>
  <si>
    <t>Iatrou</t>
  </si>
  <si>
    <t>Ιατρού</t>
  </si>
  <si>
    <t>664</t>
  </si>
  <si>
    <t>LEF124</t>
  </si>
  <si>
    <t>Toumpa tou Skourou (?)</t>
  </si>
  <si>
    <t>Τούμπα του Σκούρου (?)</t>
  </si>
  <si>
    <t>668</t>
  </si>
  <si>
    <t>LEF128</t>
  </si>
  <si>
    <t>Ambelia (Kallinikos)</t>
  </si>
  <si>
    <t>Αμπέλια (Καλλίνικος)</t>
  </si>
  <si>
    <t>673, 674</t>
  </si>
  <si>
    <t>LEF133</t>
  </si>
  <si>
    <t>Orounta</t>
  </si>
  <si>
    <t>Kserolakkos</t>
  </si>
  <si>
    <t>Ξερόλακκος</t>
  </si>
  <si>
    <t>675, 676</t>
  </si>
  <si>
    <t>LEF135</t>
  </si>
  <si>
    <t>Pentayia</t>
  </si>
  <si>
    <t>Myloi</t>
  </si>
  <si>
    <t>Μύλοι</t>
  </si>
  <si>
    <t>677</t>
  </si>
  <si>
    <t>LEF137</t>
  </si>
  <si>
    <t>Aspoyeia</t>
  </si>
  <si>
    <t>Ασπρόγεια</t>
  </si>
  <si>
    <t>678</t>
  </si>
  <si>
    <t>LEF138</t>
  </si>
  <si>
    <t>Peristeronari</t>
  </si>
  <si>
    <t>583</t>
  </si>
  <si>
    <t>LEF043</t>
  </si>
  <si>
    <t>Fillia</t>
  </si>
  <si>
    <t>Agriogadaros (Arkogadaros)</t>
  </si>
  <si>
    <t>Αγριογάδαρος (Αρκογάδαρος)</t>
  </si>
  <si>
    <t>566, 567</t>
  </si>
  <si>
    <t>LEF026</t>
  </si>
  <si>
    <t>Khrysiliou</t>
  </si>
  <si>
    <t>Ayios Sergis</t>
  </si>
  <si>
    <t>Άγιος Σέργης</t>
  </si>
  <si>
    <t>703</t>
  </si>
  <si>
    <t>PAF008</t>
  </si>
  <si>
    <t>Agios Dimitrianos</t>
  </si>
  <si>
    <t>724</t>
  </si>
  <si>
    <t>PAF029</t>
  </si>
  <si>
    <t>Arodhes</t>
  </si>
  <si>
    <t>757</t>
  </si>
  <si>
    <t>PAF062</t>
  </si>
  <si>
    <t>Kathikas</t>
  </si>
  <si>
    <t>Shiromas</t>
  </si>
  <si>
    <t>Σιηρόμας</t>
  </si>
  <si>
    <t>906, 907, 908, 909, 910, 911</t>
  </si>
  <si>
    <t>PAF211</t>
  </si>
  <si>
    <t>937</t>
  </si>
  <si>
    <t>PAF242</t>
  </si>
  <si>
    <t>Stroumbi</t>
  </si>
  <si>
    <t>747</t>
  </si>
  <si>
    <t>PAF052</t>
  </si>
  <si>
    <t>Fasoula</t>
  </si>
  <si>
    <t>Melanouthkia</t>
  </si>
  <si>
    <t>Μελανούδια</t>
  </si>
  <si>
    <t>H (?)</t>
  </si>
  <si>
    <t>726</t>
  </si>
  <si>
    <t>PAF031</t>
  </si>
  <si>
    <t>Morozoes/Ellinospilioi</t>
  </si>
  <si>
    <t>Μωρόζωες</t>
  </si>
  <si>
    <t>730</t>
  </si>
  <si>
    <t>PAF035</t>
  </si>
  <si>
    <t>732</t>
  </si>
  <si>
    <t>PAF037</t>
  </si>
  <si>
    <t>Choli</t>
  </si>
  <si>
    <t>234</t>
  </si>
  <si>
    <t>KER073</t>
  </si>
  <si>
    <t>Patsallies</t>
  </si>
  <si>
    <t>Πατσαλλιές</t>
  </si>
  <si>
    <t>392</t>
  </si>
  <si>
    <t>LEM042</t>
  </si>
  <si>
    <t>1950</t>
  </si>
  <si>
    <t>408, 409, 410, 411, 412, 413, 414, 415, 416, 417, 418, 419, 420, 421, 422, 423, 424, 425, 426, 427, 428, 429, 430, 431, 432, 433, 434, 435, 436, 437, 438, 439, 440, 441, 442, 443, 444, 445, 446, 447, 448, 449, 450, 451</t>
  </si>
  <si>
    <t>LEM058</t>
  </si>
  <si>
    <t>Ayios Ermoyenis</t>
  </si>
  <si>
    <t>1885</t>
  </si>
  <si>
    <t>464</t>
  </si>
  <si>
    <t>LEM114</t>
  </si>
  <si>
    <t>1883</t>
  </si>
  <si>
    <t>561</t>
  </si>
  <si>
    <t>LEF021</t>
  </si>
  <si>
    <t>Argaki</t>
  </si>
  <si>
    <t>Mantra Halouta</t>
  </si>
  <si>
    <t>Μάντρα του Χαλούτα</t>
  </si>
  <si>
    <t>586, 587, 588, 589, 590, 591, 592, 593, 594, 595, 596, 597, 598, 599, 600, 601, 602, 603, 604</t>
  </si>
  <si>
    <t>LEF046</t>
  </si>
  <si>
    <t>Galini</t>
  </si>
  <si>
    <t>Kournouta</t>
  </si>
  <si>
    <t>Κουρνούτα</t>
  </si>
  <si>
    <t>206, 213, 214, 215, 216, 217, 218, 219, 220, 221, 222, 223, 224, 225</t>
  </si>
  <si>
    <t>KER045</t>
  </si>
  <si>
    <t>Keryneia</t>
  </si>
  <si>
    <t>1899</t>
  </si>
  <si>
    <t>614, 616, 617, 618, 619, 620, 621, 622</t>
  </si>
  <si>
    <t>LEF074</t>
  </si>
  <si>
    <t>Katydata</t>
  </si>
  <si>
    <t>5</t>
  </si>
  <si>
    <t>AMM005</t>
  </si>
  <si>
    <t>Agia Napa</t>
  </si>
  <si>
    <t>Pethameni</t>
  </si>
  <si>
    <t>Πεθαμένη</t>
  </si>
  <si>
    <t>4</t>
  </si>
  <si>
    <t>AMM004</t>
  </si>
  <si>
    <t>Ammos tou Kampouri</t>
  </si>
  <si>
    <t>Άμμος του Καμπούρη</t>
  </si>
  <si>
    <t>51</t>
  </si>
  <si>
    <t>AMM051</t>
  </si>
  <si>
    <t>Avgorou</t>
  </si>
  <si>
    <t>Vrisoudia</t>
  </si>
  <si>
    <t>8, 9, 10, 11, 12, 13, 14, 15, 16, 17, 18, 19, 20, 21, 22, 23, 24, 25, 26</t>
  </si>
  <si>
    <t>AMM008</t>
  </si>
  <si>
    <t>Makronissos</t>
  </si>
  <si>
    <t>Μακρόνησος</t>
  </si>
  <si>
    <t>46</t>
  </si>
  <si>
    <t>AMM046</t>
  </si>
  <si>
    <t>Niati</t>
  </si>
  <si>
    <t>Νιάτη</t>
  </si>
  <si>
    <t>50</t>
  </si>
  <si>
    <t>AMM050</t>
  </si>
  <si>
    <t>Ardana</t>
  </si>
  <si>
    <t>Plaki</t>
  </si>
  <si>
    <t>Πλακί</t>
  </si>
  <si>
    <t>2</t>
  </si>
  <si>
    <t>AMM002</t>
  </si>
  <si>
    <t>Appidia/Ayios Georgios Teratsiotis</t>
  </si>
  <si>
    <t>Αππίδια/Άγιος Γεώργιος Τερατσιωτής</t>
  </si>
  <si>
    <t>56</t>
  </si>
  <si>
    <t>AMM056</t>
  </si>
  <si>
    <t>Βάρκες</t>
  </si>
  <si>
    <t>87</t>
  </si>
  <si>
    <t>AMM087</t>
  </si>
  <si>
    <t>Ayia Solomoni</t>
  </si>
  <si>
    <t>Αγία Σολωμονή</t>
  </si>
  <si>
    <t>106</t>
  </si>
  <si>
    <t>AMM106</t>
  </si>
  <si>
    <t>Paralimni</t>
  </si>
  <si>
    <t>Protaras</t>
  </si>
  <si>
    <t>Πρωταράς</t>
  </si>
  <si>
    <t>1999</t>
  </si>
  <si>
    <t>253</t>
  </si>
  <si>
    <t>KER092</t>
  </si>
  <si>
    <t>Ayios Minas</t>
  </si>
  <si>
    <t>Άγιος Μηνάς</t>
  </si>
  <si>
    <t>254, 255, 256, 257</t>
  </si>
  <si>
    <t>KER093</t>
  </si>
  <si>
    <t>Myrtou</t>
  </si>
  <si>
    <t>Sfayion</t>
  </si>
  <si>
    <t>Σφαγείον</t>
  </si>
  <si>
    <t>313, 317, 318, 319</t>
  </si>
  <si>
    <t>LAR040</t>
  </si>
  <si>
    <t>Dasos tis Alikis</t>
  </si>
  <si>
    <t>Δάσος της Αλυκής</t>
  </si>
  <si>
    <t>1915</t>
  </si>
  <si>
    <t>329</t>
  </si>
  <si>
    <t>LAR056</t>
  </si>
  <si>
    <t>338</t>
  </si>
  <si>
    <t>LAR065</t>
  </si>
  <si>
    <t>362, 363, 365, 366, 367, 377, 378, 379, 380, 381, 382, 386, 387</t>
  </si>
  <si>
    <t>LEM012</t>
  </si>
  <si>
    <t>Agios Tychonas</t>
  </si>
  <si>
    <t>364, 368, 376, 384, 385, 388</t>
  </si>
  <si>
    <t>LEM014</t>
  </si>
  <si>
    <t>394, 395</t>
  </si>
  <si>
    <t>LEM044</t>
  </si>
  <si>
    <t>742</t>
  </si>
  <si>
    <t>PAF047</t>
  </si>
  <si>
    <t>Aspra Chomata</t>
  </si>
  <si>
    <t>Άσπρα Χώματα</t>
  </si>
  <si>
    <t>743</t>
  </si>
  <si>
    <t>PAF048</t>
  </si>
  <si>
    <t>Limnarka</t>
  </si>
  <si>
    <t>Λιμνάρκα</t>
  </si>
  <si>
    <t>932</t>
  </si>
  <si>
    <t>PAF237</t>
  </si>
  <si>
    <t>Chalimes</t>
  </si>
  <si>
    <t>Χαλιμές</t>
  </si>
  <si>
    <t>869, 870, 871, 872, 873, 874, 875, 876, 877, 878, 879, 880, 881, 882</t>
  </si>
  <si>
    <t>PAF174</t>
  </si>
  <si>
    <t>Paphos</t>
  </si>
  <si>
    <t>Palaiokastron</t>
  </si>
  <si>
    <t>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</t>
  </si>
  <si>
    <t>PAF113</t>
  </si>
  <si>
    <t>Glyky Nero</t>
  </si>
  <si>
    <t>Γλυκύ Νερό</t>
  </si>
  <si>
    <t>638, 639</t>
  </si>
  <si>
    <t>LEF098</t>
  </si>
  <si>
    <t>Agia Paraskevi</t>
  </si>
  <si>
    <t>Αγία Παρασκευή</t>
  </si>
  <si>
    <t>653</t>
  </si>
  <si>
    <t>LEF113</t>
  </si>
  <si>
    <t>571</t>
  </si>
  <si>
    <t>LEF031</t>
  </si>
  <si>
    <t>Vrontolaktis</t>
  </si>
  <si>
    <t>Βροντολάκτης</t>
  </si>
  <si>
    <t>332, 333</t>
  </si>
  <si>
    <t>LAR059</t>
  </si>
  <si>
    <t>Meneou</t>
  </si>
  <si>
    <t>Agroktima</t>
  </si>
  <si>
    <t>Αγρόκτημα</t>
  </si>
  <si>
    <t>628, 629</t>
  </si>
  <si>
    <t>LEF088</t>
  </si>
  <si>
    <t>Kythrea</t>
  </si>
  <si>
    <t>Mandra tou Kounia</t>
  </si>
  <si>
    <t>Μάνδρα του Κουνιά</t>
  </si>
  <si>
    <t>1908</t>
  </si>
  <si>
    <t>3</t>
  </si>
  <si>
    <t>AMM003</t>
  </si>
  <si>
    <t>Ambas</t>
  </si>
  <si>
    <t>Αμπάς</t>
  </si>
  <si>
    <t>6</t>
  </si>
  <si>
    <t>AMM006</t>
  </si>
  <si>
    <t>Tornos</t>
  </si>
  <si>
    <t>Τόρνος</t>
  </si>
  <si>
    <t>7</t>
  </si>
  <si>
    <t>AMM007</t>
  </si>
  <si>
    <t>Filina</t>
  </si>
  <si>
    <t>Φιλίνα</t>
  </si>
  <si>
    <t>33</t>
  </si>
  <si>
    <t>AMM033</t>
  </si>
  <si>
    <t>Asproyeia</t>
  </si>
  <si>
    <t>Ασπρογειά</t>
  </si>
  <si>
    <t>43</t>
  </si>
  <si>
    <t>AMM043</t>
  </si>
  <si>
    <t>Alaas</t>
  </si>
  <si>
    <t>Αλαάς</t>
  </si>
  <si>
    <t>7 (looted tombs part of a wider cemetery)</t>
  </si>
  <si>
    <t>129, 130, 131, 132, 133, 134</t>
  </si>
  <si>
    <t>AMM129</t>
  </si>
  <si>
    <t>Tsambres</t>
  </si>
  <si>
    <t>Τσάμπρες</t>
  </si>
  <si>
    <t>135</t>
  </si>
  <si>
    <t>AMM135</t>
  </si>
  <si>
    <t>Kremmasti</t>
  </si>
  <si>
    <t>Κρεμμαστή</t>
  </si>
  <si>
    <t>277</t>
  </si>
  <si>
    <t>LAR004</t>
  </si>
  <si>
    <t>Panayia ton Amplelion</t>
  </si>
  <si>
    <t>Παναγία των Αμπελιών</t>
  </si>
  <si>
    <t>Ts (2?)</t>
  </si>
  <si>
    <t>301</t>
  </si>
  <si>
    <t>LAR028</t>
  </si>
  <si>
    <t>1946</t>
  </si>
  <si>
    <t>302</t>
  </si>
  <si>
    <t>LAR029</t>
  </si>
  <si>
    <t>303, 304, 305, 306, 307</t>
  </si>
  <si>
    <t>LAR030</t>
  </si>
  <si>
    <t>308, 309, 310, 311</t>
  </si>
  <si>
    <t>LAR035</t>
  </si>
  <si>
    <t>1943</t>
  </si>
  <si>
    <t>321</t>
  </si>
  <si>
    <t>LAR048</t>
  </si>
  <si>
    <t>322, 323, 324, 325, 326, 330</t>
  </si>
  <si>
    <t>LAR049</t>
  </si>
  <si>
    <t>331</t>
  </si>
  <si>
    <t>LAR058</t>
  </si>
  <si>
    <t>359</t>
  </si>
  <si>
    <t>LEM009</t>
  </si>
  <si>
    <t>Kampinarka</t>
  </si>
  <si>
    <t>Καμπινάρκα</t>
  </si>
  <si>
    <t>532</t>
  </si>
  <si>
    <t>LEM182</t>
  </si>
  <si>
    <t>Trahoni</t>
  </si>
  <si>
    <t>Merras</t>
  </si>
  <si>
    <t>Μερράς</t>
  </si>
  <si>
    <t>745</t>
  </si>
  <si>
    <t>PAF050</t>
  </si>
  <si>
    <t>Throumperes</t>
  </si>
  <si>
    <t>Θρουμπερές</t>
  </si>
  <si>
    <t>741</t>
  </si>
  <si>
    <t>PAF046</t>
  </si>
  <si>
    <t>Petridia</t>
  </si>
  <si>
    <t>Πετρίδια</t>
  </si>
  <si>
    <t>762, 763, 764, 765, 766</t>
  </si>
  <si>
    <t>PAF067</t>
  </si>
  <si>
    <t>Phones</t>
  </si>
  <si>
    <t>Φωνές</t>
  </si>
  <si>
    <t>770</t>
  </si>
  <si>
    <t>PAF075</t>
  </si>
  <si>
    <t>Kato Alonia</t>
  </si>
  <si>
    <t>Κάτω Αλώνια</t>
  </si>
  <si>
    <t>63</t>
  </si>
  <si>
    <t>AMM063</t>
  </si>
  <si>
    <t>41</t>
  </si>
  <si>
    <t>AMM041</t>
  </si>
  <si>
    <t>Troullin tou Kamilari</t>
  </si>
  <si>
    <t>Τρουλλίν του Καμηλάρη</t>
  </si>
  <si>
    <t>72, 73, 74, 75, 76, 77, 78, 79, 80, 81, 82, 83, 84, 85, 86</t>
  </si>
  <si>
    <t>AMM072</t>
  </si>
  <si>
    <t>Kountoura Trachonia</t>
  </si>
  <si>
    <t>Κούντουρα-Τραχωνιάς</t>
  </si>
  <si>
    <t>1927</t>
  </si>
  <si>
    <t>149</t>
  </si>
  <si>
    <t>AMM149</t>
  </si>
  <si>
    <t>Sotira</t>
  </si>
  <si>
    <t>35</t>
  </si>
  <si>
    <t>AMM035</t>
  </si>
  <si>
    <t>151</t>
  </si>
  <si>
    <t>AMM151</t>
  </si>
  <si>
    <t>Ayios Sinesios</t>
  </si>
  <si>
    <t>Άγιος Συνέσιος</t>
  </si>
  <si>
    <t>320</t>
  </si>
  <si>
    <t>LAR047</t>
  </si>
  <si>
    <t>1942</t>
  </si>
  <si>
    <t>547</t>
  </si>
  <si>
    <t>LEF007</t>
  </si>
  <si>
    <t>568, 569</t>
  </si>
  <si>
    <t>LEF028</t>
  </si>
  <si>
    <t>612</t>
  </si>
  <si>
    <t>LEF072</t>
  </si>
  <si>
    <t>920</t>
  </si>
  <si>
    <t>PAF225</t>
  </si>
  <si>
    <t>Evretades</t>
  </si>
  <si>
    <t>Ευρετάδες</t>
  </si>
  <si>
    <t>912</t>
  </si>
  <si>
    <t>PAF217</t>
  </si>
  <si>
    <t>Potamos (tou Myrmikof)</t>
  </si>
  <si>
    <t>Ποταμός (του Μυρμικόφ)</t>
  </si>
  <si>
    <t>1929</t>
  </si>
  <si>
    <t>637</t>
  </si>
  <si>
    <t>LEF097</t>
  </si>
  <si>
    <t>Kaimakli</t>
  </si>
  <si>
    <t>Άγιος Δημητριανός</t>
  </si>
  <si>
    <t>207, 208, 209</t>
  </si>
  <si>
    <t>KER046</t>
  </si>
  <si>
    <t>237, 238, 239, 240, 241</t>
  </si>
  <si>
    <t>KER076</t>
  </si>
  <si>
    <t>Larnaka tis Lapithou</t>
  </si>
  <si>
    <t>Elia tis kampanas</t>
  </si>
  <si>
    <t>Ελιά της καμπάνας</t>
  </si>
  <si>
    <t>1877</t>
  </si>
  <si>
    <t>288</t>
  </si>
  <si>
    <t>LAR015</t>
  </si>
  <si>
    <t>Keumurji</t>
  </si>
  <si>
    <t>Doutli Seki</t>
  </si>
  <si>
    <t>397</t>
  </si>
  <si>
    <t>LEM047</t>
  </si>
  <si>
    <t>Marathies (Marathkies)</t>
  </si>
  <si>
    <t>Μαραθιές (Μαραθκιές)</t>
  </si>
  <si>
    <t>654</t>
  </si>
  <si>
    <t>LEF114</t>
  </si>
  <si>
    <t>709</t>
  </si>
  <si>
    <t>PAF014</t>
  </si>
  <si>
    <t>Akamas</t>
  </si>
  <si>
    <t>Ayios Konon</t>
  </si>
  <si>
    <t>Άγιος Κόνων</t>
  </si>
  <si>
    <t>935</t>
  </si>
  <si>
    <t>PAF240</t>
  </si>
  <si>
    <t>agriculture_100m</t>
  </si>
  <si>
    <t>archaeological_100m</t>
  </si>
  <si>
    <t>infrastructure_100m</t>
  </si>
  <si>
    <t>urban_100m</t>
  </si>
  <si>
    <t>not_classified_100m</t>
  </si>
  <si>
    <t>Points_100m</t>
  </si>
  <si>
    <t>agriculture_250m</t>
  </si>
  <si>
    <t>archaeological_250m</t>
  </si>
  <si>
    <t>infrastructure_250m</t>
  </si>
  <si>
    <t>urban_250m</t>
  </si>
  <si>
    <t>not_classified_250m</t>
  </si>
  <si>
    <t>Points_250m</t>
  </si>
  <si>
    <t>agriculture_500m</t>
  </si>
  <si>
    <t>archaeological_500m</t>
  </si>
  <si>
    <t>infrastructure_500m</t>
  </si>
  <si>
    <t>urban_500m</t>
  </si>
  <si>
    <t>not_classified_500m</t>
  </si>
  <si>
    <t>Points_500m</t>
  </si>
  <si>
    <t>Average_Points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</si>
</sst>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0F4ED-B646-AD4A-9687-8A7D001CC701}" name="Table1" displayName="Table1" ref="A1:AD440" totalsRowShown="0">
  <autoFilter ref="A1:AD440" xr:uid="{B340F4ED-B646-AD4A-9687-8A7D001CC701}"/>
  <sortState xmlns:xlrd2="http://schemas.microsoft.com/office/spreadsheetml/2017/richdata2" ref="A2:AD440">
    <sortCondition ref="A1:A440"/>
  </sortState>
  <tableColumns count="30">
    <tableColumn id="1" xr3:uid="{9A531CEF-CB55-5F41-9FEF-20BCD43A91C0}" name="GISNo"/>
    <tableColumn id="2" xr3:uid="{7117032B-F5C8-434D-878D-B0F0EB1D5616}" name="tn_count"/>
    <tableColumn id="3" xr3:uid="{D731CE78-C8C4-EB40-8708-64840BE53D98}" name="SerialNo_list"/>
    <tableColumn id="4" xr3:uid="{DAD5A43E-F579-4744-B324-29E50D94DD5E}" name="District"/>
    <tableColumn id="5" xr3:uid="{89FB57F2-84B0-8542-BDE8-27F57F8525F6}" name="Town_villa"/>
    <tableColumn id="6" xr3:uid="{1218A897-86CA-5040-A846-BA75179F77FB}" name="ToponymEN"/>
    <tableColumn id="7" xr3:uid="{29608FD0-132E-6F46-AE09-E7C01CAAD0AB}" name="ToponymGR"/>
    <tableColumn id="8" xr3:uid="{CC3312F1-99A1-8C43-BA93-38F2BCF45313}" name="N_T"/>
    <tableColumn id="9" xr3:uid="{FB9DB502-0FC5-6640-946A-1AC96F6E9F23}" name="N_T_specif"/>
    <tableColumn id="10" xr3:uid="{2E78B8FB-CA69-6944-9057-1AE1E7FC642B}" name="Chronology"/>
    <tableColumn id="11" xr3:uid="{92BD0FF4-C21C-F645-8331-1B24E5FDDB28}" name="Year"/>
    <tableColumn id="12" xr3:uid="{52714266-B095-2F47-B562-4F86A1C125FF}" name="agriculture_100m" dataDxfId="17"/>
    <tableColumn id="13" xr3:uid="{1DD5D783-109C-724F-B0B8-A95E4A8103E7}" name="archaeological_100m" dataDxfId="16"/>
    <tableColumn id="14" xr3:uid="{E916FC2B-00AC-6646-9987-DEAE33143A41}" name="infrastructure_100m" dataDxfId="15"/>
    <tableColumn id="15" xr3:uid="{D4551949-B126-2944-B6A9-3B8DDE45EE94}" name="urban_100m" dataDxfId="14"/>
    <tableColumn id="16" xr3:uid="{D0223A53-6BF4-134F-9D27-0DC93BD43770}" name="not_classified_100m" dataDxfId="13"/>
    <tableColumn id="17" xr3:uid="{CDB0ECF1-40DA-EF4A-A40D-A352EDE6A821}" name="Points_100m" dataDxfId="12">
      <calculatedColumnFormula>ROUND((L2*100*1)+(N2*100*2)+(O2*100*3),2)</calculatedColumnFormula>
    </tableColumn>
    <tableColumn id="18" xr3:uid="{9378FBDF-02BD-5743-9B11-24C338C130B3}" name="agriculture_250m" dataDxfId="11"/>
    <tableColumn id="19" xr3:uid="{A39BE985-6861-BD42-B47C-5C177CEC6704}" name="archaeological_250m" dataDxfId="10"/>
    <tableColumn id="20" xr3:uid="{9816DFA1-C829-8D45-BAEA-532CBAA2324E}" name="infrastructure_250m" dataDxfId="9"/>
    <tableColumn id="21" xr3:uid="{D669535B-80DA-4A40-A3BB-5B1656BB55F4}" name="urban_250m" dataDxfId="8"/>
    <tableColumn id="22" xr3:uid="{891EAD9E-EA8D-9541-AF8A-0E1E91F3598D}" name="not_classified_250m" dataDxfId="7"/>
    <tableColumn id="23" xr3:uid="{749E4053-0F25-A242-905B-144B73AD25AD}" name="Points_250m" dataDxfId="6">
      <calculatedColumnFormula>ROUND((R2*100*1)+(T2*100*2)+(U2*100*3),2)</calculatedColumnFormula>
    </tableColumn>
    <tableColumn id="24" xr3:uid="{BACF2DA4-F894-BE49-829D-4A2C34CBBF4E}" name="agriculture_500m" dataDxfId="5"/>
    <tableColumn id="25" xr3:uid="{810DE19C-B1F4-D14E-B3FF-9CB7D1CD8038}" name="archaeological_500m" dataDxfId="4"/>
    <tableColumn id="26" xr3:uid="{CE58F197-76B5-CC41-885E-E42C19BED426}" name="infrastructure_500m" dataDxfId="3"/>
    <tableColumn id="27" xr3:uid="{54C5EBB1-8A40-D945-88EA-D55A4522F148}" name="urban_500m" dataDxfId="2"/>
    <tableColumn id="28" xr3:uid="{B58EAA23-A669-FA41-BD41-E1366C19A2E1}" name="not_classified_500m" dataDxfId="1"/>
    <tableColumn id="29" xr3:uid="{AB25B307-C7AF-0947-A7DA-68A3AC57DAC6}" name="Points_500m" dataDxfId="0">
      <calculatedColumnFormula>ROUND((X2*100*1)+(Z2*100*2)+(AA2*100*3),2)</calculatedColumnFormula>
    </tableColumn>
    <tableColumn id="30" xr3:uid="{497818A8-AC31-E74B-A0A6-7619ED59E5C5}" name="Average_Points">
      <calculatedColumnFormula>ROUND(AVERAGE(Q2,W2,AC2),2)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40"/>
  <sheetViews>
    <sheetView topLeftCell="D1" workbookViewId="0">
      <pane ySplit="1" topLeftCell="A2" activePane="bottomLeft" state="frozen"/>
      <selection pane="bottomLeft" activeCell="R124" sqref="R124"/>
    </sheetView>
  </sheetViews>
  <sheetFormatPr baseColWidth="10" defaultColWidth="8.83203125" defaultRowHeight="15" x14ac:dyDescent="0.2"/>
  <cols>
    <col min="1" max="2" width="10" customWidth="1"/>
    <col min="3" max="3" width="40" customWidth="1"/>
    <col min="4" max="4" width="10" customWidth="1"/>
    <col min="5" max="5" width="26" customWidth="1"/>
    <col min="6" max="6" width="24" customWidth="1"/>
    <col min="7" max="7" width="27" customWidth="1"/>
    <col min="8" max="8" width="10" customWidth="1"/>
    <col min="9" max="10" width="12" customWidth="1"/>
    <col min="11" max="11" width="10" customWidth="1"/>
    <col min="12" max="12" width="20" customWidth="1"/>
    <col min="13" max="13" width="23" customWidth="1"/>
    <col min="14" max="14" width="16" customWidth="1"/>
    <col min="15" max="15" width="22" customWidth="1"/>
    <col min="16" max="17" width="23" customWidth="1"/>
    <col min="18" max="18" width="22" customWidth="1"/>
    <col min="19" max="19" width="37" customWidth="1"/>
    <col min="20" max="20" width="12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>
        <v>168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s="2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t="s">
        <v>28</v>
      </c>
      <c r="T2" s="4">
        <f t="shared" ref="T2:T65" si="0">ROUND((M2*100*1)+(O2*100*2)+(P2*100*3),2)</f>
        <v>0</v>
      </c>
    </row>
    <row r="3" spans="1:20" x14ac:dyDescent="0.2">
      <c r="A3">
        <v>1</v>
      </c>
      <c r="B3">
        <v>1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25</v>
      </c>
      <c r="I3" t="s">
        <v>25</v>
      </c>
      <c r="J3" t="s">
        <v>34</v>
      </c>
      <c r="K3" t="s">
        <v>35</v>
      </c>
      <c r="L3" s="2">
        <v>37391.056319342293</v>
      </c>
      <c r="M3" s="3">
        <v>0</v>
      </c>
      <c r="N3" s="3">
        <v>0</v>
      </c>
      <c r="O3" s="3">
        <v>0.14494665389105121</v>
      </c>
      <c r="P3" s="3">
        <v>5.3031524701586882E-2</v>
      </c>
      <c r="Q3" s="3">
        <v>0.802021821407362</v>
      </c>
      <c r="R3" s="3">
        <v>0.19797817859263811</v>
      </c>
      <c r="S3" t="s">
        <v>36</v>
      </c>
      <c r="T3" s="4">
        <f t="shared" si="0"/>
        <v>44.9</v>
      </c>
    </row>
    <row r="4" spans="1:20" x14ac:dyDescent="0.2">
      <c r="A4">
        <v>2</v>
      </c>
      <c r="B4">
        <v>1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25</v>
      </c>
      <c r="I4" t="s">
        <v>42</v>
      </c>
      <c r="J4" t="s">
        <v>26</v>
      </c>
      <c r="K4" t="s">
        <v>43</v>
      </c>
      <c r="L4" s="2">
        <v>37391.056319351141</v>
      </c>
      <c r="M4" s="3">
        <v>0</v>
      </c>
      <c r="N4" s="3">
        <v>0</v>
      </c>
      <c r="O4" s="3">
        <v>0.31925075966341038</v>
      </c>
      <c r="P4" s="3">
        <v>0.68074924033663531</v>
      </c>
      <c r="Q4" s="3">
        <v>0</v>
      </c>
      <c r="R4" s="3">
        <v>1.000000000000046</v>
      </c>
      <c r="S4" t="s">
        <v>44</v>
      </c>
      <c r="T4" s="4">
        <f t="shared" si="0"/>
        <v>268.07</v>
      </c>
    </row>
    <row r="5" spans="1:20" x14ac:dyDescent="0.2">
      <c r="A5">
        <v>3</v>
      </c>
      <c r="B5">
        <v>1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25</v>
      </c>
      <c r="I5" t="s">
        <v>25</v>
      </c>
      <c r="J5" t="s">
        <v>26</v>
      </c>
      <c r="K5" t="s">
        <v>50</v>
      </c>
      <c r="L5" s="2">
        <v>37391.056319351141</v>
      </c>
      <c r="M5" s="3">
        <v>0.52602188272070172</v>
      </c>
      <c r="N5" s="3">
        <v>0</v>
      </c>
      <c r="O5" s="3">
        <v>0</v>
      </c>
      <c r="P5" s="3">
        <v>0</v>
      </c>
      <c r="Q5" s="3">
        <v>0.47397811727929828</v>
      </c>
      <c r="R5" s="3">
        <v>0</v>
      </c>
      <c r="S5" t="s">
        <v>28</v>
      </c>
      <c r="T5" s="4">
        <f t="shared" si="0"/>
        <v>52.6</v>
      </c>
    </row>
    <row r="6" spans="1:20" x14ac:dyDescent="0.2">
      <c r="A6">
        <v>4</v>
      </c>
      <c r="B6">
        <v>1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25</v>
      </c>
      <c r="J6" t="s">
        <v>26</v>
      </c>
      <c r="K6" t="s">
        <v>56</v>
      </c>
      <c r="L6" s="2">
        <v>37391.056319351141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t="s">
        <v>28</v>
      </c>
      <c r="T6" s="4">
        <f t="shared" si="0"/>
        <v>0</v>
      </c>
    </row>
    <row r="7" spans="1:20" x14ac:dyDescent="0.2">
      <c r="A7">
        <v>5</v>
      </c>
      <c r="B7">
        <v>1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25</v>
      </c>
      <c r="I7" t="s">
        <v>25</v>
      </c>
      <c r="J7" t="s">
        <v>26</v>
      </c>
      <c r="K7" t="s">
        <v>62</v>
      </c>
      <c r="L7" s="2">
        <v>37391.056319351141</v>
      </c>
      <c r="M7" s="3">
        <v>0.13688343504799491</v>
      </c>
      <c r="N7" s="3">
        <v>0</v>
      </c>
      <c r="O7" s="3">
        <v>0.19558383509438709</v>
      </c>
      <c r="P7" s="3">
        <v>0</v>
      </c>
      <c r="Q7" s="3">
        <v>0.66753272985761791</v>
      </c>
      <c r="R7" s="3">
        <v>0.19558383509438709</v>
      </c>
      <c r="S7" t="s">
        <v>36</v>
      </c>
      <c r="T7" s="4">
        <f t="shared" si="0"/>
        <v>52.81</v>
      </c>
    </row>
    <row r="8" spans="1:20" x14ac:dyDescent="0.2">
      <c r="A8">
        <v>6</v>
      </c>
      <c r="B8">
        <v>4</v>
      </c>
      <c r="C8" t="s">
        <v>63</v>
      </c>
      <c r="D8" t="s">
        <v>64</v>
      </c>
      <c r="E8" t="s">
        <v>59</v>
      </c>
      <c r="F8" t="s">
        <v>65</v>
      </c>
      <c r="G8" t="s">
        <v>66</v>
      </c>
      <c r="H8" t="s">
        <v>67</v>
      </c>
      <c r="I8" t="s">
        <v>67</v>
      </c>
      <c r="J8" t="s">
        <v>26</v>
      </c>
      <c r="K8" t="s">
        <v>68</v>
      </c>
      <c r="L8" s="2">
        <v>149564.22527740459</v>
      </c>
      <c r="M8" s="3">
        <v>0.65930717578388165</v>
      </c>
      <c r="N8" s="3">
        <v>0</v>
      </c>
      <c r="O8" s="3">
        <v>0.21775345145602351</v>
      </c>
      <c r="P8" s="3">
        <v>0</v>
      </c>
      <c r="Q8" s="3">
        <v>0.1229393727600948</v>
      </c>
      <c r="R8" s="3">
        <v>0.21775345145602351</v>
      </c>
      <c r="S8" t="s">
        <v>69</v>
      </c>
      <c r="T8" s="4">
        <f t="shared" si="0"/>
        <v>109.48</v>
      </c>
    </row>
    <row r="9" spans="1:20" x14ac:dyDescent="0.2">
      <c r="A9">
        <v>7</v>
      </c>
      <c r="B9">
        <v>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  <c r="I9" t="s">
        <v>25</v>
      </c>
      <c r="J9" t="s">
        <v>26</v>
      </c>
      <c r="K9" t="s">
        <v>62</v>
      </c>
      <c r="L9" s="2">
        <v>37391.056319351141</v>
      </c>
      <c r="M9" s="3">
        <v>0.72817356459726779</v>
      </c>
      <c r="N9" s="3">
        <v>0</v>
      </c>
      <c r="O9" s="3">
        <v>9.4861685215030148E-2</v>
      </c>
      <c r="P9" s="3">
        <v>4.9198945948537116E-3</v>
      </c>
      <c r="Q9" s="3">
        <v>0.17204485559284829</v>
      </c>
      <c r="R9" s="3">
        <v>9.9781579809883864E-2</v>
      </c>
      <c r="S9" t="s">
        <v>28</v>
      </c>
      <c r="T9" s="4">
        <f t="shared" si="0"/>
        <v>93.27</v>
      </c>
    </row>
    <row r="10" spans="1:20" x14ac:dyDescent="0.2">
      <c r="A10">
        <v>8</v>
      </c>
      <c r="B10">
        <v>1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80</v>
      </c>
      <c r="J10" t="s">
        <v>26</v>
      </c>
      <c r="K10" t="s">
        <v>56</v>
      </c>
      <c r="L10" s="2">
        <v>37391.056319351141</v>
      </c>
      <c r="M10" s="3">
        <v>0.86480542408325245</v>
      </c>
      <c r="N10" s="3">
        <v>0</v>
      </c>
      <c r="O10" s="3">
        <v>0.13519457591689191</v>
      </c>
      <c r="P10" s="3">
        <v>0</v>
      </c>
      <c r="Q10" s="3">
        <v>0</v>
      </c>
      <c r="R10" s="3">
        <v>0.13519457591689191</v>
      </c>
      <c r="S10" t="s">
        <v>36</v>
      </c>
      <c r="T10" s="4">
        <f t="shared" si="0"/>
        <v>113.52</v>
      </c>
    </row>
    <row r="11" spans="1:20" x14ac:dyDescent="0.2">
      <c r="A11">
        <v>9</v>
      </c>
      <c r="B11">
        <v>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25</v>
      </c>
      <c r="J11" t="s">
        <v>34</v>
      </c>
      <c r="K11" t="s">
        <v>86</v>
      </c>
      <c r="L11" s="2">
        <v>37391.056319351141</v>
      </c>
      <c r="M11" s="3">
        <v>0</v>
      </c>
      <c r="N11" s="3">
        <v>0</v>
      </c>
      <c r="O11" s="3">
        <v>5.4461441052435333E-2</v>
      </c>
      <c r="P11" s="3">
        <v>0.94553855894755601</v>
      </c>
      <c r="Q11" s="3">
        <v>8.659739592076221E-15</v>
      </c>
      <c r="R11" s="3">
        <v>0.99999999999999134</v>
      </c>
      <c r="S11" t="s">
        <v>44</v>
      </c>
      <c r="T11" s="4">
        <f t="shared" si="0"/>
        <v>294.55</v>
      </c>
    </row>
    <row r="12" spans="1:20" x14ac:dyDescent="0.2">
      <c r="A12">
        <v>10</v>
      </c>
      <c r="B12">
        <v>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25</v>
      </c>
      <c r="I12" t="s">
        <v>25</v>
      </c>
      <c r="J12" t="s">
        <v>92</v>
      </c>
      <c r="K12" t="s">
        <v>93</v>
      </c>
      <c r="L12" s="2">
        <v>37391.056319351141</v>
      </c>
      <c r="M12" s="3">
        <v>0.27384996997448158</v>
      </c>
      <c r="N12" s="3">
        <v>0</v>
      </c>
      <c r="O12" s="3">
        <v>0.34524224702204109</v>
      </c>
      <c r="P12" s="3">
        <v>2.6567316576052392E-4</v>
      </c>
      <c r="Q12" s="3">
        <v>0.38064210983771668</v>
      </c>
      <c r="R12" s="3">
        <v>0.34550792018780158</v>
      </c>
      <c r="S12" t="s">
        <v>69</v>
      </c>
      <c r="T12" s="4">
        <f t="shared" si="0"/>
        <v>96.51</v>
      </c>
    </row>
    <row r="13" spans="1:20" x14ac:dyDescent="0.2">
      <c r="A13">
        <v>11</v>
      </c>
      <c r="B13">
        <v>1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25</v>
      </c>
      <c r="I13" t="s">
        <v>25</v>
      </c>
      <c r="J13" t="s">
        <v>92</v>
      </c>
      <c r="K13" t="s">
        <v>93</v>
      </c>
      <c r="L13" s="2">
        <v>37391.056319351141</v>
      </c>
      <c r="M13" s="3">
        <v>0.1302681141865259</v>
      </c>
      <c r="N13" s="3">
        <v>0</v>
      </c>
      <c r="O13" s="3">
        <v>0.23623176790961109</v>
      </c>
      <c r="P13" s="3">
        <v>0</v>
      </c>
      <c r="Q13" s="3">
        <v>0.63350011790386307</v>
      </c>
      <c r="R13" s="3">
        <v>0.23623176790961109</v>
      </c>
      <c r="S13" t="s">
        <v>69</v>
      </c>
      <c r="T13" s="4">
        <f t="shared" si="0"/>
        <v>60.27</v>
      </c>
    </row>
    <row r="14" spans="1:20" x14ac:dyDescent="0.2">
      <c r="A14">
        <v>12</v>
      </c>
      <c r="B14">
        <v>1</v>
      </c>
      <c r="C14" t="s">
        <v>99</v>
      </c>
      <c r="D14" t="s">
        <v>100</v>
      </c>
      <c r="E14" t="s">
        <v>96</v>
      </c>
      <c r="F14" t="s">
        <v>101</v>
      </c>
      <c r="G14" t="s">
        <v>102</v>
      </c>
      <c r="H14" t="s">
        <v>25</v>
      </c>
      <c r="I14" t="s">
        <v>25</v>
      </c>
      <c r="J14" t="s">
        <v>34</v>
      </c>
      <c r="K14" t="s">
        <v>93</v>
      </c>
      <c r="L14" s="2">
        <v>37391.056319351141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t="s">
        <v>28</v>
      </c>
      <c r="T14" s="4">
        <f t="shared" si="0"/>
        <v>100</v>
      </c>
    </row>
    <row r="15" spans="1:20" x14ac:dyDescent="0.2">
      <c r="A15">
        <v>13</v>
      </c>
      <c r="B15">
        <v>2</v>
      </c>
      <c r="C15" t="s">
        <v>103</v>
      </c>
      <c r="D15" t="s">
        <v>104</v>
      </c>
      <c r="E15" t="s">
        <v>83</v>
      </c>
      <c r="F15" t="s">
        <v>105</v>
      </c>
      <c r="G15" t="s">
        <v>106</v>
      </c>
      <c r="H15" t="s">
        <v>25</v>
      </c>
      <c r="I15" t="s">
        <v>25</v>
      </c>
      <c r="J15" t="s">
        <v>26</v>
      </c>
      <c r="K15" t="s">
        <v>93</v>
      </c>
      <c r="L15" s="2">
        <v>74782.112638702281</v>
      </c>
      <c r="M15" s="3">
        <v>0.64949816773680169</v>
      </c>
      <c r="N15" s="3">
        <v>0</v>
      </c>
      <c r="O15" s="3">
        <v>0</v>
      </c>
      <c r="P15" s="3">
        <v>0</v>
      </c>
      <c r="Q15" s="3">
        <v>0.35050183226319831</v>
      </c>
      <c r="R15" s="3">
        <v>0</v>
      </c>
      <c r="S15" t="s">
        <v>28</v>
      </c>
      <c r="T15" s="4">
        <f t="shared" si="0"/>
        <v>64.95</v>
      </c>
    </row>
    <row r="16" spans="1:20" x14ac:dyDescent="0.2">
      <c r="A16">
        <v>14</v>
      </c>
      <c r="B16">
        <v>1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80</v>
      </c>
      <c r="I16" t="s">
        <v>80</v>
      </c>
      <c r="J16" t="s">
        <v>34</v>
      </c>
      <c r="K16" t="s">
        <v>112</v>
      </c>
      <c r="L16" s="2">
        <v>37391.056319351141</v>
      </c>
      <c r="M16" s="3">
        <v>0.40300586048141929</v>
      </c>
      <c r="N16" s="3">
        <v>0</v>
      </c>
      <c r="O16" s="3">
        <v>0</v>
      </c>
      <c r="P16" s="3">
        <v>0</v>
      </c>
      <c r="Q16" s="3">
        <v>0.59699413951858071</v>
      </c>
      <c r="R16" s="3">
        <v>0</v>
      </c>
      <c r="S16" t="s">
        <v>28</v>
      </c>
      <c r="T16" s="4">
        <f t="shared" si="0"/>
        <v>40.299999999999997</v>
      </c>
    </row>
    <row r="17" spans="1:20" x14ac:dyDescent="0.2">
      <c r="A17">
        <v>15</v>
      </c>
      <c r="B17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25</v>
      </c>
      <c r="I17" t="s">
        <v>25</v>
      </c>
      <c r="J17" t="s">
        <v>34</v>
      </c>
      <c r="K17" t="s">
        <v>118</v>
      </c>
      <c r="L17" s="2">
        <v>37391.056319351141</v>
      </c>
      <c r="M17" s="3">
        <v>0.95274926969039242</v>
      </c>
      <c r="N17" s="3">
        <v>0</v>
      </c>
      <c r="O17" s="3">
        <v>0</v>
      </c>
      <c r="P17" s="3">
        <v>0</v>
      </c>
      <c r="Q17" s="3">
        <v>4.725073030960758E-2</v>
      </c>
      <c r="R17" s="3">
        <v>0</v>
      </c>
      <c r="S17" t="s">
        <v>28</v>
      </c>
      <c r="T17" s="4">
        <f t="shared" si="0"/>
        <v>95.27</v>
      </c>
    </row>
    <row r="18" spans="1:20" x14ac:dyDescent="0.2">
      <c r="A18">
        <v>16</v>
      </c>
      <c r="B18">
        <v>1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25</v>
      </c>
      <c r="I18" t="s">
        <v>25</v>
      </c>
      <c r="J18" t="s">
        <v>34</v>
      </c>
      <c r="K18" t="s">
        <v>124</v>
      </c>
      <c r="L18" s="2">
        <v>37391.056319351141</v>
      </c>
      <c r="M18" s="3">
        <v>0</v>
      </c>
      <c r="N18" s="3">
        <v>0</v>
      </c>
      <c r="O18" s="3">
        <v>4.4405359337431199E-2</v>
      </c>
      <c r="P18" s="3">
        <v>0.37578630873053431</v>
      </c>
      <c r="Q18" s="3">
        <v>0.57980833193203452</v>
      </c>
      <c r="R18" s="3">
        <v>0.42019166806796548</v>
      </c>
      <c r="S18" t="s">
        <v>125</v>
      </c>
      <c r="T18" s="4">
        <f t="shared" si="0"/>
        <v>121.62</v>
      </c>
    </row>
    <row r="19" spans="1:20" x14ac:dyDescent="0.2">
      <c r="A19">
        <v>17</v>
      </c>
      <c r="B19">
        <v>1</v>
      </c>
      <c r="C19" t="s">
        <v>126</v>
      </c>
      <c r="D19" t="s">
        <v>127</v>
      </c>
      <c r="E19" t="s">
        <v>77</v>
      </c>
      <c r="F19" t="s">
        <v>128</v>
      </c>
      <c r="G19" t="s">
        <v>129</v>
      </c>
      <c r="H19" t="s">
        <v>67</v>
      </c>
      <c r="I19" t="s">
        <v>67</v>
      </c>
      <c r="J19" t="s">
        <v>92</v>
      </c>
      <c r="K19" t="s">
        <v>130</v>
      </c>
      <c r="L19" s="2">
        <v>37391.056319351141</v>
      </c>
      <c r="M19" s="3">
        <v>0</v>
      </c>
      <c r="N19" s="3">
        <v>0</v>
      </c>
      <c r="O19" s="3">
        <v>0.42014438532655429</v>
      </c>
      <c r="P19" s="3">
        <v>0.57985561467365099</v>
      </c>
      <c r="Q19" s="3">
        <v>0</v>
      </c>
      <c r="R19" s="3">
        <v>1.0000000000002049</v>
      </c>
      <c r="S19" t="s">
        <v>44</v>
      </c>
      <c r="T19" s="4">
        <f t="shared" si="0"/>
        <v>257.99</v>
      </c>
    </row>
    <row r="20" spans="1:20" x14ac:dyDescent="0.2">
      <c r="A20">
        <v>18</v>
      </c>
      <c r="B20">
        <v>1</v>
      </c>
      <c r="C20" t="s">
        <v>131</v>
      </c>
      <c r="D20" t="s">
        <v>132</v>
      </c>
      <c r="E20" t="s">
        <v>77</v>
      </c>
      <c r="F20" t="s">
        <v>128</v>
      </c>
      <c r="G20" t="s">
        <v>133</v>
      </c>
      <c r="H20" t="s">
        <v>67</v>
      </c>
      <c r="I20" t="s">
        <v>67</v>
      </c>
      <c r="J20" t="s">
        <v>92</v>
      </c>
      <c r="K20" t="s">
        <v>86</v>
      </c>
      <c r="L20" s="2">
        <v>37391.056319351141</v>
      </c>
      <c r="M20" s="3">
        <v>0</v>
      </c>
      <c r="N20" s="3">
        <v>0</v>
      </c>
      <c r="O20" s="3">
        <v>0.32425994032293642</v>
      </c>
      <c r="P20" s="3">
        <v>0.6757400596772416</v>
      </c>
      <c r="Q20" s="3">
        <v>0</v>
      </c>
      <c r="R20" s="3">
        <v>1.0000000000001781</v>
      </c>
      <c r="S20" t="s">
        <v>44</v>
      </c>
      <c r="T20" s="4">
        <f t="shared" si="0"/>
        <v>267.57</v>
      </c>
    </row>
    <row r="21" spans="1:20" x14ac:dyDescent="0.2">
      <c r="A21">
        <v>19</v>
      </c>
      <c r="B21">
        <v>1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25</v>
      </c>
      <c r="I21" t="s">
        <v>25</v>
      </c>
      <c r="J21" t="s">
        <v>92</v>
      </c>
      <c r="K21" t="s">
        <v>86</v>
      </c>
      <c r="L21" s="2">
        <v>37391.056319351141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t="s">
        <v>28</v>
      </c>
      <c r="T21" s="4">
        <f t="shared" si="0"/>
        <v>100</v>
      </c>
    </row>
    <row r="22" spans="1:20" x14ac:dyDescent="0.2">
      <c r="A22">
        <v>20</v>
      </c>
      <c r="B22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67</v>
      </c>
      <c r="I22" t="s">
        <v>67</v>
      </c>
      <c r="J22" t="s">
        <v>26</v>
      </c>
      <c r="K22" t="s">
        <v>93</v>
      </c>
      <c r="L22" s="2">
        <v>37391.056319351141</v>
      </c>
      <c r="M22" s="3">
        <v>1.9208681828982371E-4</v>
      </c>
      <c r="N22" s="3">
        <v>0</v>
      </c>
      <c r="O22" s="3">
        <v>0.46454048577009521</v>
      </c>
      <c r="P22" s="3">
        <v>0.53526742741187627</v>
      </c>
      <c r="Q22" s="3">
        <v>0</v>
      </c>
      <c r="R22" s="3">
        <v>0.99980791318197149</v>
      </c>
      <c r="S22" t="s">
        <v>44</v>
      </c>
      <c r="T22" s="4">
        <f t="shared" si="0"/>
        <v>253.51</v>
      </c>
    </row>
    <row r="23" spans="1:20" x14ac:dyDescent="0.2">
      <c r="A23">
        <v>21</v>
      </c>
      <c r="B23">
        <v>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67</v>
      </c>
      <c r="I23" t="s">
        <v>67</v>
      </c>
      <c r="J23" t="s">
        <v>34</v>
      </c>
      <c r="K23" t="s">
        <v>149</v>
      </c>
      <c r="L23" s="2">
        <v>0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t="s">
        <v>28</v>
      </c>
      <c r="T23" s="4">
        <f t="shared" si="0"/>
        <v>0</v>
      </c>
    </row>
    <row r="24" spans="1:20" x14ac:dyDescent="0.2">
      <c r="A24">
        <v>22</v>
      </c>
      <c r="B24">
        <v>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25</v>
      </c>
      <c r="I24" t="s">
        <v>25</v>
      </c>
      <c r="J24" t="s">
        <v>26</v>
      </c>
      <c r="K24" t="s">
        <v>155</v>
      </c>
      <c r="L24" s="2">
        <v>37391.056319342293</v>
      </c>
      <c r="M24" s="3">
        <v>0.37301847803694449</v>
      </c>
      <c r="N24" s="3">
        <v>0</v>
      </c>
      <c r="O24" s="3">
        <v>0.14424276627892649</v>
      </c>
      <c r="P24" s="3">
        <v>0.4063683264069694</v>
      </c>
      <c r="Q24" s="3">
        <v>7.6370429277159535E-2</v>
      </c>
      <c r="R24" s="3">
        <v>0.55061109268589592</v>
      </c>
      <c r="S24" t="s">
        <v>125</v>
      </c>
      <c r="T24" s="4">
        <f t="shared" si="0"/>
        <v>188.06</v>
      </c>
    </row>
    <row r="25" spans="1:20" x14ac:dyDescent="0.2">
      <c r="A25">
        <v>23</v>
      </c>
      <c r="B25">
        <v>1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25</v>
      </c>
      <c r="I25" t="s">
        <v>25</v>
      </c>
      <c r="J25" t="s">
        <v>26</v>
      </c>
      <c r="K25" t="s">
        <v>161</v>
      </c>
      <c r="L25" s="2">
        <v>37391.056319342293</v>
      </c>
      <c r="M25" s="3">
        <v>0.70260611116437521</v>
      </c>
      <c r="N25" s="3">
        <v>0</v>
      </c>
      <c r="O25" s="3">
        <v>0.18954208804469611</v>
      </c>
      <c r="P25" s="3">
        <v>2.239803689511574E-3</v>
      </c>
      <c r="Q25" s="3">
        <v>0.1056119971014171</v>
      </c>
      <c r="R25" s="3">
        <v>0.1917818917342077</v>
      </c>
      <c r="S25" t="s">
        <v>36</v>
      </c>
      <c r="T25" s="4">
        <f t="shared" si="0"/>
        <v>108.84</v>
      </c>
    </row>
    <row r="26" spans="1:20" x14ac:dyDescent="0.2">
      <c r="A26">
        <v>24</v>
      </c>
      <c r="B26">
        <v>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25</v>
      </c>
      <c r="I26" t="s">
        <v>25</v>
      </c>
      <c r="J26" t="s">
        <v>92</v>
      </c>
      <c r="K26" t="s">
        <v>167</v>
      </c>
      <c r="L26" s="2">
        <v>37391.056319351141</v>
      </c>
      <c r="M26" s="3">
        <v>0.1188268013322992</v>
      </c>
      <c r="N26" s="3">
        <v>0</v>
      </c>
      <c r="O26" s="3">
        <v>0.1769263221935761</v>
      </c>
      <c r="P26" s="3">
        <v>0</v>
      </c>
      <c r="Q26" s="3">
        <v>0.70424687647412476</v>
      </c>
      <c r="R26" s="3">
        <v>0.1769263221935761</v>
      </c>
      <c r="S26" t="s">
        <v>36</v>
      </c>
      <c r="T26" s="4">
        <f t="shared" si="0"/>
        <v>47.27</v>
      </c>
    </row>
    <row r="27" spans="1:20" x14ac:dyDescent="0.2">
      <c r="A27">
        <v>25</v>
      </c>
      <c r="B27">
        <v>1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25</v>
      </c>
      <c r="I27" t="s">
        <v>25</v>
      </c>
      <c r="J27" t="s">
        <v>34</v>
      </c>
      <c r="K27" t="s">
        <v>167</v>
      </c>
      <c r="L27" s="2">
        <v>37391.056319342293</v>
      </c>
      <c r="M27" s="3">
        <v>0.69008760774664135</v>
      </c>
      <c r="N27" s="3">
        <v>0</v>
      </c>
      <c r="O27" s="3">
        <v>8.7226588789911588E-2</v>
      </c>
      <c r="P27" s="3">
        <v>0</v>
      </c>
      <c r="Q27" s="3">
        <v>0.22268580346344699</v>
      </c>
      <c r="R27" s="3">
        <v>8.7226588789911588E-2</v>
      </c>
      <c r="S27" t="s">
        <v>28</v>
      </c>
      <c r="T27" s="4">
        <f t="shared" si="0"/>
        <v>86.45</v>
      </c>
    </row>
    <row r="28" spans="1:20" x14ac:dyDescent="0.2">
      <c r="A28">
        <v>26</v>
      </c>
      <c r="B28">
        <v>1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25</v>
      </c>
      <c r="I28" t="s">
        <v>25</v>
      </c>
      <c r="J28" t="s">
        <v>34</v>
      </c>
      <c r="K28" t="s">
        <v>167</v>
      </c>
      <c r="L28" s="2">
        <v>37391.056319342293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t="s">
        <v>28</v>
      </c>
      <c r="T28" s="4">
        <f t="shared" si="0"/>
        <v>0</v>
      </c>
    </row>
    <row r="29" spans="1:20" x14ac:dyDescent="0.2">
      <c r="A29">
        <v>27</v>
      </c>
      <c r="B29">
        <v>1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25</v>
      </c>
      <c r="I29" t="s">
        <v>25</v>
      </c>
      <c r="J29" t="s">
        <v>34</v>
      </c>
      <c r="K29" t="s">
        <v>167</v>
      </c>
      <c r="L29" s="2">
        <v>37391.056319342293</v>
      </c>
      <c r="M29" s="3">
        <v>0</v>
      </c>
      <c r="N29" s="3">
        <v>0</v>
      </c>
      <c r="O29" s="3">
        <v>2.957368752853309E-2</v>
      </c>
      <c r="P29" s="3">
        <v>0</v>
      </c>
      <c r="Q29" s="3">
        <v>0.97042631247146682</v>
      </c>
      <c r="R29" s="3">
        <v>2.957368752853309E-2</v>
      </c>
      <c r="S29" t="s">
        <v>28</v>
      </c>
      <c r="T29" s="4">
        <f t="shared" si="0"/>
        <v>5.91</v>
      </c>
    </row>
    <row r="30" spans="1:20" x14ac:dyDescent="0.2">
      <c r="A30">
        <v>28</v>
      </c>
      <c r="B30">
        <v>1</v>
      </c>
      <c r="C30" t="s">
        <v>183</v>
      </c>
      <c r="D30" t="s">
        <v>184</v>
      </c>
      <c r="E30" t="s">
        <v>185</v>
      </c>
      <c r="F30" t="s">
        <v>186</v>
      </c>
      <c r="G30" t="s">
        <v>160</v>
      </c>
      <c r="H30" t="s">
        <v>25</v>
      </c>
      <c r="I30" t="s">
        <v>25</v>
      </c>
      <c r="J30" t="s">
        <v>34</v>
      </c>
      <c r="K30" t="s">
        <v>187</v>
      </c>
      <c r="L30" s="2">
        <v>37391.056319342293</v>
      </c>
      <c r="M30" s="3">
        <v>0.89776326246500471</v>
      </c>
      <c r="N30" s="3">
        <v>0</v>
      </c>
      <c r="O30" s="3">
        <v>0.10223673753505701</v>
      </c>
      <c r="P30" s="3">
        <v>0</v>
      </c>
      <c r="Q30" s="3">
        <v>0</v>
      </c>
      <c r="R30" s="3">
        <v>0.10223673753505701</v>
      </c>
      <c r="S30" t="s">
        <v>36</v>
      </c>
      <c r="T30" s="4">
        <f t="shared" si="0"/>
        <v>110.22</v>
      </c>
    </row>
    <row r="31" spans="1:20" x14ac:dyDescent="0.2">
      <c r="A31">
        <v>29</v>
      </c>
      <c r="B31">
        <v>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25</v>
      </c>
      <c r="I31" t="s">
        <v>25</v>
      </c>
      <c r="J31" t="s">
        <v>92</v>
      </c>
      <c r="K31" t="s">
        <v>193</v>
      </c>
      <c r="L31" s="2">
        <v>37391.056319342293</v>
      </c>
      <c r="M31" s="3">
        <v>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t="s">
        <v>28</v>
      </c>
      <c r="T31" s="4">
        <f t="shared" si="0"/>
        <v>100</v>
      </c>
    </row>
    <row r="32" spans="1:20" x14ac:dyDescent="0.2">
      <c r="A32">
        <v>30</v>
      </c>
      <c r="B32">
        <v>1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25</v>
      </c>
      <c r="I32" t="s">
        <v>25</v>
      </c>
      <c r="J32" t="s">
        <v>34</v>
      </c>
      <c r="K32" t="s">
        <v>193</v>
      </c>
      <c r="L32" s="2">
        <v>37391.056319342293</v>
      </c>
      <c r="M32" s="3">
        <v>0</v>
      </c>
      <c r="N32" s="3">
        <v>0</v>
      </c>
      <c r="O32" s="3">
        <v>0.1069363629841739</v>
      </c>
      <c r="P32" s="3">
        <v>0</v>
      </c>
      <c r="Q32" s="3">
        <v>0.89306363701582614</v>
      </c>
      <c r="R32" s="3">
        <v>0.1069363629841739</v>
      </c>
      <c r="S32" t="s">
        <v>36</v>
      </c>
      <c r="T32" s="4">
        <f t="shared" si="0"/>
        <v>21.39</v>
      </c>
    </row>
    <row r="33" spans="1:20" x14ac:dyDescent="0.2">
      <c r="A33">
        <v>31</v>
      </c>
      <c r="B33">
        <v>1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67</v>
      </c>
      <c r="I33" t="s">
        <v>67</v>
      </c>
      <c r="J33" t="s">
        <v>34</v>
      </c>
      <c r="K33" t="s">
        <v>204</v>
      </c>
      <c r="L33" s="2">
        <v>37391.056319342293</v>
      </c>
      <c r="M33" s="3">
        <v>0.88507549183752121</v>
      </c>
      <c r="N33" s="3">
        <v>0</v>
      </c>
      <c r="O33" s="3">
        <v>0.114924508162479</v>
      </c>
      <c r="P33" s="3">
        <v>0</v>
      </c>
      <c r="Q33" s="3">
        <v>0</v>
      </c>
      <c r="R33" s="3">
        <v>0.114924508162479</v>
      </c>
      <c r="S33" t="s">
        <v>36</v>
      </c>
      <c r="T33" s="4">
        <f t="shared" si="0"/>
        <v>111.49</v>
      </c>
    </row>
    <row r="34" spans="1:20" x14ac:dyDescent="0.2">
      <c r="A34">
        <v>32</v>
      </c>
      <c r="B34">
        <v>1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  <c r="H34" t="s">
        <v>25</v>
      </c>
      <c r="I34" t="s">
        <v>25</v>
      </c>
      <c r="J34" t="s">
        <v>34</v>
      </c>
      <c r="K34" t="s">
        <v>210</v>
      </c>
      <c r="L34" s="2">
        <v>37391.056319342293</v>
      </c>
      <c r="M34" s="3">
        <v>0</v>
      </c>
      <c r="N34" s="3">
        <v>0</v>
      </c>
      <c r="O34" s="3">
        <v>7.9103525649123166E-2</v>
      </c>
      <c r="P34" s="3">
        <v>7.8089167898839451E-4</v>
      </c>
      <c r="Q34" s="3">
        <v>0.92011558267188853</v>
      </c>
      <c r="R34" s="3">
        <v>7.9884417328111565E-2</v>
      </c>
      <c r="S34" t="s">
        <v>28</v>
      </c>
      <c r="T34" s="4">
        <f t="shared" si="0"/>
        <v>16.05</v>
      </c>
    </row>
    <row r="35" spans="1:20" x14ac:dyDescent="0.2">
      <c r="A35">
        <v>33</v>
      </c>
      <c r="B35">
        <v>1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25</v>
      </c>
      <c r="I35" t="s">
        <v>25</v>
      </c>
      <c r="J35" t="s">
        <v>34</v>
      </c>
      <c r="K35" t="s">
        <v>27</v>
      </c>
      <c r="L35" s="2">
        <v>37391.056319342293</v>
      </c>
      <c r="M35" s="3">
        <v>0.87618523684071858</v>
      </c>
      <c r="N35" s="3">
        <v>0</v>
      </c>
      <c r="O35" s="3">
        <v>0.1238147631593485</v>
      </c>
      <c r="P35" s="3">
        <v>0</v>
      </c>
      <c r="Q35" s="3">
        <v>0</v>
      </c>
      <c r="R35" s="3">
        <v>0.1238147631593485</v>
      </c>
      <c r="S35" t="s">
        <v>36</v>
      </c>
      <c r="T35" s="4">
        <f t="shared" si="0"/>
        <v>112.38</v>
      </c>
    </row>
    <row r="36" spans="1:20" x14ac:dyDescent="0.2">
      <c r="A36">
        <v>34</v>
      </c>
      <c r="B36">
        <v>1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67</v>
      </c>
      <c r="I36" t="s">
        <v>67</v>
      </c>
      <c r="J36" t="s">
        <v>92</v>
      </c>
      <c r="K36" t="s">
        <v>130</v>
      </c>
      <c r="L36" s="2">
        <v>37391.056319351141</v>
      </c>
      <c r="M36" s="3">
        <v>0.85022020469459336</v>
      </c>
      <c r="N36" s="3">
        <v>0</v>
      </c>
      <c r="O36" s="3">
        <v>7.9575750443271046E-2</v>
      </c>
      <c r="P36" s="3">
        <v>6.4999201222286076E-3</v>
      </c>
      <c r="Q36" s="3">
        <v>6.3704124739907053E-2</v>
      </c>
      <c r="R36" s="3">
        <v>8.6075670565499654E-2</v>
      </c>
      <c r="S36" t="s">
        <v>28</v>
      </c>
      <c r="T36" s="4">
        <f t="shared" si="0"/>
        <v>102.89</v>
      </c>
    </row>
    <row r="37" spans="1:20" x14ac:dyDescent="0.2">
      <c r="A37">
        <v>35</v>
      </c>
      <c r="B37">
        <v>2</v>
      </c>
      <c r="C37" t="s">
        <v>221</v>
      </c>
      <c r="D37" t="s">
        <v>222</v>
      </c>
      <c r="E37" t="s">
        <v>175</v>
      </c>
      <c r="F37" t="s">
        <v>223</v>
      </c>
      <c r="G37" t="s">
        <v>224</v>
      </c>
      <c r="H37" t="s">
        <v>67</v>
      </c>
      <c r="I37" t="s">
        <v>67</v>
      </c>
      <c r="J37" t="s">
        <v>92</v>
      </c>
      <c r="K37" t="s">
        <v>27</v>
      </c>
      <c r="L37" s="2">
        <v>74782.112638684586</v>
      </c>
      <c r="M37" s="3">
        <v>0</v>
      </c>
      <c r="N37" s="3">
        <v>0</v>
      </c>
      <c r="O37" s="3">
        <v>8.6096609933798529E-2</v>
      </c>
      <c r="P37" s="3">
        <v>0</v>
      </c>
      <c r="Q37" s="3">
        <v>0.91390339006620136</v>
      </c>
      <c r="R37" s="3">
        <v>8.6096609933798529E-2</v>
      </c>
      <c r="S37" t="s">
        <v>28</v>
      </c>
      <c r="T37" s="4">
        <f t="shared" si="0"/>
        <v>17.22</v>
      </c>
    </row>
    <row r="38" spans="1:20" x14ac:dyDescent="0.2">
      <c r="A38">
        <v>36</v>
      </c>
      <c r="B38">
        <v>2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67</v>
      </c>
      <c r="I38" t="s">
        <v>67</v>
      </c>
      <c r="J38" t="s">
        <v>34</v>
      </c>
      <c r="K38" t="s">
        <v>230</v>
      </c>
      <c r="L38" s="2">
        <v>74782.112638684586</v>
      </c>
      <c r="M38" s="3">
        <v>0</v>
      </c>
      <c r="N38" s="3">
        <v>0</v>
      </c>
      <c r="O38" s="3">
        <v>0.34325363727979608</v>
      </c>
      <c r="P38" s="3">
        <v>0</v>
      </c>
      <c r="Q38" s="3">
        <v>0.65674636272020392</v>
      </c>
      <c r="R38" s="3">
        <v>0.34325363727979608</v>
      </c>
      <c r="S38" t="s">
        <v>69</v>
      </c>
      <c r="T38" s="4">
        <f t="shared" si="0"/>
        <v>68.650000000000006</v>
      </c>
    </row>
    <row r="39" spans="1:20" x14ac:dyDescent="0.2">
      <c r="A39">
        <v>37</v>
      </c>
      <c r="B39">
        <v>2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67</v>
      </c>
      <c r="I39" t="s">
        <v>67</v>
      </c>
      <c r="J39" t="s">
        <v>34</v>
      </c>
      <c r="K39" t="s">
        <v>204</v>
      </c>
      <c r="L39" s="2">
        <v>74782.112638684586</v>
      </c>
      <c r="M39" s="3">
        <v>0.79047898084207513</v>
      </c>
      <c r="N39" s="3">
        <v>0</v>
      </c>
      <c r="O39" s="3">
        <v>0.18521357033861621</v>
      </c>
      <c r="P39" s="3">
        <v>2.4307448819412839E-2</v>
      </c>
      <c r="Q39" s="3">
        <v>0</v>
      </c>
      <c r="R39" s="3">
        <v>0.20952101915802909</v>
      </c>
      <c r="S39" t="s">
        <v>69</v>
      </c>
      <c r="T39" s="4">
        <f t="shared" si="0"/>
        <v>123.38</v>
      </c>
    </row>
    <row r="40" spans="1:20" x14ac:dyDescent="0.2">
      <c r="A40">
        <v>38</v>
      </c>
      <c r="B40">
        <v>1</v>
      </c>
      <c r="C40" t="s">
        <v>236</v>
      </c>
      <c r="D40" t="s">
        <v>237</v>
      </c>
      <c r="E40" t="s">
        <v>207</v>
      </c>
      <c r="F40" t="s">
        <v>238</v>
      </c>
      <c r="G40" t="s">
        <v>239</v>
      </c>
      <c r="H40" t="s">
        <v>67</v>
      </c>
      <c r="I40" t="s">
        <v>67</v>
      </c>
      <c r="J40" t="s">
        <v>34</v>
      </c>
      <c r="K40" t="s">
        <v>240</v>
      </c>
      <c r="L40" s="2">
        <v>37391.056319342293</v>
      </c>
      <c r="M40" s="3">
        <v>0.83434263056774127</v>
      </c>
      <c r="N40" s="3">
        <v>0</v>
      </c>
      <c r="O40" s="3">
        <v>0.16091706772099651</v>
      </c>
      <c r="P40" s="3">
        <v>4.7403017113711336E-3</v>
      </c>
      <c r="Q40" s="3">
        <v>0</v>
      </c>
      <c r="R40" s="3">
        <v>0.16565736943236761</v>
      </c>
      <c r="S40" t="s">
        <v>36</v>
      </c>
      <c r="T40" s="4">
        <f t="shared" si="0"/>
        <v>117.04</v>
      </c>
    </row>
    <row r="41" spans="1:20" x14ac:dyDescent="0.2">
      <c r="A41">
        <v>39</v>
      </c>
      <c r="B41">
        <v>1</v>
      </c>
      <c r="C41" t="s">
        <v>241</v>
      </c>
      <c r="D41" t="s">
        <v>242</v>
      </c>
      <c r="E41" t="s">
        <v>243</v>
      </c>
      <c r="F41" t="s">
        <v>186</v>
      </c>
      <c r="G41" t="s">
        <v>160</v>
      </c>
      <c r="H41" t="s">
        <v>25</v>
      </c>
      <c r="I41" t="s">
        <v>25</v>
      </c>
      <c r="J41" t="s">
        <v>34</v>
      </c>
      <c r="K41" t="s">
        <v>240</v>
      </c>
      <c r="L41" s="2">
        <v>37391.056319342293</v>
      </c>
      <c r="M41" s="3">
        <v>0.86476957653845765</v>
      </c>
      <c r="N41" s="3">
        <v>0</v>
      </c>
      <c r="O41" s="3">
        <v>0.13523042346162781</v>
      </c>
      <c r="P41" s="3">
        <v>0</v>
      </c>
      <c r="Q41" s="3">
        <v>0</v>
      </c>
      <c r="R41" s="3">
        <v>0.13523042346162781</v>
      </c>
      <c r="S41" t="s">
        <v>36</v>
      </c>
      <c r="T41" s="4">
        <f t="shared" si="0"/>
        <v>113.52</v>
      </c>
    </row>
    <row r="42" spans="1:20" x14ac:dyDescent="0.2">
      <c r="A42">
        <v>40</v>
      </c>
      <c r="B42">
        <v>1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25</v>
      </c>
      <c r="I42" t="s">
        <v>25</v>
      </c>
      <c r="J42" t="s">
        <v>34</v>
      </c>
      <c r="K42" t="s">
        <v>249</v>
      </c>
      <c r="L42" s="2">
        <v>37391.056319342293</v>
      </c>
      <c r="M42" s="3">
        <v>0.83870670551653759</v>
      </c>
      <c r="N42" s="3">
        <v>0</v>
      </c>
      <c r="O42" s="3">
        <v>0.16129329448363561</v>
      </c>
      <c r="P42" s="3">
        <v>0</v>
      </c>
      <c r="Q42" s="3">
        <v>0</v>
      </c>
      <c r="R42" s="3">
        <v>0.16129329448363561</v>
      </c>
      <c r="S42" t="s">
        <v>36</v>
      </c>
      <c r="T42" s="4">
        <f t="shared" si="0"/>
        <v>116.13</v>
      </c>
    </row>
    <row r="43" spans="1:20" x14ac:dyDescent="0.2">
      <c r="A43">
        <v>41</v>
      </c>
      <c r="B43">
        <v>1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67</v>
      </c>
      <c r="I43" t="s">
        <v>67</v>
      </c>
      <c r="J43" t="s">
        <v>26</v>
      </c>
      <c r="K43" t="s">
        <v>249</v>
      </c>
      <c r="L43" s="2">
        <v>37391.056319342293</v>
      </c>
      <c r="M43" s="3">
        <v>5.7072754811982748E-2</v>
      </c>
      <c r="N43" s="3">
        <v>0</v>
      </c>
      <c r="O43" s="3">
        <v>0.2042020970659747</v>
      </c>
      <c r="P43" s="3">
        <v>2.900102107518631E-2</v>
      </c>
      <c r="Q43" s="3">
        <v>0.70972412704685617</v>
      </c>
      <c r="R43" s="3">
        <v>0.23320311814116099</v>
      </c>
      <c r="S43" t="s">
        <v>69</v>
      </c>
      <c r="T43" s="4">
        <f t="shared" si="0"/>
        <v>55.25</v>
      </c>
    </row>
    <row r="44" spans="1:20" x14ac:dyDescent="0.2">
      <c r="A44">
        <v>42</v>
      </c>
      <c r="B44">
        <v>1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260</v>
      </c>
      <c r="J44" t="s">
        <v>34</v>
      </c>
      <c r="K44" t="s">
        <v>249</v>
      </c>
      <c r="L44" s="2">
        <v>37391.056319342293</v>
      </c>
      <c r="M44" s="3">
        <v>0.25435538720597239</v>
      </c>
      <c r="N44" s="3">
        <v>0</v>
      </c>
      <c r="O44" s="3">
        <v>5.1627006020914377E-2</v>
      </c>
      <c r="P44" s="3">
        <v>0.69401760677294799</v>
      </c>
      <c r="Q44" s="3">
        <v>1.6520118606422329E-13</v>
      </c>
      <c r="R44" s="3">
        <v>0.7456446127938624</v>
      </c>
      <c r="S44" t="s">
        <v>44</v>
      </c>
      <c r="T44" s="4">
        <f t="shared" si="0"/>
        <v>243.97</v>
      </c>
    </row>
    <row r="45" spans="1:20" x14ac:dyDescent="0.2">
      <c r="A45">
        <v>43</v>
      </c>
      <c r="B45">
        <v>1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25</v>
      </c>
      <c r="I45" t="s">
        <v>25</v>
      </c>
      <c r="J45" t="s">
        <v>26</v>
      </c>
      <c r="K45" t="s">
        <v>266</v>
      </c>
      <c r="L45" s="2">
        <v>37391.056319342293</v>
      </c>
      <c r="M45" s="3">
        <v>0</v>
      </c>
      <c r="N45" s="3">
        <v>0</v>
      </c>
      <c r="O45" s="3">
        <v>0</v>
      </c>
      <c r="P45" s="3">
        <v>0</v>
      </c>
      <c r="Q45" s="3">
        <v>1</v>
      </c>
      <c r="R45" s="3">
        <v>0</v>
      </c>
      <c r="S45" t="s">
        <v>28</v>
      </c>
      <c r="T45" s="4">
        <f t="shared" si="0"/>
        <v>0</v>
      </c>
    </row>
    <row r="46" spans="1:20" x14ac:dyDescent="0.2">
      <c r="A46">
        <v>44</v>
      </c>
      <c r="B46">
        <v>1</v>
      </c>
      <c r="C46" t="s">
        <v>267</v>
      </c>
      <c r="D46" t="s">
        <v>268</v>
      </c>
      <c r="E46" t="s">
        <v>252</v>
      </c>
      <c r="F46" t="s">
        <v>269</v>
      </c>
      <c r="G46" t="s">
        <v>270</v>
      </c>
      <c r="H46" t="s">
        <v>25</v>
      </c>
      <c r="I46" t="s">
        <v>25</v>
      </c>
      <c r="J46" t="s">
        <v>34</v>
      </c>
      <c r="K46" t="s">
        <v>271</v>
      </c>
      <c r="L46" s="2">
        <v>37391.056319342293</v>
      </c>
      <c r="M46" s="3">
        <v>0</v>
      </c>
      <c r="N46" s="3">
        <v>0</v>
      </c>
      <c r="O46" s="3">
        <v>0</v>
      </c>
      <c r="P46" s="3">
        <v>0</v>
      </c>
      <c r="Q46" s="3">
        <v>1</v>
      </c>
      <c r="R46" s="3">
        <v>0</v>
      </c>
      <c r="S46" t="s">
        <v>28</v>
      </c>
      <c r="T46" s="4">
        <f t="shared" si="0"/>
        <v>0</v>
      </c>
    </row>
    <row r="47" spans="1:20" x14ac:dyDescent="0.2">
      <c r="A47">
        <v>45</v>
      </c>
      <c r="B47">
        <v>1</v>
      </c>
      <c r="C47" t="s">
        <v>272</v>
      </c>
      <c r="D47" t="s">
        <v>273</v>
      </c>
      <c r="E47" t="s">
        <v>274</v>
      </c>
      <c r="F47" t="s">
        <v>275</v>
      </c>
      <c r="G47" t="s">
        <v>276</v>
      </c>
      <c r="H47" t="s">
        <v>25</v>
      </c>
      <c r="I47" t="s">
        <v>25</v>
      </c>
      <c r="J47" t="s">
        <v>34</v>
      </c>
      <c r="K47" t="s">
        <v>277</v>
      </c>
      <c r="L47" s="2">
        <v>37391.056319342293</v>
      </c>
      <c r="M47" s="3">
        <v>0.50894732685899524</v>
      </c>
      <c r="N47" s="3">
        <v>0</v>
      </c>
      <c r="O47" s="3">
        <v>0</v>
      </c>
      <c r="P47" s="3">
        <v>0</v>
      </c>
      <c r="Q47" s="3">
        <v>0.49105267314100493</v>
      </c>
      <c r="R47" s="3">
        <v>0</v>
      </c>
      <c r="S47" t="s">
        <v>28</v>
      </c>
      <c r="T47" s="4">
        <f t="shared" si="0"/>
        <v>50.89</v>
      </c>
    </row>
    <row r="48" spans="1:20" x14ac:dyDescent="0.2">
      <c r="A48">
        <v>46</v>
      </c>
      <c r="B48">
        <v>1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25</v>
      </c>
      <c r="I48" t="s">
        <v>25</v>
      </c>
      <c r="J48" t="s">
        <v>26</v>
      </c>
      <c r="K48" t="s">
        <v>283</v>
      </c>
      <c r="L48" s="2">
        <v>37391.056319342293</v>
      </c>
      <c r="M48" s="3">
        <v>0.74847358439754985</v>
      </c>
      <c r="N48" s="3">
        <v>0</v>
      </c>
      <c r="O48" s="3">
        <v>0.14331018017985539</v>
      </c>
      <c r="P48" s="3">
        <v>2.5071659650899129E-2</v>
      </c>
      <c r="Q48" s="3">
        <v>8.314457577169565E-2</v>
      </c>
      <c r="R48" s="3">
        <v>0.1683818398307545</v>
      </c>
      <c r="S48" t="s">
        <v>36</v>
      </c>
      <c r="T48" s="4">
        <f t="shared" si="0"/>
        <v>111.03</v>
      </c>
    </row>
    <row r="49" spans="1:20" x14ac:dyDescent="0.2">
      <c r="A49">
        <v>47</v>
      </c>
      <c r="B49">
        <v>2</v>
      </c>
      <c r="C49" t="s">
        <v>284</v>
      </c>
      <c r="D49" t="s">
        <v>285</v>
      </c>
      <c r="E49" t="s">
        <v>286</v>
      </c>
      <c r="F49" t="s">
        <v>287</v>
      </c>
      <c r="G49" t="s">
        <v>288</v>
      </c>
      <c r="H49" t="s">
        <v>25</v>
      </c>
      <c r="I49" t="s">
        <v>25</v>
      </c>
      <c r="J49" t="s">
        <v>92</v>
      </c>
      <c r="K49" t="s">
        <v>86</v>
      </c>
      <c r="L49" s="2">
        <v>74782.112638684586</v>
      </c>
      <c r="M49" s="3">
        <v>0</v>
      </c>
      <c r="N49" s="3">
        <v>0</v>
      </c>
      <c r="O49" s="3">
        <v>0.2209111389000846</v>
      </c>
      <c r="P49" s="3">
        <v>0.77908886109996389</v>
      </c>
      <c r="Q49" s="3">
        <v>0</v>
      </c>
      <c r="R49" s="3">
        <v>1.000000000000048</v>
      </c>
      <c r="S49" t="s">
        <v>44</v>
      </c>
      <c r="T49" s="4">
        <f t="shared" si="0"/>
        <v>277.91000000000003</v>
      </c>
    </row>
    <row r="50" spans="1:20" x14ac:dyDescent="0.2">
      <c r="A50">
        <v>48</v>
      </c>
      <c r="B50">
        <v>1</v>
      </c>
      <c r="C50" t="s">
        <v>289</v>
      </c>
      <c r="D50" t="s">
        <v>290</v>
      </c>
      <c r="E50" t="s">
        <v>291</v>
      </c>
      <c r="F50" t="s">
        <v>122</v>
      </c>
      <c r="G50" t="s">
        <v>123</v>
      </c>
      <c r="H50" t="s">
        <v>25</v>
      </c>
      <c r="I50" t="s">
        <v>25</v>
      </c>
      <c r="J50" t="s">
        <v>34</v>
      </c>
      <c r="K50" t="s">
        <v>35</v>
      </c>
      <c r="L50" s="2">
        <v>37391.056319351141</v>
      </c>
      <c r="M50" s="3">
        <v>0</v>
      </c>
      <c r="N50" s="3">
        <v>0</v>
      </c>
      <c r="O50" s="3">
        <v>8.2701010436160988E-2</v>
      </c>
      <c r="P50" s="3">
        <v>0</v>
      </c>
      <c r="Q50" s="3">
        <v>0.91729898956383904</v>
      </c>
      <c r="R50" s="3">
        <v>8.2701010436160988E-2</v>
      </c>
      <c r="S50" t="s">
        <v>28</v>
      </c>
      <c r="T50" s="4">
        <f t="shared" si="0"/>
        <v>16.54</v>
      </c>
    </row>
    <row r="51" spans="1:20" x14ac:dyDescent="0.2">
      <c r="A51">
        <v>49</v>
      </c>
      <c r="B51">
        <v>1</v>
      </c>
      <c r="C51" t="s">
        <v>292</v>
      </c>
      <c r="D51" t="s">
        <v>293</v>
      </c>
      <c r="E51" t="s">
        <v>291</v>
      </c>
      <c r="F51" t="s">
        <v>294</v>
      </c>
      <c r="G51" t="s">
        <v>295</v>
      </c>
      <c r="H51" t="s">
        <v>80</v>
      </c>
      <c r="I51" t="s">
        <v>296</v>
      </c>
      <c r="J51" t="s">
        <v>34</v>
      </c>
      <c r="K51" t="s">
        <v>230</v>
      </c>
      <c r="L51" s="2">
        <v>0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t="s">
        <v>28</v>
      </c>
      <c r="T51" s="4">
        <f t="shared" si="0"/>
        <v>0</v>
      </c>
    </row>
    <row r="52" spans="1:20" x14ac:dyDescent="0.2">
      <c r="A52">
        <v>50</v>
      </c>
      <c r="B52">
        <v>1</v>
      </c>
      <c r="C52" t="s">
        <v>297</v>
      </c>
      <c r="D52" t="s">
        <v>298</v>
      </c>
      <c r="E52" t="s">
        <v>291</v>
      </c>
      <c r="F52" t="s">
        <v>299</v>
      </c>
      <c r="G52" t="s">
        <v>300</v>
      </c>
      <c r="H52" t="s">
        <v>80</v>
      </c>
      <c r="I52" t="s">
        <v>296</v>
      </c>
      <c r="J52" t="s">
        <v>34</v>
      </c>
      <c r="K52" t="s">
        <v>230</v>
      </c>
      <c r="L52" s="2">
        <v>37391.056319351141</v>
      </c>
      <c r="M52" s="3">
        <v>0.86767735979777638</v>
      </c>
      <c r="N52" s="3">
        <v>0</v>
      </c>
      <c r="O52" s="3">
        <v>0</v>
      </c>
      <c r="P52" s="3">
        <v>0</v>
      </c>
      <c r="Q52" s="3">
        <v>0.13232264020222359</v>
      </c>
      <c r="R52" s="3">
        <v>0</v>
      </c>
      <c r="S52" t="s">
        <v>28</v>
      </c>
      <c r="T52" s="4">
        <f t="shared" si="0"/>
        <v>86.77</v>
      </c>
    </row>
    <row r="53" spans="1:20" x14ac:dyDescent="0.2">
      <c r="A53">
        <v>51</v>
      </c>
      <c r="B53">
        <v>1</v>
      </c>
      <c r="C53" t="s">
        <v>301</v>
      </c>
      <c r="D53" t="s">
        <v>302</v>
      </c>
      <c r="E53" t="s">
        <v>303</v>
      </c>
      <c r="F53" t="s">
        <v>304</v>
      </c>
      <c r="G53" t="s">
        <v>305</v>
      </c>
      <c r="H53" t="s">
        <v>25</v>
      </c>
      <c r="I53" t="s">
        <v>25</v>
      </c>
      <c r="J53" t="s">
        <v>34</v>
      </c>
      <c r="K53" t="s">
        <v>35</v>
      </c>
      <c r="L53" s="2">
        <v>37391.056319351141</v>
      </c>
      <c r="M53" s="3">
        <v>0</v>
      </c>
      <c r="N53" s="3">
        <v>0</v>
      </c>
      <c r="O53" s="3">
        <v>0.17386693223336031</v>
      </c>
      <c r="P53" s="3">
        <v>3.4942398975093672E-2</v>
      </c>
      <c r="Q53" s="3">
        <v>0.79119066879154598</v>
      </c>
      <c r="R53" s="3">
        <v>0.20880933120845399</v>
      </c>
      <c r="S53" t="s">
        <v>69</v>
      </c>
      <c r="T53" s="4">
        <f t="shared" si="0"/>
        <v>45.26</v>
      </c>
    </row>
    <row r="54" spans="1:20" x14ac:dyDescent="0.2">
      <c r="A54">
        <v>52</v>
      </c>
      <c r="B54">
        <v>1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 t="s">
        <v>25</v>
      </c>
      <c r="I54" t="s">
        <v>25</v>
      </c>
      <c r="J54" t="s">
        <v>92</v>
      </c>
      <c r="K54" t="s">
        <v>35</v>
      </c>
      <c r="L54" s="2">
        <v>37391.056319351141</v>
      </c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0</v>
      </c>
      <c r="S54" t="s">
        <v>28</v>
      </c>
      <c r="T54" s="4">
        <f t="shared" si="0"/>
        <v>0</v>
      </c>
    </row>
    <row r="55" spans="1:20" x14ac:dyDescent="0.2">
      <c r="A55">
        <v>53</v>
      </c>
      <c r="B55">
        <v>1</v>
      </c>
      <c r="C55" t="s">
        <v>311</v>
      </c>
      <c r="D55" t="s">
        <v>312</v>
      </c>
      <c r="E55" t="s">
        <v>308</v>
      </c>
      <c r="F55" t="s">
        <v>313</v>
      </c>
      <c r="G55" t="s">
        <v>314</v>
      </c>
      <c r="H55" t="s">
        <v>25</v>
      </c>
      <c r="I55" t="s">
        <v>25</v>
      </c>
      <c r="J55" t="s">
        <v>26</v>
      </c>
      <c r="K55" t="s">
        <v>35</v>
      </c>
      <c r="L55" s="2">
        <v>37391.056319351141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t="s">
        <v>28</v>
      </c>
      <c r="T55" s="4">
        <f t="shared" si="0"/>
        <v>0</v>
      </c>
    </row>
    <row r="56" spans="1:20" x14ac:dyDescent="0.2">
      <c r="A56">
        <v>54</v>
      </c>
      <c r="B56">
        <v>1</v>
      </c>
      <c r="C56" t="s">
        <v>315</v>
      </c>
      <c r="D56" t="s">
        <v>316</v>
      </c>
      <c r="E56" t="s">
        <v>308</v>
      </c>
      <c r="F56" t="s">
        <v>317</v>
      </c>
      <c r="G56" t="s">
        <v>318</v>
      </c>
      <c r="H56" t="s">
        <v>25</v>
      </c>
      <c r="I56" t="s">
        <v>25</v>
      </c>
      <c r="J56" t="s">
        <v>34</v>
      </c>
      <c r="K56" t="s">
        <v>35</v>
      </c>
      <c r="L56" s="2">
        <v>37391.056319351141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0</v>
      </c>
      <c r="S56" t="s">
        <v>28</v>
      </c>
      <c r="T56" s="4">
        <f t="shared" si="0"/>
        <v>0</v>
      </c>
    </row>
    <row r="57" spans="1:20" x14ac:dyDescent="0.2">
      <c r="A57">
        <v>55</v>
      </c>
      <c r="B57">
        <v>1</v>
      </c>
      <c r="C57" t="s">
        <v>319</v>
      </c>
      <c r="D57" t="s">
        <v>320</v>
      </c>
      <c r="E57" t="s">
        <v>321</v>
      </c>
      <c r="F57" t="s">
        <v>322</v>
      </c>
      <c r="G57" t="s">
        <v>323</v>
      </c>
      <c r="H57" t="s">
        <v>25</v>
      </c>
      <c r="I57" t="s">
        <v>25</v>
      </c>
      <c r="J57" t="s">
        <v>92</v>
      </c>
      <c r="K57" t="s">
        <v>35</v>
      </c>
      <c r="L57" s="2">
        <v>37391.056319351141</v>
      </c>
      <c r="M57" s="3">
        <v>0</v>
      </c>
      <c r="N57" s="3">
        <v>0</v>
      </c>
      <c r="O57" s="3">
        <v>8.2912012148449871E-2</v>
      </c>
      <c r="P57" s="3">
        <v>0</v>
      </c>
      <c r="Q57" s="3">
        <v>0.9170879878515501</v>
      </c>
      <c r="R57" s="3">
        <v>8.2912012148449871E-2</v>
      </c>
      <c r="S57" t="s">
        <v>28</v>
      </c>
      <c r="T57" s="4">
        <f t="shared" si="0"/>
        <v>16.579999999999998</v>
      </c>
    </row>
    <row r="58" spans="1:20" x14ac:dyDescent="0.2">
      <c r="A58">
        <v>56</v>
      </c>
      <c r="B58">
        <v>3</v>
      </c>
      <c r="C58" t="s">
        <v>324</v>
      </c>
      <c r="D58" t="s">
        <v>325</v>
      </c>
      <c r="E58" t="s">
        <v>321</v>
      </c>
      <c r="F58" t="s">
        <v>326</v>
      </c>
      <c r="G58" t="s">
        <v>327</v>
      </c>
      <c r="H58" t="s">
        <v>25</v>
      </c>
      <c r="I58" t="s">
        <v>25</v>
      </c>
      <c r="J58" t="s">
        <v>26</v>
      </c>
      <c r="K58" t="s">
        <v>35</v>
      </c>
      <c r="L58" s="2">
        <v>112173.1689580534</v>
      </c>
      <c r="M58" s="3">
        <v>0</v>
      </c>
      <c r="N58" s="3">
        <v>0</v>
      </c>
      <c r="O58" s="3">
        <v>9.1242094433951676E-2</v>
      </c>
      <c r="P58" s="3">
        <v>0</v>
      </c>
      <c r="Q58" s="3">
        <v>0.90875790556604819</v>
      </c>
      <c r="R58" s="3">
        <v>9.1242094433951676E-2</v>
      </c>
      <c r="S58" t="s">
        <v>28</v>
      </c>
      <c r="T58" s="4">
        <f t="shared" si="0"/>
        <v>18.25</v>
      </c>
    </row>
    <row r="59" spans="1:20" x14ac:dyDescent="0.2">
      <c r="A59">
        <v>57</v>
      </c>
      <c r="B59">
        <v>1</v>
      </c>
      <c r="C59" t="s">
        <v>328</v>
      </c>
      <c r="D59" t="s">
        <v>329</v>
      </c>
      <c r="E59" t="s">
        <v>321</v>
      </c>
      <c r="F59" t="s">
        <v>330</v>
      </c>
      <c r="H59" t="s">
        <v>25</v>
      </c>
      <c r="I59" t="s">
        <v>25</v>
      </c>
      <c r="J59" t="s">
        <v>92</v>
      </c>
      <c r="K59" t="s">
        <v>35</v>
      </c>
      <c r="L59" s="2">
        <v>37391.056319351141</v>
      </c>
      <c r="M59" s="3">
        <v>0</v>
      </c>
      <c r="N59" s="3">
        <v>0</v>
      </c>
      <c r="O59" s="3">
        <v>0.1078898000392594</v>
      </c>
      <c r="P59" s="3">
        <v>2.5380089556163811E-2</v>
      </c>
      <c r="Q59" s="3">
        <v>0.86673011040457681</v>
      </c>
      <c r="R59" s="3">
        <v>0.13326988959542321</v>
      </c>
      <c r="S59" t="s">
        <v>36</v>
      </c>
      <c r="T59" s="4">
        <f t="shared" si="0"/>
        <v>29.19</v>
      </c>
    </row>
    <row r="60" spans="1:20" x14ac:dyDescent="0.2">
      <c r="A60">
        <v>58</v>
      </c>
      <c r="B60">
        <v>1</v>
      </c>
      <c r="C60" t="s">
        <v>331</v>
      </c>
      <c r="D60" t="s">
        <v>332</v>
      </c>
      <c r="E60" t="s">
        <v>333</v>
      </c>
      <c r="F60" t="s">
        <v>334</v>
      </c>
      <c r="G60" t="s">
        <v>335</v>
      </c>
      <c r="H60" t="s">
        <v>336</v>
      </c>
      <c r="I60" t="s">
        <v>336</v>
      </c>
      <c r="J60" t="s">
        <v>34</v>
      </c>
      <c r="K60" t="s">
        <v>155</v>
      </c>
      <c r="L60" s="2">
        <v>37391.056319342293</v>
      </c>
      <c r="M60" s="3">
        <v>0.55809671423546081</v>
      </c>
      <c r="N60" s="3">
        <v>0</v>
      </c>
      <c r="O60" s="3">
        <v>1.3096294099576791E-5</v>
      </c>
      <c r="P60" s="3">
        <v>0</v>
      </c>
      <c r="Q60" s="3">
        <v>0.44189018947043962</v>
      </c>
      <c r="R60" s="3">
        <v>1.3096294099576791E-5</v>
      </c>
      <c r="S60" t="s">
        <v>28</v>
      </c>
      <c r="T60" s="4">
        <f t="shared" si="0"/>
        <v>55.81</v>
      </c>
    </row>
    <row r="61" spans="1:20" x14ac:dyDescent="0.2">
      <c r="A61">
        <v>59</v>
      </c>
      <c r="B61">
        <v>1</v>
      </c>
      <c r="C61" t="s">
        <v>337</v>
      </c>
      <c r="D61" t="s">
        <v>338</v>
      </c>
      <c r="E61" t="s">
        <v>339</v>
      </c>
      <c r="F61" t="s">
        <v>340</v>
      </c>
      <c r="G61" t="s">
        <v>341</v>
      </c>
      <c r="H61" t="s">
        <v>25</v>
      </c>
      <c r="I61" t="s">
        <v>25</v>
      </c>
      <c r="J61" t="s">
        <v>26</v>
      </c>
      <c r="K61" t="s">
        <v>35</v>
      </c>
      <c r="L61" s="2">
        <v>37391.056319351141</v>
      </c>
      <c r="M61" s="3">
        <v>0</v>
      </c>
      <c r="N61" s="3">
        <v>0</v>
      </c>
      <c r="O61" s="3">
        <v>4.0316430687414397E-2</v>
      </c>
      <c r="P61" s="3">
        <v>0</v>
      </c>
      <c r="Q61" s="3">
        <v>0.95968356931258558</v>
      </c>
      <c r="R61" s="3">
        <v>4.0316430687414397E-2</v>
      </c>
      <c r="S61" t="s">
        <v>28</v>
      </c>
      <c r="T61" s="4">
        <f t="shared" si="0"/>
        <v>8.06</v>
      </c>
    </row>
    <row r="62" spans="1:20" x14ac:dyDescent="0.2">
      <c r="A62">
        <v>60</v>
      </c>
      <c r="B62">
        <v>2</v>
      </c>
      <c r="C62" t="s">
        <v>342</v>
      </c>
      <c r="D62" t="s">
        <v>343</v>
      </c>
      <c r="E62" t="s">
        <v>339</v>
      </c>
      <c r="F62" t="s">
        <v>344</v>
      </c>
      <c r="G62" t="s">
        <v>345</v>
      </c>
      <c r="H62" t="s">
        <v>25</v>
      </c>
      <c r="I62" t="s">
        <v>25</v>
      </c>
      <c r="J62" t="s">
        <v>92</v>
      </c>
      <c r="K62" t="s">
        <v>35</v>
      </c>
      <c r="L62" s="2">
        <v>74782.112638702281</v>
      </c>
      <c r="M62" s="3">
        <v>0.88108398674445831</v>
      </c>
      <c r="N62" s="3">
        <v>0</v>
      </c>
      <c r="O62" s="3">
        <v>8.7610075466564519E-2</v>
      </c>
      <c r="P62" s="3">
        <v>0</v>
      </c>
      <c r="Q62" s="3">
        <v>3.1305937788977167E-2</v>
      </c>
      <c r="R62" s="3">
        <v>8.7610075466564519E-2</v>
      </c>
      <c r="S62" t="s">
        <v>28</v>
      </c>
      <c r="T62" s="4">
        <f t="shared" si="0"/>
        <v>105.63</v>
      </c>
    </row>
    <row r="63" spans="1:20" x14ac:dyDescent="0.2">
      <c r="A63">
        <v>61</v>
      </c>
      <c r="B63">
        <v>1</v>
      </c>
      <c r="C63" t="s">
        <v>346</v>
      </c>
      <c r="D63" t="s">
        <v>347</v>
      </c>
      <c r="E63" t="s">
        <v>339</v>
      </c>
      <c r="F63" t="s">
        <v>348</v>
      </c>
      <c r="G63" t="s">
        <v>327</v>
      </c>
      <c r="H63" t="s">
        <v>25</v>
      </c>
      <c r="I63" t="s">
        <v>25</v>
      </c>
      <c r="J63" t="s">
        <v>26</v>
      </c>
      <c r="K63" t="s">
        <v>35</v>
      </c>
      <c r="L63" s="2">
        <v>37391.056319351141</v>
      </c>
      <c r="M63" s="3">
        <v>0.92219082364008753</v>
      </c>
      <c r="N63" s="3">
        <v>0</v>
      </c>
      <c r="O63" s="3">
        <v>5.7265742375192323E-2</v>
      </c>
      <c r="P63" s="3">
        <v>0</v>
      </c>
      <c r="Q63" s="3">
        <v>2.0543433984720139E-2</v>
      </c>
      <c r="R63" s="3">
        <v>5.7265742375192323E-2</v>
      </c>
      <c r="S63" t="s">
        <v>28</v>
      </c>
      <c r="T63" s="4">
        <f t="shared" si="0"/>
        <v>103.67</v>
      </c>
    </row>
    <row r="64" spans="1:20" x14ac:dyDescent="0.2">
      <c r="A64">
        <v>62</v>
      </c>
      <c r="B64">
        <v>3</v>
      </c>
      <c r="C64" t="s">
        <v>349</v>
      </c>
      <c r="D64" t="s">
        <v>350</v>
      </c>
      <c r="E64" t="s">
        <v>351</v>
      </c>
      <c r="F64" t="s">
        <v>352</v>
      </c>
      <c r="G64" t="s">
        <v>327</v>
      </c>
      <c r="H64" t="s">
        <v>25</v>
      </c>
      <c r="I64" t="s">
        <v>25</v>
      </c>
      <c r="J64" t="s">
        <v>26</v>
      </c>
      <c r="K64" t="s">
        <v>35</v>
      </c>
      <c r="L64" s="2">
        <v>112173.1689580534</v>
      </c>
      <c r="M64" s="3">
        <v>0</v>
      </c>
      <c r="N64" s="3">
        <v>0</v>
      </c>
      <c r="O64" s="3">
        <v>3.5630636866506381E-2</v>
      </c>
      <c r="P64" s="3">
        <v>0</v>
      </c>
      <c r="Q64" s="3">
        <v>0.96436936313349342</v>
      </c>
      <c r="R64" s="3">
        <v>3.5630636866506381E-2</v>
      </c>
      <c r="S64" t="s">
        <v>28</v>
      </c>
      <c r="T64" s="4">
        <f t="shared" si="0"/>
        <v>7.13</v>
      </c>
    </row>
    <row r="65" spans="1:20" x14ac:dyDescent="0.2">
      <c r="A65">
        <v>63</v>
      </c>
      <c r="B65">
        <v>1</v>
      </c>
      <c r="C65" t="s">
        <v>353</v>
      </c>
      <c r="D65" t="s">
        <v>354</v>
      </c>
      <c r="E65" t="s">
        <v>355</v>
      </c>
      <c r="F65" t="s">
        <v>356</v>
      </c>
      <c r="G65" t="s">
        <v>357</v>
      </c>
      <c r="H65" t="s">
        <v>67</v>
      </c>
      <c r="I65" t="s">
        <v>67</v>
      </c>
      <c r="J65" t="s">
        <v>34</v>
      </c>
      <c r="K65" t="s">
        <v>149</v>
      </c>
      <c r="L65" s="2">
        <v>37391.056319351141</v>
      </c>
      <c r="M65" s="3">
        <v>0</v>
      </c>
      <c r="N65" s="3">
        <v>0</v>
      </c>
      <c r="O65" s="3">
        <v>0</v>
      </c>
      <c r="P65" s="3">
        <v>0</v>
      </c>
      <c r="Q65" s="3">
        <v>1</v>
      </c>
      <c r="R65" s="3">
        <v>0</v>
      </c>
      <c r="S65" t="s">
        <v>28</v>
      </c>
      <c r="T65" s="4">
        <f t="shared" si="0"/>
        <v>0</v>
      </c>
    </row>
    <row r="66" spans="1:20" x14ac:dyDescent="0.2">
      <c r="A66">
        <v>64</v>
      </c>
      <c r="B66">
        <v>1</v>
      </c>
      <c r="C66" t="s">
        <v>358</v>
      </c>
      <c r="D66" t="s">
        <v>359</v>
      </c>
      <c r="E66" t="s">
        <v>360</v>
      </c>
      <c r="F66" t="s">
        <v>361</v>
      </c>
      <c r="G66" t="s">
        <v>362</v>
      </c>
      <c r="H66" t="s">
        <v>25</v>
      </c>
      <c r="I66" t="s">
        <v>25</v>
      </c>
      <c r="J66" t="s">
        <v>34</v>
      </c>
      <c r="K66" t="s">
        <v>363</v>
      </c>
      <c r="L66" s="2">
        <v>37391.056319342293</v>
      </c>
      <c r="M66" s="3">
        <v>0.6263278177062318</v>
      </c>
      <c r="N66" s="3">
        <v>0</v>
      </c>
      <c r="O66" s="3">
        <v>0.25656160143608758</v>
      </c>
      <c r="P66" s="3">
        <v>0</v>
      </c>
      <c r="Q66" s="3">
        <v>0.1171105808576806</v>
      </c>
      <c r="R66" s="3">
        <v>0.25656160143608758</v>
      </c>
      <c r="S66" t="s">
        <v>69</v>
      </c>
      <c r="T66" s="4">
        <f t="shared" ref="T66:T129" si="1">ROUND((M66*100*1)+(O66*100*2)+(P66*100*3),2)</f>
        <v>113.95</v>
      </c>
    </row>
    <row r="67" spans="1:20" x14ac:dyDescent="0.2">
      <c r="A67">
        <v>65</v>
      </c>
      <c r="B67">
        <v>1</v>
      </c>
      <c r="C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67</v>
      </c>
      <c r="I67" t="s">
        <v>67</v>
      </c>
      <c r="J67" t="s">
        <v>26</v>
      </c>
      <c r="K67" t="s">
        <v>56</v>
      </c>
      <c r="L67" s="2">
        <v>37391.056319351141</v>
      </c>
      <c r="M67" s="3">
        <v>0.62919822338479592</v>
      </c>
      <c r="N67" s="3">
        <v>0</v>
      </c>
      <c r="O67" s="3">
        <v>0.1305893087120622</v>
      </c>
      <c r="P67" s="3">
        <v>0</v>
      </c>
      <c r="Q67" s="3">
        <v>0.24021246790314191</v>
      </c>
      <c r="R67" s="3">
        <v>0.1305893087120622</v>
      </c>
      <c r="S67" t="s">
        <v>36</v>
      </c>
      <c r="T67" s="4">
        <f t="shared" si="1"/>
        <v>89.04</v>
      </c>
    </row>
    <row r="68" spans="1:20" x14ac:dyDescent="0.2">
      <c r="A68">
        <v>66</v>
      </c>
      <c r="B68">
        <v>1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25</v>
      </c>
      <c r="I68" t="s">
        <v>25</v>
      </c>
      <c r="J68" t="s">
        <v>34</v>
      </c>
      <c r="K68" t="s">
        <v>56</v>
      </c>
      <c r="L68" s="2">
        <v>37391.056319342293</v>
      </c>
      <c r="M68" s="3">
        <v>0</v>
      </c>
      <c r="N68" s="3">
        <v>0</v>
      </c>
      <c r="O68" s="3">
        <v>2.1826985284662401E-2</v>
      </c>
      <c r="P68" s="3">
        <v>0</v>
      </c>
      <c r="Q68" s="3">
        <v>0.97817301471533757</v>
      </c>
      <c r="R68" s="3">
        <v>2.1826985284662401E-2</v>
      </c>
      <c r="S68" t="s">
        <v>28</v>
      </c>
      <c r="T68" s="4">
        <f t="shared" si="1"/>
        <v>4.37</v>
      </c>
    </row>
    <row r="69" spans="1:20" x14ac:dyDescent="0.2">
      <c r="A69">
        <v>67</v>
      </c>
      <c r="B69">
        <v>1</v>
      </c>
      <c r="C69" t="s">
        <v>374</v>
      </c>
      <c r="D69" t="s">
        <v>375</v>
      </c>
      <c r="E69" t="s">
        <v>366</v>
      </c>
      <c r="F69" t="s">
        <v>122</v>
      </c>
      <c r="G69" t="s">
        <v>123</v>
      </c>
      <c r="H69" t="s">
        <v>25</v>
      </c>
      <c r="I69" t="s">
        <v>25</v>
      </c>
      <c r="J69" t="s">
        <v>34</v>
      </c>
      <c r="K69" t="s">
        <v>187</v>
      </c>
      <c r="L69" s="2">
        <v>37391.056319351141</v>
      </c>
      <c r="M69" s="3">
        <v>0.4585471061740653</v>
      </c>
      <c r="N69" s="3">
        <v>0</v>
      </c>
      <c r="O69" s="3">
        <v>0.1087506082633502</v>
      </c>
      <c r="P69" s="3">
        <v>0</v>
      </c>
      <c r="Q69" s="3">
        <v>0.4327022855625845</v>
      </c>
      <c r="R69" s="3">
        <v>0.1087506082633502</v>
      </c>
      <c r="S69" t="s">
        <v>36</v>
      </c>
      <c r="T69" s="4">
        <f t="shared" si="1"/>
        <v>67.599999999999994</v>
      </c>
    </row>
    <row r="70" spans="1:20" x14ac:dyDescent="0.2">
      <c r="A70">
        <v>68</v>
      </c>
      <c r="B70">
        <v>1</v>
      </c>
      <c r="C70" t="s">
        <v>376</v>
      </c>
      <c r="D70" t="s">
        <v>377</v>
      </c>
      <c r="E70" t="s">
        <v>378</v>
      </c>
      <c r="F70" t="s">
        <v>379</v>
      </c>
      <c r="G70" t="s">
        <v>380</v>
      </c>
      <c r="H70" t="s">
        <v>25</v>
      </c>
      <c r="I70" t="s">
        <v>25</v>
      </c>
      <c r="J70" t="s">
        <v>34</v>
      </c>
      <c r="K70" t="s">
        <v>187</v>
      </c>
      <c r="L70" s="2">
        <v>37391.056319342293</v>
      </c>
      <c r="M70" s="3">
        <v>0.32621794275162469</v>
      </c>
      <c r="N70" s="3">
        <v>0</v>
      </c>
      <c r="O70" s="3">
        <v>0.1811864517861628</v>
      </c>
      <c r="P70" s="3">
        <v>0</v>
      </c>
      <c r="Q70" s="3">
        <v>0.49259560546221248</v>
      </c>
      <c r="R70" s="3">
        <v>0.1811864517861628</v>
      </c>
      <c r="S70" t="s">
        <v>36</v>
      </c>
      <c r="T70" s="4">
        <f t="shared" si="1"/>
        <v>68.86</v>
      </c>
    </row>
    <row r="71" spans="1:20" x14ac:dyDescent="0.2">
      <c r="A71">
        <v>69</v>
      </c>
      <c r="B71">
        <v>1</v>
      </c>
      <c r="C71" t="s">
        <v>381</v>
      </c>
      <c r="D71" t="s">
        <v>382</v>
      </c>
      <c r="E71" t="s">
        <v>383</v>
      </c>
      <c r="F71" t="s">
        <v>384</v>
      </c>
      <c r="G71" t="s">
        <v>385</v>
      </c>
      <c r="H71" t="s">
        <v>25</v>
      </c>
      <c r="I71" t="s">
        <v>25</v>
      </c>
      <c r="J71" t="s">
        <v>26</v>
      </c>
      <c r="K71" t="s">
        <v>27</v>
      </c>
      <c r="L71" s="2">
        <v>37391.056319342293</v>
      </c>
      <c r="M71" s="3">
        <v>3.7500405187586551E-2</v>
      </c>
      <c r="N71" s="3">
        <v>0</v>
      </c>
      <c r="O71" s="3">
        <v>0.17127929148852461</v>
      </c>
      <c r="P71" s="3">
        <v>0</v>
      </c>
      <c r="Q71" s="3">
        <v>0.79122030332388882</v>
      </c>
      <c r="R71" s="3">
        <v>0.17127929148852461</v>
      </c>
      <c r="S71" t="s">
        <v>36</v>
      </c>
      <c r="T71" s="4">
        <f t="shared" si="1"/>
        <v>38.01</v>
      </c>
    </row>
    <row r="72" spans="1:20" x14ac:dyDescent="0.2">
      <c r="A72">
        <v>70</v>
      </c>
      <c r="B72">
        <v>1</v>
      </c>
      <c r="C72" t="s">
        <v>386</v>
      </c>
      <c r="D72" t="s">
        <v>387</v>
      </c>
      <c r="E72" t="s">
        <v>360</v>
      </c>
      <c r="F72" t="s">
        <v>388</v>
      </c>
      <c r="G72" t="s">
        <v>389</v>
      </c>
      <c r="H72" t="s">
        <v>25</v>
      </c>
      <c r="I72" t="s">
        <v>25</v>
      </c>
      <c r="J72" t="s">
        <v>26</v>
      </c>
      <c r="K72" t="s">
        <v>27</v>
      </c>
      <c r="L72" s="2">
        <v>37391.056319342293</v>
      </c>
      <c r="M72" s="3">
        <v>0.7348947258538564</v>
      </c>
      <c r="N72" s="3">
        <v>0</v>
      </c>
      <c r="O72" s="3">
        <v>8.740715608513884E-2</v>
      </c>
      <c r="P72" s="3">
        <v>0</v>
      </c>
      <c r="Q72" s="3">
        <v>0.1776981180610048</v>
      </c>
      <c r="R72" s="3">
        <v>8.740715608513884E-2</v>
      </c>
      <c r="S72" t="s">
        <v>28</v>
      </c>
      <c r="T72" s="4">
        <f t="shared" si="1"/>
        <v>90.97</v>
      </c>
    </row>
    <row r="73" spans="1:20" x14ac:dyDescent="0.2">
      <c r="A73">
        <v>71</v>
      </c>
      <c r="B73">
        <v>1</v>
      </c>
      <c r="C73" t="s">
        <v>390</v>
      </c>
      <c r="D73" t="s">
        <v>391</v>
      </c>
      <c r="E73" t="s">
        <v>392</v>
      </c>
      <c r="F73" t="s">
        <v>393</v>
      </c>
      <c r="G73" t="s">
        <v>394</v>
      </c>
      <c r="H73" t="s">
        <v>25</v>
      </c>
      <c r="I73" t="s">
        <v>25</v>
      </c>
      <c r="J73" t="s">
        <v>34</v>
      </c>
      <c r="K73" t="s">
        <v>130</v>
      </c>
      <c r="L73" s="2">
        <v>37391.056319342293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t="s">
        <v>28</v>
      </c>
      <c r="T73" s="4">
        <f t="shared" si="1"/>
        <v>0</v>
      </c>
    </row>
    <row r="74" spans="1:20" x14ac:dyDescent="0.2">
      <c r="A74">
        <v>72</v>
      </c>
      <c r="B74">
        <v>1</v>
      </c>
      <c r="C74" t="s">
        <v>395</v>
      </c>
      <c r="D74" t="s">
        <v>396</v>
      </c>
      <c r="E74" t="s">
        <v>392</v>
      </c>
      <c r="F74" t="s">
        <v>397</v>
      </c>
      <c r="G74" t="s">
        <v>398</v>
      </c>
      <c r="H74" t="s">
        <v>25</v>
      </c>
      <c r="I74" t="s">
        <v>25</v>
      </c>
      <c r="J74" t="s">
        <v>92</v>
      </c>
      <c r="K74" t="s">
        <v>130</v>
      </c>
      <c r="L74" s="2">
        <v>37391.056319342293</v>
      </c>
      <c r="M74" s="3">
        <v>0</v>
      </c>
      <c r="N74" s="3">
        <v>0</v>
      </c>
      <c r="O74" s="3">
        <v>2.309332575601987E-2</v>
      </c>
      <c r="P74" s="3">
        <v>0</v>
      </c>
      <c r="Q74" s="3">
        <v>0.97690667424398026</v>
      </c>
      <c r="R74" s="3">
        <v>2.309332575601987E-2</v>
      </c>
      <c r="S74" t="s">
        <v>28</v>
      </c>
      <c r="T74" s="4">
        <f t="shared" si="1"/>
        <v>4.62</v>
      </c>
    </row>
    <row r="75" spans="1:20" x14ac:dyDescent="0.2">
      <c r="A75">
        <v>73</v>
      </c>
      <c r="B75">
        <v>2</v>
      </c>
      <c r="C75" t="s">
        <v>399</v>
      </c>
      <c r="D75" t="s">
        <v>400</v>
      </c>
      <c r="E75" t="s">
        <v>401</v>
      </c>
      <c r="F75" t="s">
        <v>402</v>
      </c>
      <c r="G75" t="s">
        <v>403</v>
      </c>
      <c r="H75" t="s">
        <v>25</v>
      </c>
      <c r="I75" t="s">
        <v>25</v>
      </c>
      <c r="J75" t="s">
        <v>26</v>
      </c>
      <c r="K75" t="s">
        <v>93</v>
      </c>
      <c r="L75" s="2">
        <v>74782.112638684586</v>
      </c>
      <c r="M75" s="3">
        <v>0</v>
      </c>
      <c r="N75" s="3">
        <v>0</v>
      </c>
      <c r="O75" s="3">
        <v>0.1529017741885097</v>
      </c>
      <c r="P75" s="3">
        <v>0</v>
      </c>
      <c r="Q75" s="3">
        <v>0.8470982258114903</v>
      </c>
      <c r="R75" s="3">
        <v>0.1529017741885097</v>
      </c>
      <c r="S75" t="s">
        <v>36</v>
      </c>
      <c r="T75" s="4">
        <f t="shared" si="1"/>
        <v>30.58</v>
      </c>
    </row>
    <row r="76" spans="1:20" x14ac:dyDescent="0.2">
      <c r="A76">
        <v>74</v>
      </c>
      <c r="B76">
        <v>1</v>
      </c>
      <c r="C76" t="s">
        <v>404</v>
      </c>
      <c r="D76" t="s">
        <v>405</v>
      </c>
      <c r="E76" t="s">
        <v>401</v>
      </c>
      <c r="F76" t="s">
        <v>406</v>
      </c>
      <c r="G76" t="s">
        <v>407</v>
      </c>
      <c r="H76" t="s">
        <v>25</v>
      </c>
      <c r="I76" t="s">
        <v>25</v>
      </c>
      <c r="J76" t="s">
        <v>34</v>
      </c>
      <c r="K76" t="s">
        <v>86</v>
      </c>
      <c r="L76" s="2">
        <v>37391.056319342293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t="s">
        <v>28</v>
      </c>
      <c r="T76" s="4">
        <f t="shared" si="1"/>
        <v>0</v>
      </c>
    </row>
    <row r="77" spans="1:20" x14ac:dyDescent="0.2">
      <c r="A77">
        <v>75</v>
      </c>
      <c r="B77">
        <v>1</v>
      </c>
      <c r="C77" t="s">
        <v>408</v>
      </c>
      <c r="D77" t="s">
        <v>409</v>
      </c>
      <c r="E77" t="s">
        <v>401</v>
      </c>
      <c r="F77" t="s">
        <v>410</v>
      </c>
      <c r="G77" t="s">
        <v>411</v>
      </c>
      <c r="H77" t="s">
        <v>25</v>
      </c>
      <c r="I77" t="s">
        <v>25</v>
      </c>
      <c r="J77" t="s">
        <v>34</v>
      </c>
      <c r="K77" t="s">
        <v>86</v>
      </c>
      <c r="L77" s="2">
        <v>37391.056319342293</v>
      </c>
      <c r="M77" s="3">
        <v>0</v>
      </c>
      <c r="N77" s="3">
        <v>0</v>
      </c>
      <c r="O77" s="3">
        <v>0.1120350284263107</v>
      </c>
      <c r="P77" s="3">
        <v>0</v>
      </c>
      <c r="Q77" s="3">
        <v>0.88796497157368925</v>
      </c>
      <c r="R77" s="3">
        <v>0.1120350284263107</v>
      </c>
      <c r="S77" t="s">
        <v>36</v>
      </c>
      <c r="T77" s="4">
        <f t="shared" si="1"/>
        <v>22.41</v>
      </c>
    </row>
    <row r="78" spans="1:20" x14ac:dyDescent="0.2">
      <c r="A78">
        <v>76</v>
      </c>
      <c r="B78">
        <v>1</v>
      </c>
      <c r="C78" t="s">
        <v>412</v>
      </c>
      <c r="D78" t="s">
        <v>413</v>
      </c>
      <c r="E78" t="s">
        <v>401</v>
      </c>
      <c r="F78" t="s">
        <v>414</v>
      </c>
      <c r="G78" t="s">
        <v>415</v>
      </c>
      <c r="H78" t="s">
        <v>25</v>
      </c>
      <c r="I78" t="s">
        <v>25</v>
      </c>
      <c r="J78" t="s">
        <v>92</v>
      </c>
      <c r="K78" t="s">
        <v>86</v>
      </c>
      <c r="L78" s="2">
        <v>37391.056319342293</v>
      </c>
      <c r="M78" s="3">
        <v>0</v>
      </c>
      <c r="N78" s="3">
        <v>0</v>
      </c>
      <c r="O78" s="3">
        <v>1.8779047044534989E-3</v>
      </c>
      <c r="P78" s="3">
        <v>0.1061637693856185</v>
      </c>
      <c r="Q78" s="3">
        <v>0.89195832590992807</v>
      </c>
      <c r="R78" s="3">
        <v>0.108041674090072</v>
      </c>
      <c r="S78" t="s">
        <v>36</v>
      </c>
      <c r="T78" s="4">
        <f t="shared" si="1"/>
        <v>32.22</v>
      </c>
    </row>
    <row r="79" spans="1:20" x14ac:dyDescent="0.2">
      <c r="A79">
        <v>77</v>
      </c>
      <c r="B79">
        <v>1</v>
      </c>
      <c r="C79" t="s">
        <v>416</v>
      </c>
      <c r="D79" t="s">
        <v>417</v>
      </c>
      <c r="E79" t="s">
        <v>418</v>
      </c>
      <c r="F79" t="s">
        <v>171</v>
      </c>
      <c r="G79" t="s">
        <v>419</v>
      </c>
      <c r="H79" t="s">
        <v>25</v>
      </c>
      <c r="I79" t="s">
        <v>25</v>
      </c>
      <c r="J79" t="s">
        <v>92</v>
      </c>
      <c r="K79" t="s">
        <v>86</v>
      </c>
      <c r="L79" s="2">
        <v>37391.056319342293</v>
      </c>
      <c r="M79" s="3">
        <v>0</v>
      </c>
      <c r="N79" s="3">
        <v>0</v>
      </c>
      <c r="O79" s="3">
        <v>0.18586067402917961</v>
      </c>
      <c r="P79" s="3">
        <v>0</v>
      </c>
      <c r="Q79" s="3">
        <v>0.81413932597082039</v>
      </c>
      <c r="R79" s="3">
        <v>0.18586067402917961</v>
      </c>
      <c r="S79" t="s">
        <v>36</v>
      </c>
      <c r="T79" s="4">
        <f t="shared" si="1"/>
        <v>37.17</v>
      </c>
    </row>
    <row r="80" spans="1:20" x14ac:dyDescent="0.2">
      <c r="A80">
        <v>78</v>
      </c>
      <c r="B80">
        <v>1</v>
      </c>
      <c r="C80" t="s">
        <v>420</v>
      </c>
      <c r="D80" t="s">
        <v>421</v>
      </c>
      <c r="E80" t="s">
        <v>422</v>
      </c>
      <c r="F80" t="s">
        <v>423</v>
      </c>
      <c r="G80" t="s">
        <v>424</v>
      </c>
      <c r="H80" t="s">
        <v>25</v>
      </c>
      <c r="I80" t="s">
        <v>25</v>
      </c>
      <c r="J80" t="s">
        <v>34</v>
      </c>
      <c r="K80" t="s">
        <v>86</v>
      </c>
      <c r="L80" s="2">
        <v>37391.056319342293</v>
      </c>
      <c r="M80" s="3">
        <v>0.65807090216852504</v>
      </c>
      <c r="N80" s="3">
        <v>0</v>
      </c>
      <c r="O80" s="3">
        <v>8.9072880021198342E-2</v>
      </c>
      <c r="P80" s="3">
        <v>0</v>
      </c>
      <c r="Q80" s="3">
        <v>0.25285621781027667</v>
      </c>
      <c r="R80" s="3">
        <v>8.9072880021198342E-2</v>
      </c>
      <c r="S80" t="s">
        <v>28</v>
      </c>
      <c r="T80" s="4">
        <f t="shared" si="1"/>
        <v>83.62</v>
      </c>
    </row>
    <row r="81" spans="1:20" x14ac:dyDescent="0.2">
      <c r="A81">
        <v>79</v>
      </c>
      <c r="B81">
        <v>1</v>
      </c>
      <c r="C81" t="s">
        <v>425</v>
      </c>
      <c r="D81" t="s">
        <v>426</v>
      </c>
      <c r="E81" t="s">
        <v>422</v>
      </c>
      <c r="F81" t="s">
        <v>427</v>
      </c>
      <c r="G81" t="s">
        <v>428</v>
      </c>
      <c r="H81" t="s">
        <v>25</v>
      </c>
      <c r="I81" t="s">
        <v>25</v>
      </c>
      <c r="J81" t="s">
        <v>92</v>
      </c>
      <c r="K81" t="s">
        <v>86</v>
      </c>
      <c r="L81" s="2">
        <v>37391.056319342293</v>
      </c>
      <c r="M81" s="3">
        <v>0.58422544368042229</v>
      </c>
      <c r="N81" s="3">
        <v>0</v>
      </c>
      <c r="O81" s="3">
        <v>0.23407464956112431</v>
      </c>
      <c r="P81" s="3">
        <v>0</v>
      </c>
      <c r="Q81" s="3">
        <v>0.18169990675845349</v>
      </c>
      <c r="R81" s="3">
        <v>0.23407464956112431</v>
      </c>
      <c r="S81" t="s">
        <v>69</v>
      </c>
      <c r="T81" s="4">
        <f t="shared" si="1"/>
        <v>105.24</v>
      </c>
    </row>
    <row r="82" spans="1:20" x14ac:dyDescent="0.2">
      <c r="A82">
        <v>80</v>
      </c>
      <c r="B82">
        <v>1</v>
      </c>
      <c r="C82" t="s">
        <v>429</v>
      </c>
      <c r="D82" t="s">
        <v>430</v>
      </c>
      <c r="E82" t="s">
        <v>431</v>
      </c>
      <c r="F82" t="s">
        <v>432</v>
      </c>
      <c r="G82" t="s">
        <v>433</v>
      </c>
      <c r="H82" t="s">
        <v>25</v>
      </c>
      <c r="I82" t="s">
        <v>25</v>
      </c>
      <c r="J82" t="s">
        <v>34</v>
      </c>
      <c r="K82" t="s">
        <v>86</v>
      </c>
      <c r="L82" s="2">
        <v>37391.056319342293</v>
      </c>
      <c r="M82" s="3">
        <v>0</v>
      </c>
      <c r="N82" s="3">
        <v>0</v>
      </c>
      <c r="O82" s="3">
        <v>0.22584658742324501</v>
      </c>
      <c r="P82" s="3">
        <v>0</v>
      </c>
      <c r="Q82" s="3">
        <v>0.77415341257675507</v>
      </c>
      <c r="R82" s="3">
        <v>0.22584658742324501</v>
      </c>
      <c r="S82" t="s">
        <v>69</v>
      </c>
      <c r="T82" s="4">
        <f t="shared" si="1"/>
        <v>45.17</v>
      </c>
    </row>
    <row r="83" spans="1:20" x14ac:dyDescent="0.2">
      <c r="A83">
        <v>81</v>
      </c>
      <c r="B83">
        <v>1</v>
      </c>
      <c r="C83" t="s">
        <v>434</v>
      </c>
      <c r="D83" t="s">
        <v>435</v>
      </c>
      <c r="E83" t="s">
        <v>436</v>
      </c>
      <c r="F83" t="s">
        <v>437</v>
      </c>
      <c r="G83" t="s">
        <v>438</v>
      </c>
      <c r="H83" t="s">
        <v>25</v>
      </c>
      <c r="I83" t="s">
        <v>25</v>
      </c>
      <c r="J83" t="s">
        <v>92</v>
      </c>
      <c r="K83" t="s">
        <v>86</v>
      </c>
      <c r="L83" s="2">
        <v>37391.056319342293</v>
      </c>
      <c r="M83" s="3">
        <v>0</v>
      </c>
      <c r="N83" s="3">
        <v>0</v>
      </c>
      <c r="O83" s="3">
        <v>0.24968592924396951</v>
      </c>
      <c r="P83" s="3">
        <v>0</v>
      </c>
      <c r="Q83" s="3">
        <v>0.75031407075603052</v>
      </c>
      <c r="R83" s="3">
        <v>0.24968592924396951</v>
      </c>
      <c r="S83" t="s">
        <v>69</v>
      </c>
      <c r="T83" s="4">
        <f t="shared" si="1"/>
        <v>49.94</v>
      </c>
    </row>
    <row r="84" spans="1:20" x14ac:dyDescent="0.2">
      <c r="A84">
        <v>82</v>
      </c>
      <c r="B84">
        <v>1</v>
      </c>
      <c r="C84" t="s">
        <v>439</v>
      </c>
      <c r="D84" t="s">
        <v>440</v>
      </c>
      <c r="E84" t="s">
        <v>441</v>
      </c>
      <c r="F84" t="s">
        <v>442</v>
      </c>
      <c r="G84" t="s">
        <v>443</v>
      </c>
      <c r="H84" t="s">
        <v>25</v>
      </c>
      <c r="I84" t="s">
        <v>25</v>
      </c>
      <c r="J84" t="s">
        <v>92</v>
      </c>
      <c r="K84" t="s">
        <v>86</v>
      </c>
      <c r="L84" s="2">
        <v>37391.056319342293</v>
      </c>
      <c r="M84" s="3">
        <v>1.384135533058104E-2</v>
      </c>
      <c r="N84" s="3">
        <v>0</v>
      </c>
      <c r="O84" s="3">
        <v>0.2240786673959359</v>
      </c>
      <c r="P84" s="3">
        <v>1.453983799288368E-2</v>
      </c>
      <c r="Q84" s="3">
        <v>0.74754013928059937</v>
      </c>
      <c r="R84" s="3">
        <v>0.2386185053888196</v>
      </c>
      <c r="S84" t="s">
        <v>69</v>
      </c>
      <c r="T84" s="4">
        <f t="shared" si="1"/>
        <v>50.56</v>
      </c>
    </row>
    <row r="85" spans="1:20" x14ac:dyDescent="0.2">
      <c r="A85">
        <v>83</v>
      </c>
      <c r="B85">
        <v>1</v>
      </c>
      <c r="C85" t="s">
        <v>444</v>
      </c>
      <c r="D85" t="s">
        <v>445</v>
      </c>
      <c r="E85" t="s">
        <v>446</v>
      </c>
      <c r="F85" t="s">
        <v>447</v>
      </c>
      <c r="G85" t="s">
        <v>448</v>
      </c>
      <c r="H85" t="s">
        <v>25</v>
      </c>
      <c r="I85" t="s">
        <v>25</v>
      </c>
      <c r="J85" t="s">
        <v>26</v>
      </c>
      <c r="K85" t="s">
        <v>62</v>
      </c>
      <c r="L85" s="2">
        <v>37391.056319342293</v>
      </c>
      <c r="M85" s="3">
        <v>0</v>
      </c>
      <c r="N85" s="3">
        <v>0</v>
      </c>
      <c r="O85" s="3">
        <v>0</v>
      </c>
      <c r="P85" s="3">
        <v>0</v>
      </c>
      <c r="Q85" s="3">
        <v>1</v>
      </c>
      <c r="R85" s="3">
        <v>0</v>
      </c>
      <c r="S85" t="s">
        <v>28</v>
      </c>
      <c r="T85" s="4">
        <f t="shared" si="1"/>
        <v>0</v>
      </c>
    </row>
    <row r="86" spans="1:20" x14ac:dyDescent="0.2">
      <c r="A86">
        <v>84</v>
      </c>
      <c r="B86">
        <v>1</v>
      </c>
      <c r="C86" t="s">
        <v>449</v>
      </c>
      <c r="D86" t="s">
        <v>450</v>
      </c>
      <c r="E86" t="s">
        <v>451</v>
      </c>
      <c r="F86" t="s">
        <v>452</v>
      </c>
      <c r="G86" t="s">
        <v>453</v>
      </c>
      <c r="H86" t="s">
        <v>25</v>
      </c>
      <c r="I86" t="s">
        <v>25</v>
      </c>
      <c r="J86" t="s">
        <v>92</v>
      </c>
      <c r="K86" t="s">
        <v>86</v>
      </c>
      <c r="L86" s="2">
        <v>37391.056319342293</v>
      </c>
      <c r="M86" s="3">
        <v>0</v>
      </c>
      <c r="N86" s="3">
        <v>0</v>
      </c>
      <c r="O86" s="3">
        <v>8.5702474544917431E-2</v>
      </c>
      <c r="P86" s="3">
        <v>0</v>
      </c>
      <c r="Q86" s="3">
        <v>0.91429752545508258</v>
      </c>
      <c r="R86" s="3">
        <v>8.5702474544917431E-2</v>
      </c>
      <c r="S86" t="s">
        <v>28</v>
      </c>
      <c r="T86" s="4">
        <f t="shared" si="1"/>
        <v>17.14</v>
      </c>
    </row>
    <row r="87" spans="1:20" x14ac:dyDescent="0.2">
      <c r="A87">
        <v>85</v>
      </c>
      <c r="B87">
        <v>1</v>
      </c>
      <c r="C87" t="s">
        <v>454</v>
      </c>
      <c r="D87" t="s">
        <v>455</v>
      </c>
      <c r="E87" t="s">
        <v>456</v>
      </c>
      <c r="F87" t="s">
        <v>457</v>
      </c>
      <c r="G87" t="s">
        <v>458</v>
      </c>
      <c r="H87" t="s">
        <v>25</v>
      </c>
      <c r="I87" t="s">
        <v>25</v>
      </c>
      <c r="J87" t="s">
        <v>26</v>
      </c>
      <c r="K87" t="s">
        <v>161</v>
      </c>
      <c r="L87" s="2">
        <v>37391.056319342293</v>
      </c>
      <c r="M87" s="3">
        <v>0</v>
      </c>
      <c r="N87" s="3">
        <v>0</v>
      </c>
      <c r="O87" s="3">
        <v>0.1026236218983315</v>
      </c>
      <c r="P87" s="3">
        <v>0</v>
      </c>
      <c r="Q87" s="3">
        <v>0.89737637810166837</v>
      </c>
      <c r="R87" s="3">
        <v>0.1026236218983315</v>
      </c>
      <c r="S87" t="s">
        <v>36</v>
      </c>
      <c r="T87" s="4">
        <f t="shared" si="1"/>
        <v>20.52</v>
      </c>
    </row>
    <row r="88" spans="1:20" x14ac:dyDescent="0.2">
      <c r="A88">
        <v>86</v>
      </c>
      <c r="B88">
        <v>1</v>
      </c>
      <c r="C88" t="s">
        <v>459</v>
      </c>
      <c r="D88" t="s">
        <v>460</v>
      </c>
      <c r="E88" t="s">
        <v>456</v>
      </c>
      <c r="F88" t="s">
        <v>461</v>
      </c>
      <c r="G88" t="s">
        <v>462</v>
      </c>
      <c r="H88" t="s">
        <v>25</v>
      </c>
      <c r="I88" t="s">
        <v>25</v>
      </c>
      <c r="J88" t="s">
        <v>26</v>
      </c>
      <c r="K88" t="s">
        <v>230</v>
      </c>
      <c r="L88" s="2">
        <v>37391.056319342293</v>
      </c>
      <c r="M88" s="3">
        <v>0.45903335418267271</v>
      </c>
      <c r="N88" s="3">
        <v>0</v>
      </c>
      <c r="O88" s="3">
        <v>0.18385209601585351</v>
      </c>
      <c r="P88" s="3">
        <v>0.33627787484749089</v>
      </c>
      <c r="Q88" s="3">
        <v>2.0836674953982889E-2</v>
      </c>
      <c r="R88" s="3">
        <v>0.52012997086334445</v>
      </c>
      <c r="S88" t="s">
        <v>125</v>
      </c>
      <c r="T88" s="4">
        <f t="shared" si="1"/>
        <v>183.56</v>
      </c>
    </row>
    <row r="89" spans="1:20" x14ac:dyDescent="0.2">
      <c r="A89">
        <v>87</v>
      </c>
      <c r="B89">
        <v>1</v>
      </c>
      <c r="C89" t="s">
        <v>463</v>
      </c>
      <c r="D89" t="s">
        <v>464</v>
      </c>
      <c r="E89" t="s">
        <v>456</v>
      </c>
      <c r="F89" t="s">
        <v>465</v>
      </c>
      <c r="G89" t="s">
        <v>466</v>
      </c>
      <c r="H89" t="s">
        <v>25</v>
      </c>
      <c r="I89" t="s">
        <v>25</v>
      </c>
      <c r="J89" t="s">
        <v>34</v>
      </c>
      <c r="K89" t="s">
        <v>27</v>
      </c>
      <c r="L89" s="2">
        <v>37391.056319342293</v>
      </c>
      <c r="M89" s="3">
        <v>0.71546400077680672</v>
      </c>
      <c r="N89" s="3">
        <v>0</v>
      </c>
      <c r="O89" s="3">
        <v>0.27592387402981888</v>
      </c>
      <c r="P89" s="3">
        <v>8.6121251935358453E-3</v>
      </c>
      <c r="Q89" s="3">
        <v>0</v>
      </c>
      <c r="R89" s="3">
        <v>0.28453599922335471</v>
      </c>
      <c r="S89" t="s">
        <v>69</v>
      </c>
      <c r="T89" s="4">
        <f t="shared" si="1"/>
        <v>129.31</v>
      </c>
    </row>
    <row r="90" spans="1:20" x14ac:dyDescent="0.2">
      <c r="A90">
        <v>88</v>
      </c>
      <c r="B90">
        <v>1</v>
      </c>
      <c r="C90" t="s">
        <v>467</v>
      </c>
      <c r="D90" t="s">
        <v>468</v>
      </c>
      <c r="E90" t="s">
        <v>469</v>
      </c>
      <c r="F90" t="s">
        <v>470</v>
      </c>
      <c r="G90" t="s">
        <v>471</v>
      </c>
      <c r="H90" t="s">
        <v>25</v>
      </c>
      <c r="I90" t="s">
        <v>25</v>
      </c>
      <c r="J90" t="s">
        <v>92</v>
      </c>
      <c r="K90" t="s">
        <v>86</v>
      </c>
      <c r="L90" s="2">
        <v>37391.056319342293</v>
      </c>
      <c r="M90" s="3">
        <v>0</v>
      </c>
      <c r="N90" s="3">
        <v>0</v>
      </c>
      <c r="O90" s="3">
        <v>4.2279376406172443E-2</v>
      </c>
      <c r="P90" s="3">
        <v>0</v>
      </c>
      <c r="Q90" s="3">
        <v>0.9577206235938277</v>
      </c>
      <c r="R90" s="3">
        <v>4.2279376406172443E-2</v>
      </c>
      <c r="S90" t="s">
        <v>28</v>
      </c>
      <c r="T90" s="4">
        <f t="shared" si="1"/>
        <v>8.4600000000000009</v>
      </c>
    </row>
    <row r="91" spans="1:20" x14ac:dyDescent="0.2">
      <c r="A91">
        <v>89</v>
      </c>
      <c r="B91">
        <v>1</v>
      </c>
      <c r="C91" t="s">
        <v>472</v>
      </c>
      <c r="D91" t="s">
        <v>473</v>
      </c>
      <c r="E91" t="s">
        <v>474</v>
      </c>
      <c r="F91" t="s">
        <v>475</v>
      </c>
      <c r="G91" t="s">
        <v>476</v>
      </c>
      <c r="H91" t="s">
        <v>25</v>
      </c>
      <c r="I91" t="s">
        <v>25</v>
      </c>
      <c r="J91" t="s">
        <v>26</v>
      </c>
      <c r="K91" t="s">
        <v>161</v>
      </c>
      <c r="L91" s="2">
        <v>37391.056319342293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t="s">
        <v>28</v>
      </c>
      <c r="T91" s="4">
        <f t="shared" si="1"/>
        <v>0</v>
      </c>
    </row>
    <row r="92" spans="1:20" x14ac:dyDescent="0.2">
      <c r="A92">
        <v>90</v>
      </c>
      <c r="B92">
        <v>1</v>
      </c>
      <c r="C92" t="s">
        <v>477</v>
      </c>
      <c r="D92" t="s">
        <v>478</v>
      </c>
      <c r="E92" t="s">
        <v>474</v>
      </c>
      <c r="F92" t="s">
        <v>479</v>
      </c>
      <c r="G92" t="s">
        <v>480</v>
      </c>
      <c r="H92" t="s">
        <v>25</v>
      </c>
      <c r="I92" t="s">
        <v>25</v>
      </c>
      <c r="J92" t="s">
        <v>26</v>
      </c>
      <c r="K92" t="s">
        <v>161</v>
      </c>
      <c r="L92" s="2">
        <v>37391.056319342293</v>
      </c>
      <c r="M92" s="3">
        <v>0</v>
      </c>
      <c r="N92" s="3">
        <v>0</v>
      </c>
      <c r="O92" s="3">
        <v>0</v>
      </c>
      <c r="P92" s="3">
        <v>0</v>
      </c>
      <c r="Q92" s="3">
        <v>1</v>
      </c>
      <c r="R92" s="3">
        <v>0</v>
      </c>
      <c r="S92" t="s">
        <v>28</v>
      </c>
      <c r="T92" s="4">
        <f t="shared" si="1"/>
        <v>0</v>
      </c>
    </row>
    <row r="93" spans="1:20" x14ac:dyDescent="0.2">
      <c r="A93">
        <v>91</v>
      </c>
      <c r="B93">
        <v>2</v>
      </c>
      <c r="C93" t="s">
        <v>481</v>
      </c>
      <c r="D93" t="s">
        <v>482</v>
      </c>
      <c r="E93" t="s">
        <v>474</v>
      </c>
      <c r="F93" t="s">
        <v>401</v>
      </c>
      <c r="G93" t="s">
        <v>483</v>
      </c>
      <c r="H93" t="s">
        <v>25</v>
      </c>
      <c r="I93" t="s">
        <v>25</v>
      </c>
      <c r="J93" t="s">
        <v>34</v>
      </c>
      <c r="K93" t="s">
        <v>161</v>
      </c>
      <c r="L93" s="2">
        <v>74782.112638684586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0</v>
      </c>
      <c r="S93" t="s">
        <v>28</v>
      </c>
      <c r="T93" s="4">
        <f t="shared" si="1"/>
        <v>0</v>
      </c>
    </row>
    <row r="94" spans="1:20" x14ac:dyDescent="0.2">
      <c r="A94">
        <v>92</v>
      </c>
      <c r="B94">
        <v>2</v>
      </c>
      <c r="C94" t="s">
        <v>484</v>
      </c>
      <c r="D94" t="s">
        <v>485</v>
      </c>
      <c r="E94" t="s">
        <v>486</v>
      </c>
      <c r="F94" t="s">
        <v>487</v>
      </c>
      <c r="G94" t="s">
        <v>488</v>
      </c>
      <c r="H94" t="s">
        <v>25</v>
      </c>
      <c r="I94" t="s">
        <v>25</v>
      </c>
      <c r="J94" t="s">
        <v>26</v>
      </c>
      <c r="K94" t="s">
        <v>62</v>
      </c>
      <c r="L94" s="2">
        <v>74782.112638684586</v>
      </c>
      <c r="M94" s="3">
        <v>0</v>
      </c>
      <c r="N94" s="3">
        <v>0</v>
      </c>
      <c r="O94" s="3">
        <v>0</v>
      </c>
      <c r="P94" s="3">
        <v>1</v>
      </c>
      <c r="Q94" s="3">
        <v>0</v>
      </c>
      <c r="R94" s="3">
        <v>1</v>
      </c>
      <c r="S94" t="s">
        <v>44</v>
      </c>
      <c r="T94" s="4">
        <f t="shared" si="1"/>
        <v>300</v>
      </c>
    </row>
    <row r="95" spans="1:20" x14ac:dyDescent="0.2">
      <c r="A95">
        <v>93</v>
      </c>
      <c r="B95">
        <v>1</v>
      </c>
      <c r="C95" t="s">
        <v>489</v>
      </c>
      <c r="D95" t="s">
        <v>490</v>
      </c>
      <c r="E95" t="s">
        <v>486</v>
      </c>
      <c r="F95" t="s">
        <v>491</v>
      </c>
      <c r="G95" t="s">
        <v>492</v>
      </c>
      <c r="H95" t="s">
        <v>25</v>
      </c>
      <c r="I95" t="s">
        <v>25</v>
      </c>
      <c r="J95" t="s">
        <v>26</v>
      </c>
      <c r="K95" t="s">
        <v>161</v>
      </c>
      <c r="L95" s="2">
        <v>37391.056319342293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0</v>
      </c>
      <c r="S95" t="s">
        <v>28</v>
      </c>
      <c r="T95" s="4">
        <f t="shared" si="1"/>
        <v>0</v>
      </c>
    </row>
    <row r="96" spans="1:20" x14ac:dyDescent="0.2">
      <c r="A96">
        <v>94</v>
      </c>
      <c r="B96">
        <v>1</v>
      </c>
      <c r="C96" t="s">
        <v>493</v>
      </c>
      <c r="D96" t="s">
        <v>494</v>
      </c>
      <c r="E96" t="s">
        <v>486</v>
      </c>
      <c r="F96" t="s">
        <v>495</v>
      </c>
      <c r="G96" t="s">
        <v>496</v>
      </c>
      <c r="H96" t="s">
        <v>80</v>
      </c>
      <c r="I96" t="s">
        <v>80</v>
      </c>
      <c r="J96" t="s">
        <v>34</v>
      </c>
      <c r="K96" t="s">
        <v>277</v>
      </c>
      <c r="L96" s="2">
        <v>37391.056319342293</v>
      </c>
      <c r="M96" s="3">
        <v>0</v>
      </c>
      <c r="N96" s="3">
        <v>0</v>
      </c>
      <c r="O96" s="3">
        <v>0</v>
      </c>
      <c r="P96" s="3">
        <v>0</v>
      </c>
      <c r="Q96" s="3">
        <v>1</v>
      </c>
      <c r="R96" s="3">
        <v>0</v>
      </c>
      <c r="S96" t="s">
        <v>28</v>
      </c>
      <c r="T96" s="4">
        <f t="shared" si="1"/>
        <v>0</v>
      </c>
    </row>
    <row r="97" spans="1:20" x14ac:dyDescent="0.2">
      <c r="A97">
        <v>95</v>
      </c>
      <c r="B97">
        <v>3</v>
      </c>
      <c r="C97" t="s">
        <v>497</v>
      </c>
      <c r="D97" t="s">
        <v>498</v>
      </c>
      <c r="E97" t="s">
        <v>499</v>
      </c>
      <c r="F97" t="s">
        <v>500</v>
      </c>
      <c r="G97" t="s">
        <v>501</v>
      </c>
      <c r="H97" t="s">
        <v>67</v>
      </c>
      <c r="I97" t="s">
        <v>67</v>
      </c>
      <c r="J97" t="s">
        <v>26</v>
      </c>
      <c r="K97" t="s">
        <v>27</v>
      </c>
      <c r="L97" s="2">
        <v>112173.1689580269</v>
      </c>
      <c r="M97" s="3">
        <v>0.58651288422219516</v>
      </c>
      <c r="N97" s="3">
        <v>0</v>
      </c>
      <c r="O97" s="3">
        <v>0.16226765194455281</v>
      </c>
      <c r="P97" s="3">
        <v>0</v>
      </c>
      <c r="Q97" s="3">
        <v>0.25121946383325189</v>
      </c>
      <c r="R97" s="3">
        <v>0.16226765194455281</v>
      </c>
      <c r="S97" t="s">
        <v>36</v>
      </c>
      <c r="T97" s="4">
        <f t="shared" si="1"/>
        <v>91.1</v>
      </c>
    </row>
    <row r="98" spans="1:20" x14ac:dyDescent="0.2">
      <c r="A98">
        <v>96</v>
      </c>
      <c r="B98">
        <v>1</v>
      </c>
      <c r="C98" t="s">
        <v>502</v>
      </c>
      <c r="D98" t="s">
        <v>503</v>
      </c>
      <c r="E98" t="s">
        <v>504</v>
      </c>
      <c r="F98" t="s">
        <v>505</v>
      </c>
      <c r="G98" t="s">
        <v>506</v>
      </c>
      <c r="H98" t="s">
        <v>25</v>
      </c>
      <c r="I98" t="s">
        <v>25</v>
      </c>
      <c r="J98" t="s">
        <v>92</v>
      </c>
      <c r="K98" t="s">
        <v>86</v>
      </c>
      <c r="L98" s="2">
        <v>37391.056319342293</v>
      </c>
      <c r="M98" s="3">
        <v>0.80486771609774954</v>
      </c>
      <c r="N98" s="3">
        <v>0</v>
      </c>
      <c r="O98" s="3">
        <v>7.6865317434987035E-2</v>
      </c>
      <c r="P98" s="3">
        <v>7.1431348101363146E-3</v>
      </c>
      <c r="Q98" s="3">
        <v>0.1111238316571271</v>
      </c>
      <c r="R98" s="3">
        <v>8.400845224512335E-2</v>
      </c>
      <c r="S98" t="s">
        <v>28</v>
      </c>
      <c r="T98" s="4">
        <f t="shared" si="1"/>
        <v>98</v>
      </c>
    </row>
    <row r="99" spans="1:20" x14ac:dyDescent="0.2">
      <c r="A99">
        <v>97</v>
      </c>
      <c r="B99">
        <v>1</v>
      </c>
      <c r="C99" t="s">
        <v>507</v>
      </c>
      <c r="D99" t="s">
        <v>508</v>
      </c>
      <c r="E99" t="s">
        <v>504</v>
      </c>
      <c r="F99" t="s">
        <v>509</v>
      </c>
      <c r="G99" t="s">
        <v>510</v>
      </c>
      <c r="H99" t="s">
        <v>25</v>
      </c>
      <c r="I99" t="s">
        <v>25</v>
      </c>
      <c r="J99" t="s">
        <v>34</v>
      </c>
      <c r="K99" t="s">
        <v>86</v>
      </c>
      <c r="L99" s="2">
        <v>37391.056319342293</v>
      </c>
      <c r="M99" s="3">
        <v>0</v>
      </c>
      <c r="N99" s="3">
        <v>0</v>
      </c>
      <c r="O99" s="3">
        <v>0</v>
      </c>
      <c r="P99" s="3">
        <v>0</v>
      </c>
      <c r="Q99" s="3">
        <v>1</v>
      </c>
      <c r="R99" s="3">
        <v>0</v>
      </c>
      <c r="S99" t="s">
        <v>28</v>
      </c>
      <c r="T99" s="4">
        <f t="shared" si="1"/>
        <v>0</v>
      </c>
    </row>
    <row r="100" spans="1:20" x14ac:dyDescent="0.2">
      <c r="A100">
        <v>98</v>
      </c>
      <c r="B100">
        <v>1</v>
      </c>
      <c r="C100" t="s">
        <v>511</v>
      </c>
      <c r="D100" t="s">
        <v>512</v>
      </c>
      <c r="E100" t="s">
        <v>513</v>
      </c>
      <c r="F100" t="s">
        <v>514</v>
      </c>
      <c r="G100" t="s">
        <v>515</v>
      </c>
      <c r="H100" t="s">
        <v>67</v>
      </c>
      <c r="I100" t="s">
        <v>67</v>
      </c>
      <c r="J100" t="s">
        <v>34</v>
      </c>
      <c r="K100" t="s">
        <v>210</v>
      </c>
      <c r="L100" s="2">
        <v>37391.056319342293</v>
      </c>
      <c r="M100" s="3">
        <v>0</v>
      </c>
      <c r="N100" s="3">
        <v>0</v>
      </c>
      <c r="O100" s="3">
        <v>0.14181128501457921</v>
      </c>
      <c r="P100" s="3">
        <v>0</v>
      </c>
      <c r="Q100" s="3">
        <v>0.85818871498542082</v>
      </c>
      <c r="R100" s="3">
        <v>0.14181128501457921</v>
      </c>
      <c r="S100" t="s">
        <v>36</v>
      </c>
      <c r="T100" s="4">
        <f t="shared" si="1"/>
        <v>28.36</v>
      </c>
    </row>
    <row r="101" spans="1:20" x14ac:dyDescent="0.2">
      <c r="A101">
        <v>99</v>
      </c>
      <c r="B101">
        <v>1</v>
      </c>
      <c r="C101" t="s">
        <v>516</v>
      </c>
      <c r="D101" t="s">
        <v>517</v>
      </c>
      <c r="E101" t="s">
        <v>518</v>
      </c>
      <c r="F101" t="s">
        <v>519</v>
      </c>
      <c r="G101" t="s">
        <v>520</v>
      </c>
      <c r="H101" t="s">
        <v>25</v>
      </c>
      <c r="I101" t="s">
        <v>25</v>
      </c>
      <c r="J101" t="s">
        <v>34</v>
      </c>
      <c r="K101" t="s">
        <v>86</v>
      </c>
      <c r="L101" s="2">
        <v>37391.056319342293</v>
      </c>
      <c r="M101" s="3">
        <v>0</v>
      </c>
      <c r="N101" s="3">
        <v>0</v>
      </c>
      <c r="O101" s="3">
        <v>6.5991419173244428E-2</v>
      </c>
      <c r="P101" s="3">
        <v>0.2097152685045969</v>
      </c>
      <c r="Q101" s="3">
        <v>0.72429331232215866</v>
      </c>
      <c r="R101" s="3">
        <v>0.27570668767784129</v>
      </c>
      <c r="S101" t="s">
        <v>69</v>
      </c>
      <c r="T101" s="4">
        <f t="shared" si="1"/>
        <v>76.11</v>
      </c>
    </row>
    <row r="102" spans="1:20" x14ac:dyDescent="0.2">
      <c r="A102">
        <v>100</v>
      </c>
      <c r="B102">
        <v>1</v>
      </c>
      <c r="C102" t="s">
        <v>521</v>
      </c>
      <c r="D102" t="s">
        <v>522</v>
      </c>
      <c r="E102" t="s">
        <v>523</v>
      </c>
      <c r="F102" t="s">
        <v>524</v>
      </c>
      <c r="G102" t="s">
        <v>525</v>
      </c>
      <c r="H102" t="s">
        <v>25</v>
      </c>
      <c r="I102" t="s">
        <v>25</v>
      </c>
      <c r="J102" t="s">
        <v>92</v>
      </c>
      <c r="K102" t="s">
        <v>86</v>
      </c>
      <c r="L102" s="2">
        <v>37391.056319342293</v>
      </c>
      <c r="M102" s="3">
        <v>0</v>
      </c>
      <c r="N102" s="3">
        <v>0</v>
      </c>
      <c r="O102" s="3">
        <v>0.28020316575254223</v>
      </c>
      <c r="P102" s="3">
        <v>2.86592048363886E-3</v>
      </c>
      <c r="Q102" s="3">
        <v>0.7169309137638189</v>
      </c>
      <c r="R102" s="3">
        <v>0.2830690862361811</v>
      </c>
      <c r="S102" t="s">
        <v>69</v>
      </c>
      <c r="T102" s="4">
        <f t="shared" si="1"/>
        <v>56.9</v>
      </c>
    </row>
    <row r="103" spans="1:20" x14ac:dyDescent="0.2">
      <c r="A103">
        <v>101</v>
      </c>
      <c r="B103">
        <v>1</v>
      </c>
      <c r="C103" t="s">
        <v>526</v>
      </c>
      <c r="D103" t="s">
        <v>527</v>
      </c>
      <c r="E103" t="s">
        <v>523</v>
      </c>
      <c r="F103" t="s">
        <v>528</v>
      </c>
      <c r="G103" t="s">
        <v>529</v>
      </c>
      <c r="H103" t="s">
        <v>25</v>
      </c>
      <c r="I103" t="s">
        <v>25</v>
      </c>
      <c r="J103" t="s">
        <v>34</v>
      </c>
      <c r="K103" t="s">
        <v>86</v>
      </c>
      <c r="L103" s="2">
        <v>37391.056319342293</v>
      </c>
      <c r="M103" s="3">
        <v>0.94923882881497668</v>
      </c>
      <c r="N103" s="3">
        <v>0</v>
      </c>
      <c r="O103" s="3">
        <v>4.9911997724430592E-2</v>
      </c>
      <c r="P103" s="3">
        <v>0</v>
      </c>
      <c r="Q103" s="3">
        <v>8.4917346059276699E-4</v>
      </c>
      <c r="R103" s="3">
        <v>4.9911997724430592E-2</v>
      </c>
      <c r="S103" t="s">
        <v>28</v>
      </c>
      <c r="T103" s="4">
        <f t="shared" si="1"/>
        <v>104.91</v>
      </c>
    </row>
    <row r="104" spans="1:20" x14ac:dyDescent="0.2">
      <c r="A104">
        <v>102</v>
      </c>
      <c r="B104">
        <v>1</v>
      </c>
      <c r="C104" t="s">
        <v>530</v>
      </c>
      <c r="D104" t="s">
        <v>531</v>
      </c>
      <c r="E104" t="s">
        <v>532</v>
      </c>
      <c r="F104" t="s">
        <v>533</v>
      </c>
      <c r="G104" t="s">
        <v>534</v>
      </c>
      <c r="H104" t="s">
        <v>25</v>
      </c>
      <c r="I104" t="s">
        <v>25</v>
      </c>
      <c r="J104" t="s">
        <v>34</v>
      </c>
      <c r="K104" t="s">
        <v>86</v>
      </c>
      <c r="L104" s="2">
        <v>37391.056319342293</v>
      </c>
      <c r="M104" s="3">
        <v>0.28611683231948021</v>
      </c>
      <c r="N104" s="3">
        <v>0</v>
      </c>
      <c r="O104" s="3">
        <v>0</v>
      </c>
      <c r="P104" s="3">
        <v>0</v>
      </c>
      <c r="Q104" s="3">
        <v>0.71388316768051974</v>
      </c>
      <c r="R104" s="3">
        <v>0</v>
      </c>
      <c r="S104" t="s">
        <v>28</v>
      </c>
      <c r="T104" s="4">
        <f t="shared" si="1"/>
        <v>28.61</v>
      </c>
    </row>
    <row r="105" spans="1:20" x14ac:dyDescent="0.2">
      <c r="A105">
        <v>103</v>
      </c>
      <c r="B105">
        <v>1</v>
      </c>
      <c r="C105" t="s">
        <v>535</v>
      </c>
      <c r="D105" t="s">
        <v>536</v>
      </c>
      <c r="E105" t="s">
        <v>537</v>
      </c>
      <c r="F105" t="s">
        <v>538</v>
      </c>
      <c r="G105" t="s">
        <v>539</v>
      </c>
      <c r="H105" t="s">
        <v>25</v>
      </c>
      <c r="I105" t="s">
        <v>25</v>
      </c>
      <c r="J105" t="s">
        <v>92</v>
      </c>
      <c r="K105" t="s">
        <v>540</v>
      </c>
      <c r="L105" s="2">
        <v>37391.056319342293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0</v>
      </c>
      <c r="S105" t="s">
        <v>28</v>
      </c>
      <c r="T105" s="4">
        <f t="shared" si="1"/>
        <v>0</v>
      </c>
    </row>
    <row r="106" spans="1:20" x14ac:dyDescent="0.2">
      <c r="A106">
        <v>104</v>
      </c>
      <c r="B106">
        <v>1</v>
      </c>
      <c r="C106" t="s">
        <v>541</v>
      </c>
      <c r="D106" t="s">
        <v>542</v>
      </c>
      <c r="E106" t="s">
        <v>537</v>
      </c>
      <c r="F106" t="s">
        <v>543</v>
      </c>
      <c r="G106" t="s">
        <v>544</v>
      </c>
      <c r="H106" t="s">
        <v>25</v>
      </c>
      <c r="I106" t="s">
        <v>25</v>
      </c>
      <c r="J106" t="s">
        <v>92</v>
      </c>
      <c r="K106" t="s">
        <v>540</v>
      </c>
      <c r="L106" s="2">
        <v>37391.056319342293</v>
      </c>
      <c r="M106" s="3">
        <v>0</v>
      </c>
      <c r="N106" s="3">
        <v>0</v>
      </c>
      <c r="O106" s="3">
        <v>0.20371015434285181</v>
      </c>
      <c r="P106" s="3">
        <v>0</v>
      </c>
      <c r="Q106" s="3">
        <v>0.79628984565714822</v>
      </c>
      <c r="R106" s="3">
        <v>0.20371015434285181</v>
      </c>
      <c r="S106" t="s">
        <v>69</v>
      </c>
      <c r="T106" s="4">
        <f t="shared" si="1"/>
        <v>40.74</v>
      </c>
    </row>
    <row r="107" spans="1:20" x14ac:dyDescent="0.2">
      <c r="A107">
        <v>105</v>
      </c>
      <c r="B107">
        <v>1</v>
      </c>
      <c r="C107" t="s">
        <v>545</v>
      </c>
      <c r="D107" t="s">
        <v>546</v>
      </c>
      <c r="E107" t="s">
        <v>547</v>
      </c>
      <c r="F107" t="s">
        <v>186</v>
      </c>
      <c r="G107" t="s">
        <v>160</v>
      </c>
      <c r="H107" t="s">
        <v>25</v>
      </c>
      <c r="I107" t="s">
        <v>25</v>
      </c>
      <c r="J107" t="s">
        <v>92</v>
      </c>
      <c r="K107" t="s">
        <v>86</v>
      </c>
      <c r="L107" s="2">
        <v>37391.056319342293</v>
      </c>
      <c r="M107" s="3">
        <v>0.23662113082228639</v>
      </c>
      <c r="N107" s="3">
        <v>0</v>
      </c>
      <c r="O107" s="3">
        <v>0.23653832570823599</v>
      </c>
      <c r="P107" s="3">
        <v>0</v>
      </c>
      <c r="Q107" s="3">
        <v>0.52684054346947762</v>
      </c>
      <c r="R107" s="3">
        <v>0.23653832570823599</v>
      </c>
      <c r="S107" t="s">
        <v>69</v>
      </c>
      <c r="T107" s="4">
        <f t="shared" si="1"/>
        <v>70.97</v>
      </c>
    </row>
    <row r="108" spans="1:20" x14ac:dyDescent="0.2">
      <c r="A108">
        <v>106</v>
      </c>
      <c r="B108">
        <v>1</v>
      </c>
      <c r="C108" t="s">
        <v>548</v>
      </c>
      <c r="D108" t="s">
        <v>549</v>
      </c>
      <c r="E108" t="s">
        <v>547</v>
      </c>
      <c r="F108" t="s">
        <v>550</v>
      </c>
      <c r="G108" t="s">
        <v>551</v>
      </c>
      <c r="H108" t="s">
        <v>25</v>
      </c>
      <c r="I108" t="s">
        <v>25</v>
      </c>
      <c r="J108" t="s">
        <v>26</v>
      </c>
      <c r="K108" t="s">
        <v>86</v>
      </c>
      <c r="L108" s="2">
        <v>37391.056319342293</v>
      </c>
      <c r="M108" s="3">
        <v>0</v>
      </c>
      <c r="N108" s="3">
        <v>0</v>
      </c>
      <c r="O108" s="3">
        <v>0.29252019299746512</v>
      </c>
      <c r="P108" s="3">
        <v>0.70747980700266244</v>
      </c>
      <c r="Q108" s="3">
        <v>0</v>
      </c>
      <c r="R108" s="3">
        <v>1.000000000000127</v>
      </c>
      <c r="S108" t="s">
        <v>44</v>
      </c>
      <c r="T108" s="4">
        <f t="shared" si="1"/>
        <v>270.75</v>
      </c>
    </row>
    <row r="109" spans="1:20" x14ac:dyDescent="0.2">
      <c r="A109">
        <v>107</v>
      </c>
      <c r="B109">
        <v>1</v>
      </c>
      <c r="C109" t="s">
        <v>552</v>
      </c>
      <c r="D109" t="s">
        <v>553</v>
      </c>
      <c r="E109" t="s">
        <v>547</v>
      </c>
      <c r="F109" t="s">
        <v>554</v>
      </c>
      <c r="G109" t="s">
        <v>555</v>
      </c>
      <c r="H109" t="s">
        <v>25</v>
      </c>
      <c r="I109" t="s">
        <v>25</v>
      </c>
      <c r="J109" t="s">
        <v>92</v>
      </c>
      <c r="K109" t="s">
        <v>86</v>
      </c>
      <c r="L109" s="2">
        <v>37391.056319342293</v>
      </c>
      <c r="M109" s="3">
        <v>5.0997433229544257E-3</v>
      </c>
      <c r="N109" s="3">
        <v>0</v>
      </c>
      <c r="O109" s="3">
        <v>0.35643311172879238</v>
      </c>
      <c r="P109" s="3">
        <v>0.56615413998075248</v>
      </c>
      <c r="Q109" s="3">
        <v>7.2313004967500705E-2</v>
      </c>
      <c r="R109" s="3">
        <v>0.92258725170954481</v>
      </c>
      <c r="S109" t="s">
        <v>44</v>
      </c>
      <c r="T109" s="4">
        <f t="shared" si="1"/>
        <v>241.64</v>
      </c>
    </row>
    <row r="110" spans="1:20" x14ac:dyDescent="0.2">
      <c r="A110">
        <v>108</v>
      </c>
      <c r="B110">
        <v>1</v>
      </c>
      <c r="C110" t="s">
        <v>556</v>
      </c>
      <c r="D110" t="s">
        <v>557</v>
      </c>
      <c r="E110" t="s">
        <v>558</v>
      </c>
      <c r="F110" t="s">
        <v>559</v>
      </c>
      <c r="G110" t="s">
        <v>560</v>
      </c>
      <c r="H110" t="s">
        <v>25</v>
      </c>
      <c r="I110" t="s">
        <v>25</v>
      </c>
      <c r="J110" t="s">
        <v>34</v>
      </c>
      <c r="K110" t="s">
        <v>561</v>
      </c>
      <c r="L110" s="2">
        <v>37391.056319342293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t="s">
        <v>28</v>
      </c>
      <c r="T110" s="4">
        <f t="shared" si="1"/>
        <v>100</v>
      </c>
    </row>
    <row r="111" spans="1:20" x14ac:dyDescent="0.2">
      <c r="A111">
        <v>109</v>
      </c>
      <c r="B111">
        <v>1</v>
      </c>
      <c r="C111" t="s">
        <v>562</v>
      </c>
      <c r="D111" t="s">
        <v>563</v>
      </c>
      <c r="E111" t="s">
        <v>564</v>
      </c>
      <c r="F111" t="s">
        <v>565</v>
      </c>
      <c r="G111" t="s">
        <v>566</v>
      </c>
      <c r="H111" t="s">
        <v>25</v>
      </c>
      <c r="I111" t="s">
        <v>25</v>
      </c>
      <c r="J111" t="s">
        <v>92</v>
      </c>
      <c r="K111" t="s">
        <v>567</v>
      </c>
      <c r="L111" s="2">
        <v>37391.056319342293</v>
      </c>
      <c r="M111" s="3">
        <v>0</v>
      </c>
      <c r="N111" s="3">
        <v>0</v>
      </c>
      <c r="O111" s="3">
        <v>0.14127337892401531</v>
      </c>
      <c r="P111" s="3">
        <v>0</v>
      </c>
      <c r="Q111" s="3">
        <v>0.85872662107598474</v>
      </c>
      <c r="R111" s="3">
        <v>0.14127337892401531</v>
      </c>
      <c r="S111" t="s">
        <v>36</v>
      </c>
      <c r="T111" s="4">
        <f t="shared" si="1"/>
        <v>28.25</v>
      </c>
    </row>
    <row r="112" spans="1:20" x14ac:dyDescent="0.2">
      <c r="A112">
        <v>110</v>
      </c>
      <c r="B112">
        <v>2</v>
      </c>
      <c r="C112" t="s">
        <v>568</v>
      </c>
      <c r="D112" t="s">
        <v>569</v>
      </c>
      <c r="E112" t="s">
        <v>570</v>
      </c>
      <c r="F112" t="s">
        <v>571</v>
      </c>
      <c r="G112" t="s">
        <v>572</v>
      </c>
      <c r="H112" t="s">
        <v>25</v>
      </c>
      <c r="I112" t="s">
        <v>25</v>
      </c>
      <c r="J112" t="s">
        <v>26</v>
      </c>
      <c r="K112" t="s">
        <v>112</v>
      </c>
      <c r="L112" s="2">
        <v>74782.112638684586</v>
      </c>
      <c r="M112" s="3">
        <v>0.15975311804363451</v>
      </c>
      <c r="N112" s="3">
        <v>0</v>
      </c>
      <c r="O112" s="3">
        <v>0.21478930900176199</v>
      </c>
      <c r="P112" s="3">
        <v>0</v>
      </c>
      <c r="Q112" s="3">
        <v>0.62545757295460358</v>
      </c>
      <c r="R112" s="3">
        <v>0.21478930900176199</v>
      </c>
      <c r="S112" t="s">
        <v>69</v>
      </c>
      <c r="T112" s="4">
        <f t="shared" si="1"/>
        <v>58.93</v>
      </c>
    </row>
    <row r="113" spans="1:20" x14ac:dyDescent="0.2">
      <c r="A113">
        <v>111</v>
      </c>
      <c r="B113">
        <v>1</v>
      </c>
      <c r="C113" t="s">
        <v>573</v>
      </c>
      <c r="D113" t="s">
        <v>574</v>
      </c>
      <c r="E113" t="s">
        <v>351</v>
      </c>
      <c r="F113" t="s">
        <v>575</v>
      </c>
      <c r="G113" t="s">
        <v>576</v>
      </c>
      <c r="H113" t="s">
        <v>25</v>
      </c>
      <c r="I113" t="s">
        <v>25</v>
      </c>
      <c r="J113" t="s">
        <v>34</v>
      </c>
      <c r="K113" t="s">
        <v>86</v>
      </c>
      <c r="L113" s="2">
        <v>37391.056319351141</v>
      </c>
      <c r="M113" s="3">
        <v>1.598532368019014E-2</v>
      </c>
      <c r="N113" s="3">
        <v>0</v>
      </c>
      <c r="O113" s="3">
        <v>0.25946329067521412</v>
      </c>
      <c r="P113" s="3">
        <v>0</v>
      </c>
      <c r="Q113" s="3">
        <v>0.72455138564459576</v>
      </c>
      <c r="R113" s="3">
        <v>0.25946329067521412</v>
      </c>
      <c r="S113" t="s">
        <v>69</v>
      </c>
      <c r="T113" s="4">
        <f t="shared" si="1"/>
        <v>53.49</v>
      </c>
    </row>
    <row r="114" spans="1:20" x14ac:dyDescent="0.2">
      <c r="A114">
        <v>112</v>
      </c>
      <c r="B114">
        <v>1</v>
      </c>
      <c r="C114" t="s">
        <v>577</v>
      </c>
      <c r="D114" t="s">
        <v>578</v>
      </c>
      <c r="E114" t="s">
        <v>579</v>
      </c>
      <c r="F114" t="s">
        <v>171</v>
      </c>
      <c r="G114" t="s">
        <v>172</v>
      </c>
      <c r="H114" t="s">
        <v>80</v>
      </c>
      <c r="I114" t="s">
        <v>80</v>
      </c>
      <c r="J114" t="s">
        <v>34</v>
      </c>
      <c r="K114" t="s">
        <v>283</v>
      </c>
      <c r="L114" s="2">
        <v>37391.056319342293</v>
      </c>
      <c r="M114" s="3">
        <v>0.69924917851144008</v>
      </c>
      <c r="N114" s="3">
        <v>0</v>
      </c>
      <c r="O114" s="3">
        <v>0.13170191502827511</v>
      </c>
      <c r="P114" s="3">
        <v>0.1690086013180557</v>
      </c>
      <c r="Q114" s="3">
        <v>4.0305142229191133E-5</v>
      </c>
      <c r="R114" s="3">
        <v>0.30071051634633078</v>
      </c>
      <c r="S114" t="s">
        <v>69</v>
      </c>
      <c r="T114" s="4">
        <f t="shared" si="1"/>
        <v>146.97</v>
      </c>
    </row>
    <row r="115" spans="1:20" x14ac:dyDescent="0.2">
      <c r="A115">
        <v>113</v>
      </c>
      <c r="B115">
        <v>1</v>
      </c>
      <c r="C115" t="s">
        <v>580</v>
      </c>
      <c r="D115" t="s">
        <v>581</v>
      </c>
      <c r="E115" t="s">
        <v>582</v>
      </c>
      <c r="F115" t="s">
        <v>583</v>
      </c>
      <c r="G115" t="s">
        <v>584</v>
      </c>
      <c r="H115" t="s">
        <v>80</v>
      </c>
      <c r="I115" t="s">
        <v>80</v>
      </c>
      <c r="J115" t="s">
        <v>26</v>
      </c>
      <c r="K115" t="s">
        <v>585</v>
      </c>
      <c r="L115" s="2">
        <v>37391.056319342293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t="s">
        <v>28</v>
      </c>
      <c r="T115" s="4">
        <f t="shared" si="1"/>
        <v>100</v>
      </c>
    </row>
    <row r="116" spans="1:20" x14ac:dyDescent="0.2">
      <c r="A116">
        <v>114</v>
      </c>
      <c r="B116">
        <v>1</v>
      </c>
      <c r="C116" t="s">
        <v>586</v>
      </c>
      <c r="D116" t="s">
        <v>587</v>
      </c>
      <c r="E116" t="s">
        <v>186</v>
      </c>
      <c r="F116" t="s">
        <v>588</v>
      </c>
      <c r="G116" t="s">
        <v>589</v>
      </c>
      <c r="H116" t="s">
        <v>67</v>
      </c>
      <c r="I116" t="s">
        <v>67</v>
      </c>
      <c r="J116" t="s">
        <v>92</v>
      </c>
      <c r="K116" t="s">
        <v>561</v>
      </c>
      <c r="L116" s="2">
        <v>37391.056319342293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t="s">
        <v>28</v>
      </c>
      <c r="T116" s="4">
        <f t="shared" si="1"/>
        <v>100</v>
      </c>
    </row>
    <row r="117" spans="1:20" x14ac:dyDescent="0.2">
      <c r="A117">
        <v>115</v>
      </c>
      <c r="B117">
        <v>1</v>
      </c>
      <c r="C117" t="s">
        <v>590</v>
      </c>
      <c r="D117" t="s">
        <v>591</v>
      </c>
      <c r="E117" t="s">
        <v>592</v>
      </c>
      <c r="F117" t="s">
        <v>593</v>
      </c>
      <c r="G117" t="s">
        <v>594</v>
      </c>
      <c r="H117" t="s">
        <v>25</v>
      </c>
      <c r="I117" t="s">
        <v>25</v>
      </c>
      <c r="J117" t="s">
        <v>34</v>
      </c>
      <c r="K117" t="s">
        <v>249</v>
      </c>
      <c r="L117" s="2">
        <v>37391.056319351141</v>
      </c>
      <c r="M117" s="3">
        <v>0.1641505349859127</v>
      </c>
      <c r="N117" s="3">
        <v>0</v>
      </c>
      <c r="O117" s="3">
        <v>0.1790105772549567</v>
      </c>
      <c r="P117" s="3">
        <v>2.90033475504162E-3</v>
      </c>
      <c r="Q117" s="3">
        <v>0.65393855300408887</v>
      </c>
      <c r="R117" s="3">
        <v>0.18191091200999829</v>
      </c>
      <c r="S117" t="s">
        <v>36</v>
      </c>
      <c r="T117" s="4">
        <f t="shared" si="1"/>
        <v>53.09</v>
      </c>
    </row>
    <row r="118" spans="1:20" x14ac:dyDescent="0.2">
      <c r="A118">
        <v>116</v>
      </c>
      <c r="B118">
        <v>1</v>
      </c>
      <c r="C118" t="s">
        <v>595</v>
      </c>
      <c r="D118" t="s">
        <v>596</v>
      </c>
      <c r="E118" t="s">
        <v>597</v>
      </c>
      <c r="F118" t="s">
        <v>598</v>
      </c>
      <c r="G118" t="s">
        <v>599</v>
      </c>
      <c r="H118" t="s">
        <v>67</v>
      </c>
      <c r="I118" t="s">
        <v>67</v>
      </c>
      <c r="J118" t="s">
        <v>34</v>
      </c>
      <c r="K118" t="s">
        <v>204</v>
      </c>
      <c r="L118" s="2">
        <v>37391.056319342293</v>
      </c>
      <c r="M118" s="3">
        <v>0.27571319462127247</v>
      </c>
      <c r="N118" s="3">
        <v>0</v>
      </c>
      <c r="O118" s="3">
        <v>0.16861451376505651</v>
      </c>
      <c r="P118" s="3">
        <v>0</v>
      </c>
      <c r="Q118" s="3">
        <v>0.55567229161367104</v>
      </c>
      <c r="R118" s="3">
        <v>0.16861451376505651</v>
      </c>
      <c r="S118" t="s">
        <v>36</v>
      </c>
      <c r="T118" s="4">
        <f t="shared" si="1"/>
        <v>61.29</v>
      </c>
    </row>
    <row r="119" spans="1:20" x14ac:dyDescent="0.2">
      <c r="A119">
        <v>118</v>
      </c>
      <c r="B119">
        <v>1</v>
      </c>
      <c r="C119" t="s">
        <v>600</v>
      </c>
      <c r="D119" t="s">
        <v>601</v>
      </c>
      <c r="E119" t="s">
        <v>602</v>
      </c>
      <c r="F119" t="s">
        <v>603</v>
      </c>
      <c r="G119" t="s">
        <v>604</v>
      </c>
      <c r="H119" t="s">
        <v>67</v>
      </c>
      <c r="I119" t="s">
        <v>67</v>
      </c>
      <c r="J119" t="s">
        <v>26</v>
      </c>
      <c r="K119" t="s">
        <v>56</v>
      </c>
      <c r="L119" s="2">
        <v>37391.056319342293</v>
      </c>
      <c r="M119" s="3">
        <v>0.2365224615033788</v>
      </c>
      <c r="N119" s="3">
        <v>0</v>
      </c>
      <c r="O119" s="3">
        <v>0.16317525108244621</v>
      </c>
      <c r="P119" s="3">
        <v>0</v>
      </c>
      <c r="Q119" s="3">
        <v>0.60030228741417502</v>
      </c>
      <c r="R119" s="3">
        <v>0.16317525108244621</v>
      </c>
      <c r="S119" t="s">
        <v>36</v>
      </c>
      <c r="T119" s="4">
        <f t="shared" si="1"/>
        <v>56.29</v>
      </c>
    </row>
    <row r="120" spans="1:20" x14ac:dyDescent="0.2">
      <c r="A120">
        <v>119</v>
      </c>
      <c r="B120">
        <v>1</v>
      </c>
      <c r="C120" t="s">
        <v>605</v>
      </c>
      <c r="D120" t="s">
        <v>606</v>
      </c>
      <c r="E120" t="s">
        <v>607</v>
      </c>
      <c r="F120" t="s">
        <v>608</v>
      </c>
      <c r="G120" t="s">
        <v>609</v>
      </c>
      <c r="H120" t="s">
        <v>25</v>
      </c>
      <c r="I120" t="s">
        <v>25</v>
      </c>
      <c r="J120" t="s">
        <v>34</v>
      </c>
      <c r="K120" t="s">
        <v>149</v>
      </c>
      <c r="L120" s="2">
        <v>37391.056319342293</v>
      </c>
      <c r="M120" s="3">
        <v>3.1174887825421538E-2</v>
      </c>
      <c r="N120" s="3">
        <v>0</v>
      </c>
      <c r="O120" s="3">
        <v>0.37815221066290627</v>
      </c>
      <c r="P120" s="3">
        <v>0.1020194024802117</v>
      </c>
      <c r="Q120" s="3">
        <v>0.48865349903146033</v>
      </c>
      <c r="R120" s="3">
        <v>0.48017161314311801</v>
      </c>
      <c r="S120" t="s">
        <v>125</v>
      </c>
      <c r="T120" s="4">
        <f t="shared" si="1"/>
        <v>109.35</v>
      </c>
    </row>
    <row r="121" spans="1:20" x14ac:dyDescent="0.2">
      <c r="A121">
        <v>120</v>
      </c>
      <c r="B121">
        <v>1</v>
      </c>
      <c r="C121" t="s">
        <v>610</v>
      </c>
      <c r="D121" t="s">
        <v>611</v>
      </c>
      <c r="E121" t="s">
        <v>612</v>
      </c>
      <c r="H121" t="s">
        <v>67</v>
      </c>
      <c r="I121" t="s">
        <v>67</v>
      </c>
      <c r="J121" t="s">
        <v>92</v>
      </c>
      <c r="K121" t="s">
        <v>585</v>
      </c>
      <c r="L121" s="2">
        <v>37391.056319351141</v>
      </c>
      <c r="M121" s="3">
        <v>0</v>
      </c>
      <c r="N121" s="3">
        <v>0</v>
      </c>
      <c r="O121" s="3">
        <v>0.10423995462959321</v>
      </c>
      <c r="P121" s="3">
        <v>0</v>
      </c>
      <c r="Q121" s="3">
        <v>0.89576004537040677</v>
      </c>
      <c r="R121" s="3">
        <v>0.10423995462959321</v>
      </c>
      <c r="S121" t="s">
        <v>36</v>
      </c>
      <c r="T121" s="4">
        <f t="shared" si="1"/>
        <v>20.85</v>
      </c>
    </row>
    <row r="122" spans="1:20" x14ac:dyDescent="0.2">
      <c r="A122">
        <v>121</v>
      </c>
      <c r="B122">
        <v>1</v>
      </c>
      <c r="C122" t="s">
        <v>613</v>
      </c>
      <c r="D122" t="s">
        <v>614</v>
      </c>
      <c r="E122" t="s">
        <v>615</v>
      </c>
      <c r="H122" t="s">
        <v>80</v>
      </c>
      <c r="I122" t="s">
        <v>80</v>
      </c>
      <c r="J122" t="s">
        <v>26</v>
      </c>
      <c r="K122" t="s">
        <v>616</v>
      </c>
      <c r="L122" s="2">
        <v>37391.056319342293</v>
      </c>
      <c r="M122" s="3">
        <v>0</v>
      </c>
      <c r="N122" s="3">
        <v>0</v>
      </c>
      <c r="O122" s="3">
        <v>0.47419266148725842</v>
      </c>
      <c r="P122" s="3">
        <v>0.49950228464193391</v>
      </c>
      <c r="Q122" s="3">
        <v>2.630505387080773E-2</v>
      </c>
      <c r="R122" s="3">
        <v>0.97369494612919227</v>
      </c>
      <c r="S122" t="s">
        <v>44</v>
      </c>
      <c r="T122" s="4">
        <f t="shared" si="1"/>
        <v>244.69</v>
      </c>
    </row>
    <row r="123" spans="1:20" x14ac:dyDescent="0.2">
      <c r="A123">
        <v>122</v>
      </c>
      <c r="B123">
        <v>1</v>
      </c>
      <c r="C123" t="s">
        <v>617</v>
      </c>
      <c r="D123" t="s">
        <v>618</v>
      </c>
      <c r="E123" t="s">
        <v>371</v>
      </c>
      <c r="H123" t="s">
        <v>25</v>
      </c>
      <c r="I123" t="s">
        <v>25</v>
      </c>
      <c r="J123" t="s">
        <v>34</v>
      </c>
      <c r="K123" t="s">
        <v>230</v>
      </c>
      <c r="L123" s="2">
        <v>37391.056319342293</v>
      </c>
      <c r="M123" s="3">
        <v>0</v>
      </c>
      <c r="N123" s="3">
        <v>0</v>
      </c>
      <c r="O123" s="3">
        <v>0.32899919662995131</v>
      </c>
      <c r="P123" s="3">
        <v>0.59053632454309313</v>
      </c>
      <c r="Q123" s="3">
        <v>8.046447882695551E-2</v>
      </c>
      <c r="R123" s="3">
        <v>0.91953552117304449</v>
      </c>
      <c r="S123" t="s">
        <v>44</v>
      </c>
      <c r="T123" s="4">
        <f t="shared" si="1"/>
        <v>242.96</v>
      </c>
    </row>
    <row r="124" spans="1:20" x14ac:dyDescent="0.2">
      <c r="A124">
        <v>123</v>
      </c>
      <c r="B124">
        <v>1</v>
      </c>
      <c r="C124" t="s">
        <v>619</v>
      </c>
      <c r="D124" t="s">
        <v>620</v>
      </c>
      <c r="E124" t="s">
        <v>109</v>
      </c>
      <c r="F124" t="s">
        <v>410</v>
      </c>
      <c r="G124" t="s">
        <v>411</v>
      </c>
      <c r="H124" t="s">
        <v>67</v>
      </c>
      <c r="I124" t="s">
        <v>67</v>
      </c>
      <c r="J124" t="s">
        <v>26</v>
      </c>
      <c r="K124" t="s">
        <v>621</v>
      </c>
      <c r="L124" s="2">
        <v>37391.056319351141</v>
      </c>
      <c r="M124" s="3">
        <v>0.75478732269535875</v>
      </c>
      <c r="N124" s="3">
        <v>0</v>
      </c>
      <c r="O124" s="3">
        <v>8.6062220370672501E-2</v>
      </c>
      <c r="P124" s="3">
        <v>0</v>
      </c>
      <c r="Q124" s="3">
        <v>0.15915045693396879</v>
      </c>
      <c r="R124" s="3">
        <v>8.6062220370672501E-2</v>
      </c>
      <c r="S124" t="s">
        <v>28</v>
      </c>
      <c r="T124" s="4">
        <f t="shared" si="1"/>
        <v>92.69</v>
      </c>
    </row>
    <row r="125" spans="1:20" x14ac:dyDescent="0.2">
      <c r="A125">
        <v>124</v>
      </c>
      <c r="B125">
        <v>1</v>
      </c>
      <c r="C125" t="s">
        <v>622</v>
      </c>
      <c r="D125" t="s">
        <v>623</v>
      </c>
      <c r="E125" t="s">
        <v>83</v>
      </c>
      <c r="F125" t="s">
        <v>624</v>
      </c>
      <c r="G125" t="s">
        <v>625</v>
      </c>
      <c r="H125" t="s">
        <v>67</v>
      </c>
      <c r="I125" t="s">
        <v>67</v>
      </c>
      <c r="J125" t="s">
        <v>34</v>
      </c>
      <c r="K125" t="s">
        <v>626</v>
      </c>
      <c r="L125" s="2">
        <v>37391.056319351141</v>
      </c>
      <c r="M125" s="3">
        <v>0.59821846676372237</v>
      </c>
      <c r="N125" s="3">
        <v>0</v>
      </c>
      <c r="O125" s="3">
        <v>8.0597753558916255E-2</v>
      </c>
      <c r="P125" s="3">
        <v>0</v>
      </c>
      <c r="Q125" s="3">
        <v>0.32118377967736128</v>
      </c>
      <c r="R125" s="3">
        <v>8.0597753558916255E-2</v>
      </c>
      <c r="S125" t="s">
        <v>28</v>
      </c>
      <c r="T125" s="4">
        <f t="shared" si="1"/>
        <v>75.94</v>
      </c>
    </row>
    <row r="126" spans="1:20" x14ac:dyDescent="0.2">
      <c r="A126">
        <v>125</v>
      </c>
      <c r="B126">
        <v>1</v>
      </c>
      <c r="C126" t="s">
        <v>627</v>
      </c>
      <c r="D126" t="s">
        <v>628</v>
      </c>
      <c r="E126" t="s">
        <v>629</v>
      </c>
      <c r="H126" t="s">
        <v>67</v>
      </c>
      <c r="I126" t="s">
        <v>67</v>
      </c>
      <c r="J126" t="s">
        <v>34</v>
      </c>
      <c r="K126" t="s">
        <v>86</v>
      </c>
      <c r="L126" s="2">
        <v>37391.056319342293</v>
      </c>
      <c r="M126" s="3">
        <v>0.1199780837405427</v>
      </c>
      <c r="N126" s="3">
        <v>0</v>
      </c>
      <c r="O126" s="3">
        <v>0.39304527949786072</v>
      </c>
      <c r="P126" s="3">
        <v>0.48697663676158998</v>
      </c>
      <c r="Q126" s="3">
        <v>6.4392935428259079E-15</v>
      </c>
      <c r="R126" s="3">
        <v>0.8800219162594507</v>
      </c>
      <c r="S126" t="s">
        <v>44</v>
      </c>
      <c r="T126" s="4">
        <f t="shared" si="1"/>
        <v>236.7</v>
      </c>
    </row>
    <row r="127" spans="1:20" x14ac:dyDescent="0.2">
      <c r="A127">
        <v>126</v>
      </c>
      <c r="B127">
        <v>2</v>
      </c>
      <c r="C127" t="s">
        <v>630</v>
      </c>
      <c r="D127" t="s">
        <v>631</v>
      </c>
      <c r="E127" t="s">
        <v>632</v>
      </c>
      <c r="F127" t="s">
        <v>633</v>
      </c>
      <c r="G127" t="s">
        <v>634</v>
      </c>
      <c r="H127" t="s">
        <v>67</v>
      </c>
      <c r="I127" t="s">
        <v>67</v>
      </c>
      <c r="J127" t="s">
        <v>34</v>
      </c>
      <c r="K127" t="s">
        <v>635</v>
      </c>
      <c r="L127" s="2">
        <v>74782.112638684586</v>
      </c>
      <c r="M127" s="3">
        <v>0</v>
      </c>
      <c r="N127" s="3">
        <v>0</v>
      </c>
      <c r="O127" s="3">
        <v>0.21416809103964271</v>
      </c>
      <c r="P127" s="3">
        <v>0.78583190896043886</v>
      </c>
      <c r="Q127" s="3">
        <v>0</v>
      </c>
      <c r="R127" s="3">
        <v>1.000000000000081</v>
      </c>
      <c r="S127" t="s">
        <v>44</v>
      </c>
      <c r="T127" s="4">
        <f t="shared" si="1"/>
        <v>278.58</v>
      </c>
    </row>
    <row r="128" spans="1:20" x14ac:dyDescent="0.2">
      <c r="A128">
        <v>127</v>
      </c>
      <c r="B128">
        <v>1</v>
      </c>
      <c r="C128" t="s">
        <v>636</v>
      </c>
      <c r="D128" t="s">
        <v>637</v>
      </c>
      <c r="E128" t="s">
        <v>638</v>
      </c>
      <c r="H128" t="s">
        <v>25</v>
      </c>
      <c r="I128" t="s">
        <v>25</v>
      </c>
      <c r="J128" t="s">
        <v>34</v>
      </c>
      <c r="K128" t="s">
        <v>639</v>
      </c>
      <c r="L128" s="2">
        <v>37391.056319342293</v>
      </c>
      <c r="M128" s="3">
        <v>0</v>
      </c>
      <c r="N128" s="3">
        <v>0</v>
      </c>
      <c r="O128" s="3">
        <v>0.1179444554509025</v>
      </c>
      <c r="P128" s="3">
        <v>4.429067061224163E-2</v>
      </c>
      <c r="Q128" s="3">
        <v>0.83776487393685584</v>
      </c>
      <c r="R128" s="3">
        <v>0.16223512606314411</v>
      </c>
      <c r="S128" t="s">
        <v>36</v>
      </c>
      <c r="T128" s="4">
        <f t="shared" si="1"/>
        <v>36.880000000000003</v>
      </c>
    </row>
    <row r="129" spans="1:20" x14ac:dyDescent="0.2">
      <c r="A129">
        <v>128</v>
      </c>
      <c r="B129">
        <v>1</v>
      </c>
      <c r="C129" t="s">
        <v>640</v>
      </c>
      <c r="D129" t="s">
        <v>641</v>
      </c>
      <c r="E129" t="s">
        <v>252</v>
      </c>
      <c r="F129" t="s">
        <v>642</v>
      </c>
      <c r="G129" t="s">
        <v>643</v>
      </c>
      <c r="H129" t="s">
        <v>336</v>
      </c>
      <c r="I129" t="s">
        <v>336</v>
      </c>
      <c r="J129" t="s">
        <v>92</v>
      </c>
      <c r="K129" t="s">
        <v>644</v>
      </c>
      <c r="L129" s="2">
        <v>37391.056319342293</v>
      </c>
      <c r="M129" s="3">
        <v>0</v>
      </c>
      <c r="N129" s="3">
        <v>0</v>
      </c>
      <c r="O129" s="3">
        <v>0</v>
      </c>
      <c r="P129" s="3">
        <v>0</v>
      </c>
      <c r="Q129" s="3">
        <v>1</v>
      </c>
      <c r="R129" s="3">
        <v>0</v>
      </c>
      <c r="S129" t="s">
        <v>28</v>
      </c>
      <c r="T129" s="4">
        <f t="shared" si="1"/>
        <v>0</v>
      </c>
    </row>
    <row r="130" spans="1:20" x14ac:dyDescent="0.2">
      <c r="A130">
        <v>129</v>
      </c>
      <c r="B130">
        <v>1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67</v>
      </c>
      <c r="I130" t="s">
        <v>67</v>
      </c>
      <c r="J130" t="s">
        <v>34</v>
      </c>
      <c r="K130" t="s">
        <v>650</v>
      </c>
      <c r="L130" s="2">
        <v>37391.056319342293</v>
      </c>
      <c r="M130" s="3">
        <v>0.22235609525171099</v>
      </c>
      <c r="N130" s="3">
        <v>0</v>
      </c>
      <c r="O130" s="3">
        <v>0.1229567740919484</v>
      </c>
      <c r="P130" s="3">
        <v>2.9711769995194259E-2</v>
      </c>
      <c r="Q130" s="3">
        <v>0.62497536066114634</v>
      </c>
      <c r="R130" s="3">
        <v>0.15266854408714259</v>
      </c>
      <c r="S130" t="s">
        <v>36</v>
      </c>
      <c r="T130" s="4">
        <f t="shared" ref="T130:T193" si="2">ROUND((M130*100*1)+(O130*100*2)+(P130*100*3),2)</f>
        <v>55.74</v>
      </c>
    </row>
    <row r="131" spans="1:20" x14ac:dyDescent="0.2">
      <c r="A131">
        <v>130</v>
      </c>
      <c r="B131">
        <v>1</v>
      </c>
      <c r="C131" t="s">
        <v>651</v>
      </c>
      <c r="D131" t="s">
        <v>652</v>
      </c>
      <c r="E131" t="s">
        <v>647</v>
      </c>
      <c r="F131" t="s">
        <v>653</v>
      </c>
      <c r="G131" t="s">
        <v>654</v>
      </c>
      <c r="H131" t="s">
        <v>67</v>
      </c>
      <c r="I131" t="s">
        <v>67</v>
      </c>
      <c r="J131" t="s">
        <v>34</v>
      </c>
      <c r="K131" t="s">
        <v>655</v>
      </c>
      <c r="L131" s="2">
        <v>37391.056319342293</v>
      </c>
      <c r="M131" s="3">
        <v>0.19217967784817749</v>
      </c>
      <c r="N131" s="3">
        <v>0</v>
      </c>
      <c r="O131" s="3">
        <v>0.19741231856135491</v>
      </c>
      <c r="P131" s="3">
        <v>4.2569360126465769E-2</v>
      </c>
      <c r="Q131" s="3">
        <v>0.5678386434640017</v>
      </c>
      <c r="R131" s="3">
        <v>0.23998167868782069</v>
      </c>
      <c r="S131" t="s">
        <v>69</v>
      </c>
      <c r="T131" s="4">
        <f t="shared" si="2"/>
        <v>71.47</v>
      </c>
    </row>
    <row r="132" spans="1:20" x14ac:dyDescent="0.2">
      <c r="A132">
        <v>131</v>
      </c>
      <c r="B132">
        <v>1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336</v>
      </c>
      <c r="I132" t="s">
        <v>336</v>
      </c>
      <c r="J132" t="s">
        <v>34</v>
      </c>
      <c r="K132" t="s">
        <v>661</v>
      </c>
      <c r="L132" s="2">
        <v>37391.056319342293</v>
      </c>
      <c r="M132" s="3">
        <v>0</v>
      </c>
      <c r="N132" s="3">
        <v>0</v>
      </c>
      <c r="O132" s="3">
        <v>0.33761758279466242</v>
      </c>
      <c r="P132" s="3">
        <v>0.66238241720544255</v>
      </c>
      <c r="Q132" s="3">
        <v>0</v>
      </c>
      <c r="R132" s="3">
        <v>1.000000000000105</v>
      </c>
      <c r="S132" t="s">
        <v>44</v>
      </c>
      <c r="T132" s="4">
        <f t="shared" si="2"/>
        <v>266.24</v>
      </c>
    </row>
    <row r="133" spans="1:20" x14ac:dyDescent="0.2">
      <c r="A133">
        <v>132</v>
      </c>
      <c r="B133">
        <v>1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  <c r="H133" t="s">
        <v>67</v>
      </c>
      <c r="I133" t="s">
        <v>67</v>
      </c>
      <c r="J133" t="s">
        <v>92</v>
      </c>
      <c r="K133" t="s">
        <v>667</v>
      </c>
      <c r="L133" s="2">
        <v>37391.056319342293</v>
      </c>
      <c r="M133" s="3">
        <v>0.77967245630443738</v>
      </c>
      <c r="N133" s="3">
        <v>0</v>
      </c>
      <c r="O133" s="3">
        <v>0.1013720108410351</v>
      </c>
      <c r="P133" s="3">
        <v>0</v>
      </c>
      <c r="Q133" s="3">
        <v>0.11895553285452749</v>
      </c>
      <c r="R133" s="3">
        <v>0.1013720108410351</v>
      </c>
      <c r="S133" t="s">
        <v>36</v>
      </c>
      <c r="T133" s="4">
        <f t="shared" si="2"/>
        <v>98.24</v>
      </c>
    </row>
    <row r="134" spans="1:20" x14ac:dyDescent="0.2">
      <c r="A134">
        <v>133</v>
      </c>
      <c r="B134">
        <v>2</v>
      </c>
      <c r="C134" t="s">
        <v>668</v>
      </c>
      <c r="D134" t="s">
        <v>669</v>
      </c>
      <c r="E134" t="s">
        <v>664</v>
      </c>
      <c r="F134" t="s">
        <v>670</v>
      </c>
      <c r="G134" t="s">
        <v>671</v>
      </c>
      <c r="H134" t="s">
        <v>67</v>
      </c>
      <c r="I134" t="s">
        <v>67</v>
      </c>
      <c r="J134" t="s">
        <v>34</v>
      </c>
      <c r="K134" t="s">
        <v>567</v>
      </c>
      <c r="L134" s="2">
        <v>74782.112638684586</v>
      </c>
      <c r="M134" s="3">
        <v>0.86649121268701013</v>
      </c>
      <c r="N134" s="3">
        <v>0</v>
      </c>
      <c r="O134" s="3">
        <v>0.1335087873130277</v>
      </c>
      <c r="P134" s="3">
        <v>0</v>
      </c>
      <c r="Q134" s="3">
        <v>0</v>
      </c>
      <c r="R134" s="3">
        <v>0.1335087873130277</v>
      </c>
      <c r="S134" t="s">
        <v>36</v>
      </c>
      <c r="T134" s="4">
        <f t="shared" si="2"/>
        <v>113.35</v>
      </c>
    </row>
    <row r="135" spans="1:20" x14ac:dyDescent="0.2">
      <c r="A135">
        <v>134</v>
      </c>
      <c r="B135">
        <v>1</v>
      </c>
      <c r="C135" t="s">
        <v>672</v>
      </c>
      <c r="D135" t="s">
        <v>673</v>
      </c>
      <c r="E135" t="s">
        <v>170</v>
      </c>
      <c r="F135" t="s">
        <v>674</v>
      </c>
      <c r="G135" t="s">
        <v>675</v>
      </c>
      <c r="H135" t="s">
        <v>67</v>
      </c>
      <c r="I135" t="s">
        <v>67</v>
      </c>
      <c r="J135" t="s">
        <v>26</v>
      </c>
      <c r="K135" t="s">
        <v>585</v>
      </c>
      <c r="L135" s="2">
        <v>37391.056319342293</v>
      </c>
      <c r="M135" s="3">
        <v>0</v>
      </c>
      <c r="N135" s="3">
        <v>0</v>
      </c>
      <c r="O135" s="3">
        <v>0.34688596624222751</v>
      </c>
      <c r="P135" s="3">
        <v>0.57378926994405843</v>
      </c>
      <c r="Q135" s="3">
        <v>7.9324763813714005E-2</v>
      </c>
      <c r="R135" s="3">
        <v>0.92067523618628599</v>
      </c>
      <c r="S135" t="s">
        <v>44</v>
      </c>
      <c r="T135" s="4">
        <f t="shared" si="2"/>
        <v>241.51</v>
      </c>
    </row>
    <row r="136" spans="1:20" x14ac:dyDescent="0.2">
      <c r="A136">
        <v>135</v>
      </c>
      <c r="B136">
        <v>1</v>
      </c>
      <c r="C136" t="s">
        <v>676</v>
      </c>
      <c r="D136" t="s">
        <v>677</v>
      </c>
      <c r="E136" t="s">
        <v>678</v>
      </c>
      <c r="H136" t="s">
        <v>67</v>
      </c>
      <c r="I136" t="s">
        <v>67</v>
      </c>
      <c r="J136" t="s">
        <v>34</v>
      </c>
      <c r="K136" t="s">
        <v>679</v>
      </c>
      <c r="L136" s="2">
        <v>37391.056319342293</v>
      </c>
      <c r="M136" s="3">
        <v>0</v>
      </c>
      <c r="N136" s="3">
        <v>0</v>
      </c>
      <c r="O136" s="3">
        <v>0.32112790514351008</v>
      </c>
      <c r="P136" s="3">
        <v>0.57764281191156086</v>
      </c>
      <c r="Q136" s="3">
        <v>0.1012292829449291</v>
      </c>
      <c r="R136" s="3">
        <v>0.89877071705507094</v>
      </c>
      <c r="S136" t="s">
        <v>44</v>
      </c>
      <c r="T136" s="4">
        <f t="shared" si="2"/>
        <v>237.52</v>
      </c>
    </row>
    <row r="137" spans="1:20" x14ac:dyDescent="0.2">
      <c r="A137">
        <v>136</v>
      </c>
      <c r="B137">
        <v>1</v>
      </c>
      <c r="C137" t="s">
        <v>680</v>
      </c>
      <c r="D137" t="s">
        <v>681</v>
      </c>
      <c r="E137" t="s">
        <v>682</v>
      </c>
      <c r="F137" t="s">
        <v>683</v>
      </c>
      <c r="G137" t="s">
        <v>684</v>
      </c>
      <c r="H137" t="s">
        <v>67</v>
      </c>
      <c r="I137" t="s">
        <v>67</v>
      </c>
      <c r="J137" t="s">
        <v>34</v>
      </c>
      <c r="K137" t="s">
        <v>661</v>
      </c>
      <c r="L137" s="2">
        <v>37391.056319342293</v>
      </c>
      <c r="M137" s="3">
        <v>0</v>
      </c>
      <c r="N137" s="3">
        <v>0</v>
      </c>
      <c r="O137" s="3">
        <v>0.1887206448963443</v>
      </c>
      <c r="P137" s="3">
        <v>2.1064943861140419E-2</v>
      </c>
      <c r="Q137" s="3">
        <v>0.79021441124251524</v>
      </c>
      <c r="R137" s="3">
        <v>0.20978558875748471</v>
      </c>
      <c r="S137" t="s">
        <v>69</v>
      </c>
      <c r="T137" s="4">
        <f t="shared" si="2"/>
        <v>44.06</v>
      </c>
    </row>
    <row r="138" spans="1:20" x14ac:dyDescent="0.2">
      <c r="A138">
        <v>137</v>
      </c>
      <c r="B138">
        <v>1</v>
      </c>
      <c r="C138" t="s">
        <v>685</v>
      </c>
      <c r="D138" t="s">
        <v>686</v>
      </c>
      <c r="E138" t="s">
        <v>687</v>
      </c>
      <c r="H138" t="s">
        <v>67</v>
      </c>
      <c r="I138" t="s">
        <v>67</v>
      </c>
      <c r="J138" t="s">
        <v>92</v>
      </c>
      <c r="K138" t="s">
        <v>167</v>
      </c>
      <c r="L138" s="2">
        <v>37391.056319342293</v>
      </c>
      <c r="M138" s="3">
        <v>0</v>
      </c>
      <c r="N138" s="3">
        <v>0</v>
      </c>
      <c r="O138" s="3">
        <v>0.45249208290879539</v>
      </c>
      <c r="P138" s="3">
        <v>9.5610861161420743E-2</v>
      </c>
      <c r="Q138" s="3">
        <v>0.45189705592978391</v>
      </c>
      <c r="R138" s="3">
        <v>0.5481029440702162</v>
      </c>
      <c r="S138" t="s">
        <v>125</v>
      </c>
      <c r="T138" s="4">
        <f t="shared" si="2"/>
        <v>119.18</v>
      </c>
    </row>
    <row r="139" spans="1:20" x14ac:dyDescent="0.2">
      <c r="A139">
        <v>138</v>
      </c>
      <c r="B139">
        <v>1</v>
      </c>
      <c r="C139" t="s">
        <v>688</v>
      </c>
      <c r="D139" t="s">
        <v>689</v>
      </c>
      <c r="E139" t="s">
        <v>687</v>
      </c>
      <c r="F139" t="s">
        <v>690</v>
      </c>
      <c r="G139" t="s">
        <v>691</v>
      </c>
      <c r="H139" t="s">
        <v>67</v>
      </c>
      <c r="I139" t="s">
        <v>67</v>
      </c>
      <c r="J139" t="s">
        <v>34</v>
      </c>
      <c r="K139" t="s">
        <v>692</v>
      </c>
      <c r="L139" s="2">
        <v>37391.056319342293</v>
      </c>
      <c r="M139" s="3">
        <v>0.98849271249867543</v>
      </c>
      <c r="N139" s="3">
        <v>0</v>
      </c>
      <c r="O139" s="3">
        <v>1.150728750133047E-2</v>
      </c>
      <c r="P139" s="3">
        <v>0</v>
      </c>
      <c r="Q139" s="3">
        <v>0</v>
      </c>
      <c r="R139" s="3">
        <v>1.150728750133047E-2</v>
      </c>
      <c r="S139" t="s">
        <v>28</v>
      </c>
      <c r="T139" s="4">
        <f t="shared" si="2"/>
        <v>101.15</v>
      </c>
    </row>
    <row r="140" spans="1:20" x14ac:dyDescent="0.2">
      <c r="A140">
        <v>139</v>
      </c>
      <c r="B140">
        <v>2</v>
      </c>
      <c r="C140" t="s">
        <v>693</v>
      </c>
      <c r="D140" t="s">
        <v>694</v>
      </c>
      <c r="E140" t="s">
        <v>695</v>
      </c>
      <c r="F140" t="s">
        <v>696</v>
      </c>
      <c r="G140" t="s">
        <v>697</v>
      </c>
      <c r="H140" t="s">
        <v>67</v>
      </c>
      <c r="I140" t="s">
        <v>67</v>
      </c>
      <c r="J140" t="s">
        <v>26</v>
      </c>
      <c r="K140" t="s">
        <v>161</v>
      </c>
      <c r="L140" s="2">
        <v>74782.112638684586</v>
      </c>
      <c r="M140" s="3">
        <v>0</v>
      </c>
      <c r="N140" s="3">
        <v>0</v>
      </c>
      <c r="O140" s="3">
        <v>0.38998301669253987</v>
      </c>
      <c r="P140" s="3">
        <v>0.25906706979476529</v>
      </c>
      <c r="Q140" s="3">
        <v>0.35094991351269478</v>
      </c>
      <c r="R140" s="3">
        <v>0.64905008648730522</v>
      </c>
      <c r="S140" t="s">
        <v>44</v>
      </c>
      <c r="T140" s="4">
        <f t="shared" si="2"/>
        <v>155.72</v>
      </c>
    </row>
    <row r="141" spans="1:20" x14ac:dyDescent="0.2">
      <c r="A141">
        <v>140</v>
      </c>
      <c r="B141">
        <v>1</v>
      </c>
      <c r="C141" t="s">
        <v>698</v>
      </c>
      <c r="D141" t="s">
        <v>699</v>
      </c>
      <c r="E141" t="s">
        <v>700</v>
      </c>
      <c r="H141" t="s">
        <v>80</v>
      </c>
      <c r="I141" t="s">
        <v>701</v>
      </c>
      <c r="J141" t="s">
        <v>34</v>
      </c>
      <c r="K141" t="s">
        <v>635</v>
      </c>
      <c r="L141" s="2">
        <v>37391.056319342293</v>
      </c>
      <c r="M141" s="3">
        <v>0</v>
      </c>
      <c r="N141" s="3">
        <v>0</v>
      </c>
      <c r="O141" s="3">
        <v>0.45836736254773669</v>
      </c>
      <c r="P141" s="3">
        <v>0.39552013385905638</v>
      </c>
      <c r="Q141" s="3">
        <v>0.14611250359320679</v>
      </c>
      <c r="R141" s="3">
        <v>0.85388749640679307</v>
      </c>
      <c r="S141" t="s">
        <v>44</v>
      </c>
      <c r="T141" s="4">
        <f t="shared" si="2"/>
        <v>210.33</v>
      </c>
    </row>
    <row r="142" spans="1:20" x14ac:dyDescent="0.2">
      <c r="A142">
        <v>141</v>
      </c>
      <c r="B142">
        <v>1</v>
      </c>
      <c r="C142" t="s">
        <v>702</v>
      </c>
      <c r="D142" t="s">
        <v>703</v>
      </c>
      <c r="E142" t="s">
        <v>704</v>
      </c>
      <c r="H142" t="s">
        <v>25</v>
      </c>
      <c r="I142" t="s">
        <v>25</v>
      </c>
      <c r="J142" t="s">
        <v>34</v>
      </c>
      <c r="K142" t="s">
        <v>705</v>
      </c>
      <c r="L142" s="2">
        <v>37391.056319342293</v>
      </c>
      <c r="M142" s="3">
        <v>0</v>
      </c>
      <c r="N142" s="3">
        <v>0</v>
      </c>
      <c r="O142" s="3">
        <v>0.14837820852201961</v>
      </c>
      <c r="P142" s="3">
        <v>5.2684395158386268E-3</v>
      </c>
      <c r="Q142" s="3">
        <v>0.84635335196214179</v>
      </c>
      <c r="R142" s="3">
        <v>0.15364664803785821</v>
      </c>
      <c r="S142" t="s">
        <v>36</v>
      </c>
      <c r="T142" s="4">
        <f t="shared" si="2"/>
        <v>31.26</v>
      </c>
    </row>
    <row r="143" spans="1:20" x14ac:dyDescent="0.2">
      <c r="A143">
        <v>142</v>
      </c>
      <c r="B143">
        <v>1</v>
      </c>
      <c r="C143" t="s">
        <v>706</v>
      </c>
      <c r="D143" t="s">
        <v>707</v>
      </c>
      <c r="E143" t="s">
        <v>708</v>
      </c>
      <c r="F143" t="s">
        <v>709</v>
      </c>
      <c r="G143" t="s">
        <v>710</v>
      </c>
      <c r="H143" t="s">
        <v>67</v>
      </c>
      <c r="I143" t="s">
        <v>67</v>
      </c>
      <c r="J143" t="s">
        <v>26</v>
      </c>
      <c r="K143" t="s">
        <v>277</v>
      </c>
      <c r="L143" s="2">
        <v>37391.056319342293</v>
      </c>
      <c r="M143" s="3">
        <v>0</v>
      </c>
      <c r="N143" s="3">
        <v>0</v>
      </c>
      <c r="O143" s="3">
        <v>0.33431213499340662</v>
      </c>
      <c r="P143" s="3">
        <v>0.66360583850507671</v>
      </c>
      <c r="Q143" s="3">
        <v>2.0820265015166761E-3</v>
      </c>
      <c r="R143" s="3">
        <v>0.99791797349848332</v>
      </c>
      <c r="S143" t="s">
        <v>44</v>
      </c>
      <c r="T143" s="4">
        <f t="shared" si="2"/>
        <v>265.94</v>
      </c>
    </row>
    <row r="144" spans="1:20" x14ac:dyDescent="0.2">
      <c r="A144">
        <v>143</v>
      </c>
      <c r="B144">
        <v>2</v>
      </c>
      <c r="C144" t="s">
        <v>711</v>
      </c>
      <c r="D144" t="s">
        <v>712</v>
      </c>
      <c r="E144" t="s">
        <v>708</v>
      </c>
      <c r="F144" t="s">
        <v>713</v>
      </c>
      <c r="G144" t="s">
        <v>714</v>
      </c>
      <c r="H144" t="s">
        <v>67</v>
      </c>
      <c r="I144" t="s">
        <v>67</v>
      </c>
      <c r="J144" t="s">
        <v>92</v>
      </c>
      <c r="K144" t="s">
        <v>661</v>
      </c>
      <c r="L144" s="2">
        <v>74782.112638684586</v>
      </c>
      <c r="M144" s="3">
        <v>0</v>
      </c>
      <c r="N144" s="3">
        <v>0</v>
      </c>
      <c r="O144" s="3">
        <v>0.42205087563700677</v>
      </c>
      <c r="P144" s="3">
        <v>0.57794912436263446</v>
      </c>
      <c r="Q144" s="3">
        <v>3.5882408155885059E-13</v>
      </c>
      <c r="R144" s="3">
        <v>0.99999999999964118</v>
      </c>
      <c r="S144" t="s">
        <v>44</v>
      </c>
      <c r="T144" s="4">
        <f t="shared" si="2"/>
        <v>257.79000000000002</v>
      </c>
    </row>
    <row r="145" spans="1:20" x14ac:dyDescent="0.2">
      <c r="A145">
        <v>144</v>
      </c>
      <c r="B145">
        <v>1</v>
      </c>
      <c r="C145" t="s">
        <v>715</v>
      </c>
      <c r="D145" t="s">
        <v>716</v>
      </c>
      <c r="E145" t="s">
        <v>708</v>
      </c>
      <c r="F145" t="s">
        <v>717</v>
      </c>
      <c r="G145" t="s">
        <v>718</v>
      </c>
      <c r="H145" t="s">
        <v>67</v>
      </c>
      <c r="I145" t="s">
        <v>67</v>
      </c>
      <c r="J145" t="s">
        <v>26</v>
      </c>
      <c r="K145" t="s">
        <v>567</v>
      </c>
      <c r="L145" s="2">
        <v>37391.056319342293</v>
      </c>
      <c r="M145" s="3">
        <v>0</v>
      </c>
      <c r="N145" s="3">
        <v>0</v>
      </c>
      <c r="O145" s="3">
        <v>0.1444041625362284</v>
      </c>
      <c r="P145" s="3">
        <v>0</v>
      </c>
      <c r="Q145" s="3">
        <v>0.85559583746377155</v>
      </c>
      <c r="R145" s="3">
        <v>0.1444041625362284</v>
      </c>
      <c r="S145" t="s">
        <v>36</v>
      </c>
      <c r="T145" s="4">
        <f t="shared" si="2"/>
        <v>28.88</v>
      </c>
    </row>
    <row r="146" spans="1:20" x14ac:dyDescent="0.2">
      <c r="A146">
        <v>145</v>
      </c>
      <c r="B146">
        <v>1</v>
      </c>
      <c r="C146" t="s">
        <v>719</v>
      </c>
      <c r="D146" t="s">
        <v>720</v>
      </c>
      <c r="E146" t="s">
        <v>721</v>
      </c>
      <c r="F146" t="s">
        <v>722</v>
      </c>
      <c r="G146" t="s">
        <v>723</v>
      </c>
      <c r="H146" t="s">
        <v>25</v>
      </c>
      <c r="I146" t="s">
        <v>25</v>
      </c>
      <c r="J146" t="s">
        <v>34</v>
      </c>
      <c r="K146" t="s">
        <v>363</v>
      </c>
      <c r="L146" s="2">
        <v>37391.056319342293</v>
      </c>
      <c r="M146" s="3">
        <v>0</v>
      </c>
      <c r="N146" s="3">
        <v>0</v>
      </c>
      <c r="O146" s="3">
        <v>0.25109730180680978</v>
      </c>
      <c r="P146" s="3">
        <v>0.58397602976304264</v>
      </c>
      <c r="Q146" s="3">
        <v>0.16492666843014761</v>
      </c>
      <c r="R146" s="3">
        <v>0.83507333156985242</v>
      </c>
      <c r="S146" t="s">
        <v>44</v>
      </c>
      <c r="T146" s="4">
        <f t="shared" si="2"/>
        <v>225.41</v>
      </c>
    </row>
    <row r="147" spans="1:20" x14ac:dyDescent="0.2">
      <c r="A147">
        <v>146</v>
      </c>
      <c r="B147">
        <v>2</v>
      </c>
      <c r="C147" t="s">
        <v>724</v>
      </c>
      <c r="D147" t="s">
        <v>725</v>
      </c>
      <c r="E147" t="s">
        <v>726</v>
      </c>
      <c r="F147" t="s">
        <v>727</v>
      </c>
      <c r="G147" t="s">
        <v>728</v>
      </c>
      <c r="H147" t="s">
        <v>25</v>
      </c>
      <c r="I147" t="s">
        <v>25</v>
      </c>
      <c r="J147" t="s">
        <v>92</v>
      </c>
      <c r="K147" t="s">
        <v>729</v>
      </c>
      <c r="L147" s="2">
        <v>74782.112638684586</v>
      </c>
      <c r="M147" s="3">
        <v>0</v>
      </c>
      <c r="N147" s="3">
        <v>0</v>
      </c>
      <c r="O147" s="3">
        <v>4.5830213581116476E-3</v>
      </c>
      <c r="P147" s="3">
        <v>5.2931748541425086E-4</v>
      </c>
      <c r="Q147" s="3">
        <v>0.99488766115647409</v>
      </c>
      <c r="R147" s="3">
        <v>5.1123388435258994E-3</v>
      </c>
      <c r="S147" t="s">
        <v>28</v>
      </c>
      <c r="T147" s="4">
        <f t="shared" si="2"/>
        <v>1.08</v>
      </c>
    </row>
    <row r="148" spans="1:20" x14ac:dyDescent="0.2">
      <c r="A148">
        <v>147</v>
      </c>
      <c r="B148">
        <v>1</v>
      </c>
      <c r="C148" t="s">
        <v>730</v>
      </c>
      <c r="D148" t="s">
        <v>731</v>
      </c>
      <c r="E148" t="s">
        <v>732</v>
      </c>
      <c r="F148" t="s">
        <v>733</v>
      </c>
      <c r="G148" t="s">
        <v>734</v>
      </c>
      <c r="H148" t="s">
        <v>67</v>
      </c>
      <c r="I148" t="s">
        <v>67</v>
      </c>
      <c r="J148" t="s">
        <v>34</v>
      </c>
      <c r="K148" t="s">
        <v>149</v>
      </c>
      <c r="L148" s="2">
        <v>37391.056319342293</v>
      </c>
      <c r="M148" s="3">
        <v>4.0509870787975917E-2</v>
      </c>
      <c r="N148" s="3">
        <v>0</v>
      </c>
      <c r="O148" s="3">
        <v>8.1106102402424038E-2</v>
      </c>
      <c r="P148" s="3">
        <v>0.52864514486431824</v>
      </c>
      <c r="Q148" s="3">
        <v>0.3497388819452818</v>
      </c>
      <c r="R148" s="3">
        <v>0.60975124726674224</v>
      </c>
      <c r="S148" t="s">
        <v>44</v>
      </c>
      <c r="T148" s="4">
        <f t="shared" si="2"/>
        <v>178.87</v>
      </c>
    </row>
    <row r="149" spans="1:20" x14ac:dyDescent="0.2">
      <c r="A149">
        <v>148</v>
      </c>
      <c r="B149">
        <v>1</v>
      </c>
      <c r="C149" t="s">
        <v>735</v>
      </c>
      <c r="D149" t="s">
        <v>736</v>
      </c>
      <c r="E149" t="s">
        <v>737</v>
      </c>
      <c r="H149" t="s">
        <v>25</v>
      </c>
      <c r="I149" t="s">
        <v>25</v>
      </c>
      <c r="J149" t="s">
        <v>34</v>
      </c>
      <c r="K149" t="s">
        <v>705</v>
      </c>
      <c r="L149" s="2">
        <v>37391.056319351141</v>
      </c>
      <c r="M149" s="3">
        <v>6.4129301111105919E-3</v>
      </c>
      <c r="N149" s="3">
        <v>0</v>
      </c>
      <c r="O149" s="3">
        <v>0.28123430741266109</v>
      </c>
      <c r="P149" s="3">
        <v>0.69179764553342105</v>
      </c>
      <c r="Q149" s="3">
        <v>2.055511694280732E-2</v>
      </c>
      <c r="R149" s="3">
        <v>0.97303195294608213</v>
      </c>
      <c r="S149" t="s">
        <v>44</v>
      </c>
      <c r="T149" s="4">
        <f t="shared" si="2"/>
        <v>264.43</v>
      </c>
    </row>
    <row r="150" spans="1:20" x14ac:dyDescent="0.2">
      <c r="A150">
        <v>149</v>
      </c>
      <c r="B150">
        <v>1</v>
      </c>
      <c r="C150" t="s">
        <v>738</v>
      </c>
      <c r="D150" t="s">
        <v>739</v>
      </c>
      <c r="E150" t="s">
        <v>291</v>
      </c>
      <c r="F150" t="s">
        <v>740</v>
      </c>
      <c r="G150" t="s">
        <v>741</v>
      </c>
      <c r="H150" t="s">
        <v>67</v>
      </c>
      <c r="I150" t="s">
        <v>67</v>
      </c>
      <c r="J150" t="s">
        <v>34</v>
      </c>
      <c r="K150" t="s">
        <v>204</v>
      </c>
      <c r="L150" s="2">
        <v>37391.056319351141</v>
      </c>
      <c r="M150" s="3">
        <v>0</v>
      </c>
      <c r="N150" s="3">
        <v>0</v>
      </c>
      <c r="O150" s="3">
        <v>0.33835510947058622</v>
      </c>
      <c r="P150" s="3">
        <v>0.5672631683800452</v>
      </c>
      <c r="Q150" s="3">
        <v>9.4381722149368574E-2</v>
      </c>
      <c r="R150" s="3">
        <v>0.90561827785063143</v>
      </c>
      <c r="S150" t="s">
        <v>44</v>
      </c>
      <c r="T150" s="4">
        <f t="shared" si="2"/>
        <v>237.85</v>
      </c>
    </row>
    <row r="151" spans="1:20" x14ac:dyDescent="0.2">
      <c r="A151">
        <v>150</v>
      </c>
      <c r="B151">
        <v>1</v>
      </c>
      <c r="C151" t="s">
        <v>742</v>
      </c>
      <c r="D151" t="s">
        <v>743</v>
      </c>
      <c r="E151" t="s">
        <v>291</v>
      </c>
      <c r="F151" t="s">
        <v>744</v>
      </c>
      <c r="G151" t="s">
        <v>745</v>
      </c>
      <c r="H151" t="s">
        <v>67</v>
      </c>
      <c r="I151" t="s">
        <v>67</v>
      </c>
      <c r="J151" t="s">
        <v>26</v>
      </c>
      <c r="K151" t="s">
        <v>149</v>
      </c>
      <c r="L151" s="2">
        <v>37391.056319351141</v>
      </c>
      <c r="M151" s="3">
        <v>0</v>
      </c>
      <c r="N151" s="3">
        <v>0</v>
      </c>
      <c r="O151" s="3">
        <v>0.29136378010143832</v>
      </c>
      <c r="P151" s="3">
        <v>0.70863621989844783</v>
      </c>
      <c r="Q151" s="3">
        <v>1.1390888232654111E-13</v>
      </c>
      <c r="R151" s="3">
        <v>0.99999999999988609</v>
      </c>
      <c r="S151" t="s">
        <v>44</v>
      </c>
      <c r="T151" s="4">
        <f t="shared" si="2"/>
        <v>270.86</v>
      </c>
    </row>
    <row r="152" spans="1:20" x14ac:dyDescent="0.2">
      <c r="A152">
        <v>151</v>
      </c>
      <c r="B152">
        <v>1</v>
      </c>
      <c r="C152" t="s">
        <v>746</v>
      </c>
      <c r="D152" t="s">
        <v>747</v>
      </c>
      <c r="E152" t="s">
        <v>360</v>
      </c>
      <c r="F152" t="s">
        <v>748</v>
      </c>
      <c r="G152" t="s">
        <v>749</v>
      </c>
      <c r="H152" t="s">
        <v>67</v>
      </c>
      <c r="I152" t="s">
        <v>67</v>
      </c>
      <c r="J152" t="s">
        <v>92</v>
      </c>
      <c r="K152" t="s">
        <v>750</v>
      </c>
      <c r="L152" s="2">
        <v>37391.056319342293</v>
      </c>
      <c r="M152" s="3">
        <v>0</v>
      </c>
      <c r="N152" s="3">
        <v>0</v>
      </c>
      <c r="O152" s="3">
        <v>0.1240855268172957</v>
      </c>
      <c r="P152" s="3">
        <v>0</v>
      </c>
      <c r="Q152" s="3">
        <v>0.87591447318270421</v>
      </c>
      <c r="R152" s="3">
        <v>0.1240855268172957</v>
      </c>
      <c r="S152" t="s">
        <v>36</v>
      </c>
      <c r="T152" s="4">
        <f t="shared" si="2"/>
        <v>24.82</v>
      </c>
    </row>
    <row r="153" spans="1:20" x14ac:dyDescent="0.2">
      <c r="A153">
        <v>152</v>
      </c>
      <c r="B153">
        <v>1</v>
      </c>
      <c r="C153" t="s">
        <v>751</v>
      </c>
      <c r="D153" t="s">
        <v>752</v>
      </c>
      <c r="E153" t="s">
        <v>371</v>
      </c>
      <c r="H153" t="s">
        <v>67</v>
      </c>
      <c r="I153" t="s">
        <v>67</v>
      </c>
      <c r="J153" t="s">
        <v>34</v>
      </c>
      <c r="K153" t="s">
        <v>753</v>
      </c>
      <c r="L153" s="2">
        <v>37391.056319342293</v>
      </c>
      <c r="M153" s="3">
        <v>0</v>
      </c>
      <c r="N153" s="3">
        <v>0</v>
      </c>
      <c r="O153" s="3">
        <v>0.33657201992207142</v>
      </c>
      <c r="P153" s="3">
        <v>0.66342798007809745</v>
      </c>
      <c r="Q153" s="3">
        <v>0</v>
      </c>
      <c r="R153" s="3">
        <v>1.000000000000169</v>
      </c>
      <c r="S153" t="s">
        <v>44</v>
      </c>
      <c r="T153" s="4">
        <f t="shared" si="2"/>
        <v>266.33999999999997</v>
      </c>
    </row>
    <row r="154" spans="1:20" x14ac:dyDescent="0.2">
      <c r="A154">
        <v>153</v>
      </c>
      <c r="B154">
        <v>1</v>
      </c>
      <c r="C154" t="s">
        <v>754</v>
      </c>
      <c r="D154" t="s">
        <v>755</v>
      </c>
      <c r="E154" t="s">
        <v>756</v>
      </c>
      <c r="H154" t="s">
        <v>25</v>
      </c>
      <c r="I154" t="s">
        <v>25</v>
      </c>
      <c r="J154" t="s">
        <v>34</v>
      </c>
      <c r="K154" t="s">
        <v>230</v>
      </c>
      <c r="L154" s="2">
        <v>37391.056319351141</v>
      </c>
      <c r="M154" s="3">
        <v>0</v>
      </c>
      <c r="N154" s="3">
        <v>0</v>
      </c>
      <c r="O154" s="3">
        <v>0.34349602228995768</v>
      </c>
      <c r="P154" s="3">
        <v>0.65650397770991364</v>
      </c>
      <c r="Q154" s="3">
        <v>1.2867484855405559E-13</v>
      </c>
      <c r="R154" s="3">
        <v>0.99999999999987133</v>
      </c>
      <c r="S154" t="s">
        <v>44</v>
      </c>
      <c r="T154" s="4">
        <f t="shared" si="2"/>
        <v>265.64999999999998</v>
      </c>
    </row>
    <row r="155" spans="1:20" x14ac:dyDescent="0.2">
      <c r="A155">
        <v>154</v>
      </c>
      <c r="B155">
        <v>1</v>
      </c>
      <c r="C155" t="s">
        <v>757</v>
      </c>
      <c r="D155" t="s">
        <v>758</v>
      </c>
      <c r="E155" t="s">
        <v>759</v>
      </c>
      <c r="F155" t="s">
        <v>760</v>
      </c>
      <c r="G155" t="s">
        <v>761</v>
      </c>
      <c r="H155" t="s">
        <v>67</v>
      </c>
      <c r="I155" t="s">
        <v>67</v>
      </c>
      <c r="J155" t="s">
        <v>34</v>
      </c>
      <c r="K155" t="s">
        <v>271</v>
      </c>
      <c r="L155" s="2">
        <v>37391.056319342293</v>
      </c>
      <c r="M155" s="3">
        <v>6.3193819836766169E-2</v>
      </c>
      <c r="N155" s="3">
        <v>0</v>
      </c>
      <c r="O155" s="3">
        <v>0.25687077556898202</v>
      </c>
      <c r="P155" s="3">
        <v>0</v>
      </c>
      <c r="Q155" s="3">
        <v>0.67993540459425184</v>
      </c>
      <c r="R155" s="3">
        <v>0.25687077556898202</v>
      </c>
      <c r="S155" t="s">
        <v>69</v>
      </c>
      <c r="T155" s="4">
        <f t="shared" si="2"/>
        <v>57.69</v>
      </c>
    </row>
    <row r="156" spans="1:20" x14ac:dyDescent="0.2">
      <c r="A156">
        <v>155</v>
      </c>
      <c r="B156">
        <v>1</v>
      </c>
      <c r="C156" t="s">
        <v>762</v>
      </c>
      <c r="D156" t="s">
        <v>763</v>
      </c>
      <c r="E156" t="s">
        <v>303</v>
      </c>
      <c r="H156" t="s">
        <v>67</v>
      </c>
      <c r="I156" t="s">
        <v>67</v>
      </c>
      <c r="J156" t="s">
        <v>26</v>
      </c>
      <c r="K156" t="s">
        <v>705</v>
      </c>
      <c r="L156" s="2">
        <v>37391.056319351141</v>
      </c>
      <c r="M156" s="3">
        <v>0.16193086371786189</v>
      </c>
      <c r="N156" s="3">
        <v>0</v>
      </c>
      <c r="O156" s="3">
        <v>0.37129863864335411</v>
      </c>
      <c r="P156" s="3">
        <v>8.4343847513555961E-2</v>
      </c>
      <c r="Q156" s="3">
        <v>0.38242665012522808</v>
      </c>
      <c r="R156" s="3">
        <v>0.45564248615691011</v>
      </c>
      <c r="S156" t="s">
        <v>125</v>
      </c>
      <c r="T156" s="4">
        <f t="shared" si="2"/>
        <v>115.76</v>
      </c>
    </row>
    <row r="157" spans="1:20" x14ac:dyDescent="0.2">
      <c r="A157">
        <v>156</v>
      </c>
      <c r="B157">
        <v>3</v>
      </c>
      <c r="C157" t="s">
        <v>764</v>
      </c>
      <c r="D157" t="s">
        <v>765</v>
      </c>
      <c r="E157" t="s">
        <v>383</v>
      </c>
      <c r="H157" t="s">
        <v>67</v>
      </c>
      <c r="I157" t="s">
        <v>67</v>
      </c>
      <c r="J157" t="s">
        <v>34</v>
      </c>
      <c r="K157" t="s">
        <v>56</v>
      </c>
      <c r="L157" s="2">
        <v>112173.1689580269</v>
      </c>
      <c r="M157" s="3">
        <v>0</v>
      </c>
      <c r="N157" s="3">
        <v>0</v>
      </c>
      <c r="O157" s="3">
        <v>0.2079824497383192</v>
      </c>
      <c r="P157" s="3">
        <v>7.046597998622446E-3</v>
      </c>
      <c r="Q157" s="3">
        <v>0.78497095226305824</v>
      </c>
      <c r="R157" s="3">
        <v>0.21502904773694159</v>
      </c>
      <c r="S157" t="s">
        <v>69</v>
      </c>
      <c r="T157" s="4">
        <f t="shared" si="2"/>
        <v>43.71</v>
      </c>
    </row>
    <row r="158" spans="1:20" x14ac:dyDescent="0.2">
      <c r="A158">
        <v>157</v>
      </c>
      <c r="B158">
        <v>1</v>
      </c>
      <c r="C158" t="s">
        <v>766</v>
      </c>
      <c r="D158" t="s">
        <v>767</v>
      </c>
      <c r="E158" t="s">
        <v>768</v>
      </c>
      <c r="F158" t="s">
        <v>769</v>
      </c>
      <c r="G158" t="s">
        <v>770</v>
      </c>
      <c r="H158" t="s">
        <v>67</v>
      </c>
      <c r="I158" t="s">
        <v>67</v>
      </c>
      <c r="J158" t="s">
        <v>34</v>
      </c>
      <c r="K158" t="s">
        <v>771</v>
      </c>
      <c r="L158" s="2">
        <v>37391.056319342293</v>
      </c>
      <c r="M158" s="3">
        <v>0</v>
      </c>
      <c r="N158" s="3">
        <v>0</v>
      </c>
      <c r="O158" s="3">
        <v>0.1045845468161838</v>
      </c>
      <c r="P158" s="3">
        <v>0.89541545318381888</v>
      </c>
      <c r="Q158" s="3">
        <v>0</v>
      </c>
      <c r="R158" s="3">
        <v>1.0000000000000031</v>
      </c>
      <c r="S158" t="s">
        <v>44</v>
      </c>
      <c r="T158" s="4">
        <f t="shared" si="2"/>
        <v>289.54000000000002</v>
      </c>
    </row>
    <row r="159" spans="1:20" x14ac:dyDescent="0.2">
      <c r="A159">
        <v>158</v>
      </c>
      <c r="B159">
        <v>2</v>
      </c>
      <c r="C159" t="s">
        <v>772</v>
      </c>
      <c r="D159" t="s">
        <v>773</v>
      </c>
      <c r="E159" t="s">
        <v>774</v>
      </c>
      <c r="H159" t="s">
        <v>67</v>
      </c>
      <c r="I159" t="s">
        <v>67</v>
      </c>
      <c r="J159" t="s">
        <v>34</v>
      </c>
      <c r="K159" t="s">
        <v>775</v>
      </c>
      <c r="L159" s="2">
        <v>74782.112638684586</v>
      </c>
      <c r="M159" s="3">
        <v>0.20545935228958731</v>
      </c>
      <c r="N159" s="3">
        <v>0</v>
      </c>
      <c r="O159" s="3">
        <v>0.24628359825232149</v>
      </c>
      <c r="P159" s="3">
        <v>0.33509593934434379</v>
      </c>
      <c r="Q159" s="3">
        <v>0.21316111011374739</v>
      </c>
      <c r="R159" s="3">
        <v>0.58137953759666527</v>
      </c>
      <c r="S159" t="s">
        <v>125</v>
      </c>
      <c r="T159" s="4">
        <f t="shared" si="2"/>
        <v>170.33</v>
      </c>
    </row>
    <row r="160" spans="1:20" x14ac:dyDescent="0.2">
      <c r="A160">
        <v>159</v>
      </c>
      <c r="B160">
        <v>3</v>
      </c>
      <c r="C160" t="s">
        <v>776</v>
      </c>
      <c r="D160" t="s">
        <v>777</v>
      </c>
      <c r="E160" t="s">
        <v>778</v>
      </c>
      <c r="F160" t="s">
        <v>779</v>
      </c>
      <c r="G160" t="s">
        <v>780</v>
      </c>
      <c r="H160" t="s">
        <v>67</v>
      </c>
      <c r="I160" t="s">
        <v>781</v>
      </c>
      <c r="J160" t="s">
        <v>26</v>
      </c>
      <c r="K160" t="s">
        <v>705</v>
      </c>
      <c r="L160" s="2">
        <v>112173.1689580269</v>
      </c>
      <c r="M160" s="3">
        <v>0</v>
      </c>
      <c r="N160" s="3">
        <v>0</v>
      </c>
      <c r="O160" s="3">
        <v>0.15240242586076469</v>
      </c>
      <c r="P160" s="3">
        <v>0.71495153906174602</v>
      </c>
      <c r="Q160" s="3">
        <v>0.1326460350774892</v>
      </c>
      <c r="R160" s="3">
        <v>0.86735396492251071</v>
      </c>
      <c r="S160" t="s">
        <v>44</v>
      </c>
      <c r="T160" s="4">
        <f t="shared" si="2"/>
        <v>244.97</v>
      </c>
    </row>
    <row r="161" spans="1:20" x14ac:dyDescent="0.2">
      <c r="A161">
        <v>160</v>
      </c>
      <c r="B161">
        <v>1</v>
      </c>
      <c r="C161" t="s">
        <v>782</v>
      </c>
      <c r="D161" t="s">
        <v>783</v>
      </c>
      <c r="E161" t="s">
        <v>784</v>
      </c>
      <c r="H161" t="s">
        <v>67</v>
      </c>
      <c r="I161" t="s">
        <v>67</v>
      </c>
      <c r="J161" t="s">
        <v>34</v>
      </c>
      <c r="K161" t="s">
        <v>585</v>
      </c>
      <c r="L161" s="2">
        <v>37391.056319342293</v>
      </c>
      <c r="M161" s="3">
        <v>0.12528484086625161</v>
      </c>
      <c r="N161" s="3">
        <v>0</v>
      </c>
      <c r="O161" s="3">
        <v>0.17002327617942761</v>
      </c>
      <c r="P161" s="3">
        <v>0</v>
      </c>
      <c r="Q161" s="3">
        <v>0.70469188295432073</v>
      </c>
      <c r="R161" s="3">
        <v>0.17002327617942761</v>
      </c>
      <c r="S161" t="s">
        <v>36</v>
      </c>
      <c r="T161" s="4">
        <f t="shared" si="2"/>
        <v>46.53</v>
      </c>
    </row>
    <row r="162" spans="1:20" x14ac:dyDescent="0.2">
      <c r="A162">
        <v>161</v>
      </c>
      <c r="B162">
        <v>1</v>
      </c>
      <c r="C162" t="s">
        <v>785</v>
      </c>
      <c r="D162" t="s">
        <v>786</v>
      </c>
      <c r="E162" t="s">
        <v>787</v>
      </c>
      <c r="H162" t="s">
        <v>67</v>
      </c>
      <c r="I162" t="s">
        <v>67</v>
      </c>
      <c r="J162" t="s">
        <v>34</v>
      </c>
      <c r="K162" t="s">
        <v>705</v>
      </c>
      <c r="L162" s="2">
        <v>37391.056319342293</v>
      </c>
      <c r="M162" s="3">
        <v>1.7082307638725449E-2</v>
      </c>
      <c r="N162" s="3">
        <v>0</v>
      </c>
      <c r="O162" s="3">
        <v>0.18990201015560701</v>
      </c>
      <c r="P162" s="3">
        <v>0.18316689629361521</v>
      </c>
      <c r="Q162" s="3">
        <v>0.60984878591205238</v>
      </c>
      <c r="R162" s="3">
        <v>0.37306890644922219</v>
      </c>
      <c r="S162" t="s">
        <v>69</v>
      </c>
      <c r="T162" s="4">
        <f t="shared" si="2"/>
        <v>94.64</v>
      </c>
    </row>
    <row r="163" spans="1:20" x14ac:dyDescent="0.2">
      <c r="A163">
        <v>162</v>
      </c>
      <c r="B163">
        <v>4</v>
      </c>
      <c r="C163" t="s">
        <v>788</v>
      </c>
      <c r="D163" t="s">
        <v>789</v>
      </c>
      <c r="E163" t="s">
        <v>790</v>
      </c>
      <c r="F163" t="s">
        <v>791</v>
      </c>
      <c r="G163" t="s">
        <v>792</v>
      </c>
      <c r="H163" t="s">
        <v>80</v>
      </c>
      <c r="I163" t="s">
        <v>793</v>
      </c>
      <c r="J163" t="s">
        <v>92</v>
      </c>
      <c r="K163" t="s">
        <v>626</v>
      </c>
      <c r="L163" s="2">
        <v>149564.2252773692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t="s">
        <v>28</v>
      </c>
      <c r="T163" s="4">
        <f t="shared" si="2"/>
        <v>100</v>
      </c>
    </row>
    <row r="164" spans="1:20" x14ac:dyDescent="0.2">
      <c r="A164">
        <v>163</v>
      </c>
      <c r="B164">
        <v>1</v>
      </c>
      <c r="C164" t="s">
        <v>794</v>
      </c>
      <c r="D164" t="s">
        <v>795</v>
      </c>
      <c r="E164" t="s">
        <v>796</v>
      </c>
      <c r="F164" t="s">
        <v>797</v>
      </c>
      <c r="G164" t="s">
        <v>798</v>
      </c>
      <c r="H164" t="s">
        <v>67</v>
      </c>
      <c r="I164" t="s">
        <v>67</v>
      </c>
      <c r="J164" t="s">
        <v>34</v>
      </c>
      <c r="K164" t="s">
        <v>149</v>
      </c>
      <c r="L164" s="2">
        <v>37391.056319342293</v>
      </c>
      <c r="M164" s="3">
        <v>0.30741489805451372</v>
      </c>
      <c r="N164" s="3">
        <v>0</v>
      </c>
      <c r="O164" s="3">
        <v>0.19225844690204991</v>
      </c>
      <c r="P164" s="3">
        <v>0</v>
      </c>
      <c r="Q164" s="3">
        <v>0.50032665504343643</v>
      </c>
      <c r="R164" s="3">
        <v>0.19225844690204991</v>
      </c>
      <c r="S164" t="s">
        <v>36</v>
      </c>
      <c r="T164" s="4">
        <f t="shared" si="2"/>
        <v>69.19</v>
      </c>
    </row>
    <row r="165" spans="1:20" x14ac:dyDescent="0.2">
      <c r="A165">
        <v>164</v>
      </c>
      <c r="B165">
        <v>1</v>
      </c>
      <c r="C165" t="s">
        <v>799</v>
      </c>
      <c r="D165" t="s">
        <v>800</v>
      </c>
      <c r="E165" t="s">
        <v>801</v>
      </c>
      <c r="H165" t="s">
        <v>25</v>
      </c>
      <c r="I165" t="s">
        <v>25</v>
      </c>
      <c r="J165" t="s">
        <v>26</v>
      </c>
      <c r="K165" t="s">
        <v>86</v>
      </c>
      <c r="L165" s="2">
        <v>37391.056319342293</v>
      </c>
      <c r="M165" s="3">
        <v>0</v>
      </c>
      <c r="N165" s="3">
        <v>0</v>
      </c>
      <c r="O165" s="3">
        <v>0.17903679602170261</v>
      </c>
      <c r="P165" s="3">
        <v>0.4398192634335546</v>
      </c>
      <c r="Q165" s="3">
        <v>0.38114394054474282</v>
      </c>
      <c r="R165" s="3">
        <v>0.61885605945525723</v>
      </c>
      <c r="S165" t="s">
        <v>44</v>
      </c>
      <c r="T165" s="4">
        <f t="shared" si="2"/>
        <v>167.75</v>
      </c>
    </row>
    <row r="166" spans="1:20" x14ac:dyDescent="0.2">
      <c r="A166">
        <v>166</v>
      </c>
      <c r="B166">
        <v>2</v>
      </c>
      <c r="C166" t="s">
        <v>802</v>
      </c>
      <c r="D166" t="s">
        <v>803</v>
      </c>
      <c r="E166" t="s">
        <v>804</v>
      </c>
      <c r="H166" t="s">
        <v>67</v>
      </c>
      <c r="I166" t="s">
        <v>67</v>
      </c>
      <c r="J166" t="s">
        <v>92</v>
      </c>
      <c r="K166" t="s">
        <v>210</v>
      </c>
      <c r="L166" s="2">
        <v>74782.112638684586</v>
      </c>
      <c r="M166" s="3">
        <v>0</v>
      </c>
      <c r="N166" s="3">
        <v>0</v>
      </c>
      <c r="O166" s="3">
        <v>0.49540290487871941</v>
      </c>
      <c r="P166" s="3">
        <v>0.50459709512117734</v>
      </c>
      <c r="Q166" s="3">
        <v>1.032507412901396E-13</v>
      </c>
      <c r="R166" s="3">
        <v>0.99999999999989675</v>
      </c>
      <c r="S166" t="s">
        <v>44</v>
      </c>
      <c r="T166" s="4">
        <f t="shared" si="2"/>
        <v>250.46</v>
      </c>
    </row>
    <row r="167" spans="1:20" x14ac:dyDescent="0.2">
      <c r="A167">
        <v>167</v>
      </c>
      <c r="B167">
        <v>1</v>
      </c>
      <c r="C167" t="s">
        <v>805</v>
      </c>
      <c r="D167" t="s">
        <v>806</v>
      </c>
      <c r="E167" t="s">
        <v>804</v>
      </c>
      <c r="F167" t="s">
        <v>807</v>
      </c>
      <c r="G167" t="s">
        <v>808</v>
      </c>
      <c r="H167" t="s">
        <v>25</v>
      </c>
      <c r="I167" t="s">
        <v>25</v>
      </c>
      <c r="J167" t="s">
        <v>34</v>
      </c>
      <c r="K167" t="s">
        <v>621</v>
      </c>
      <c r="L167" s="2">
        <v>37391.056319342293</v>
      </c>
      <c r="M167" s="3">
        <v>0.70351683265472842</v>
      </c>
      <c r="N167" s="3">
        <v>0</v>
      </c>
      <c r="O167" s="3">
        <v>0.27638723894162509</v>
      </c>
      <c r="P167" s="3">
        <v>0</v>
      </c>
      <c r="Q167" s="3">
        <v>2.009592840364649E-2</v>
      </c>
      <c r="R167" s="3">
        <v>0.27638723894162509</v>
      </c>
      <c r="S167" t="s">
        <v>69</v>
      </c>
      <c r="T167" s="4">
        <f t="shared" si="2"/>
        <v>125.63</v>
      </c>
    </row>
    <row r="168" spans="1:20" x14ac:dyDescent="0.2">
      <c r="A168">
        <v>168</v>
      </c>
      <c r="B168">
        <v>3</v>
      </c>
      <c r="C168" t="s">
        <v>809</v>
      </c>
      <c r="D168" t="s">
        <v>810</v>
      </c>
      <c r="E168" t="s">
        <v>804</v>
      </c>
      <c r="F168" t="s">
        <v>811</v>
      </c>
      <c r="G168" t="s">
        <v>812</v>
      </c>
      <c r="H168" t="s">
        <v>67</v>
      </c>
      <c r="I168" t="s">
        <v>67</v>
      </c>
      <c r="J168" t="s">
        <v>92</v>
      </c>
      <c r="K168" t="s">
        <v>266</v>
      </c>
      <c r="L168" s="2">
        <v>112173.1689580269</v>
      </c>
      <c r="M168" s="3">
        <v>0</v>
      </c>
      <c r="N168" s="3">
        <v>0</v>
      </c>
      <c r="O168" s="3">
        <v>0.25346993844747029</v>
      </c>
      <c r="P168" s="3">
        <v>0.5831438383085904</v>
      </c>
      <c r="Q168" s="3">
        <v>0.16338622324393909</v>
      </c>
      <c r="R168" s="3">
        <v>0.83661377675606063</v>
      </c>
      <c r="S168" t="s">
        <v>44</v>
      </c>
      <c r="T168" s="4">
        <f t="shared" si="2"/>
        <v>225.64</v>
      </c>
    </row>
    <row r="169" spans="1:20" x14ac:dyDescent="0.2">
      <c r="A169">
        <v>170</v>
      </c>
      <c r="B169">
        <v>1</v>
      </c>
      <c r="C169" t="s">
        <v>813</v>
      </c>
      <c r="D169" t="s">
        <v>814</v>
      </c>
      <c r="E169" t="s">
        <v>815</v>
      </c>
      <c r="F169" t="s">
        <v>816</v>
      </c>
      <c r="G169" t="s">
        <v>817</v>
      </c>
      <c r="H169" t="s">
        <v>25</v>
      </c>
      <c r="I169" t="s">
        <v>25</v>
      </c>
      <c r="J169" t="s">
        <v>26</v>
      </c>
      <c r="K169" t="s">
        <v>818</v>
      </c>
      <c r="L169" s="2">
        <v>37391.056319342293</v>
      </c>
      <c r="M169" s="3">
        <v>0</v>
      </c>
      <c r="N169" s="3">
        <v>0</v>
      </c>
      <c r="O169" s="3">
        <v>0.47094084873540992</v>
      </c>
      <c r="P169" s="3">
        <v>0.52905915126486391</v>
      </c>
      <c r="Q169" s="3">
        <v>0</v>
      </c>
      <c r="R169" s="3">
        <v>1.000000000000274</v>
      </c>
      <c r="S169" t="s">
        <v>44</v>
      </c>
      <c r="T169" s="4">
        <f t="shared" si="2"/>
        <v>252.91</v>
      </c>
    </row>
    <row r="170" spans="1:20" x14ac:dyDescent="0.2">
      <c r="A170">
        <v>171</v>
      </c>
      <c r="B170">
        <v>1</v>
      </c>
      <c r="C170" t="s">
        <v>819</v>
      </c>
      <c r="D170" t="s">
        <v>820</v>
      </c>
      <c r="E170" t="s">
        <v>821</v>
      </c>
      <c r="H170" t="s">
        <v>25</v>
      </c>
      <c r="I170" t="s">
        <v>25</v>
      </c>
      <c r="J170" t="s">
        <v>34</v>
      </c>
      <c r="K170" t="s">
        <v>621</v>
      </c>
      <c r="L170" s="2">
        <v>37391.056319342293</v>
      </c>
      <c r="M170" s="3">
        <v>7.0202522679314247E-2</v>
      </c>
      <c r="N170" s="3">
        <v>0</v>
      </c>
      <c r="O170" s="3">
        <v>0.35468972820165778</v>
      </c>
      <c r="P170" s="3">
        <v>0.55412657307030688</v>
      </c>
      <c r="Q170" s="3">
        <v>2.098117604872107E-2</v>
      </c>
      <c r="R170" s="3">
        <v>0.90881630127196467</v>
      </c>
      <c r="S170" t="s">
        <v>44</v>
      </c>
      <c r="T170" s="4">
        <f t="shared" si="2"/>
        <v>244.2</v>
      </c>
    </row>
    <row r="171" spans="1:20" x14ac:dyDescent="0.2">
      <c r="A171">
        <v>172</v>
      </c>
      <c r="B171">
        <v>1</v>
      </c>
      <c r="C171" t="s">
        <v>822</v>
      </c>
      <c r="D171" t="s">
        <v>823</v>
      </c>
      <c r="E171" t="s">
        <v>824</v>
      </c>
      <c r="H171" t="s">
        <v>67</v>
      </c>
      <c r="I171" t="s">
        <v>67</v>
      </c>
      <c r="J171" t="s">
        <v>34</v>
      </c>
      <c r="K171" t="s">
        <v>639</v>
      </c>
      <c r="L171" s="2">
        <v>37391.056319342293</v>
      </c>
      <c r="M171" s="3">
        <v>8.7540609080608029E-3</v>
      </c>
      <c r="N171" s="3">
        <v>0</v>
      </c>
      <c r="O171" s="3">
        <v>0.34939094625636619</v>
      </c>
      <c r="P171" s="3">
        <v>0.49014521943853429</v>
      </c>
      <c r="Q171" s="3">
        <v>0.1517097733970387</v>
      </c>
      <c r="R171" s="3">
        <v>0.83953616569490053</v>
      </c>
      <c r="S171" t="s">
        <v>44</v>
      </c>
      <c r="T171" s="4">
        <f t="shared" si="2"/>
        <v>217.8</v>
      </c>
    </row>
    <row r="172" spans="1:20" x14ac:dyDescent="0.2">
      <c r="A172">
        <v>173</v>
      </c>
      <c r="B172">
        <v>1</v>
      </c>
      <c r="C172" t="s">
        <v>825</v>
      </c>
      <c r="D172" t="s">
        <v>826</v>
      </c>
      <c r="E172" t="s">
        <v>827</v>
      </c>
      <c r="H172" t="s">
        <v>67</v>
      </c>
      <c r="I172" t="s">
        <v>67</v>
      </c>
      <c r="J172" t="s">
        <v>34</v>
      </c>
      <c r="K172" t="s">
        <v>753</v>
      </c>
      <c r="L172" s="2">
        <v>37391.056319342293</v>
      </c>
      <c r="M172" s="3">
        <v>0</v>
      </c>
      <c r="N172" s="3">
        <v>0</v>
      </c>
      <c r="O172" s="3">
        <v>0.41039465028519068</v>
      </c>
      <c r="P172" s="3">
        <v>0.58960534971487921</v>
      </c>
      <c r="Q172" s="3">
        <v>0</v>
      </c>
      <c r="R172" s="3">
        <v>1.0000000000000699</v>
      </c>
      <c r="S172" t="s">
        <v>44</v>
      </c>
      <c r="T172" s="4">
        <f t="shared" si="2"/>
        <v>258.95999999999998</v>
      </c>
    </row>
    <row r="173" spans="1:20" x14ac:dyDescent="0.2">
      <c r="A173">
        <v>174</v>
      </c>
      <c r="B173">
        <v>1</v>
      </c>
      <c r="C173" t="s">
        <v>828</v>
      </c>
      <c r="D173" t="s">
        <v>829</v>
      </c>
      <c r="E173" t="s">
        <v>830</v>
      </c>
      <c r="F173" t="s">
        <v>831</v>
      </c>
      <c r="G173" t="s">
        <v>832</v>
      </c>
      <c r="H173" t="s">
        <v>67</v>
      </c>
      <c r="I173" t="s">
        <v>67</v>
      </c>
      <c r="J173" t="s">
        <v>34</v>
      </c>
      <c r="K173" t="s">
        <v>818</v>
      </c>
      <c r="L173" s="2">
        <v>37391.056319342293</v>
      </c>
      <c r="M173" s="3">
        <v>0.86668384048896396</v>
      </c>
      <c r="N173" s="3">
        <v>0</v>
      </c>
      <c r="O173" s="3">
        <v>0.1056745958040779</v>
      </c>
      <c r="P173" s="3">
        <v>1.213029473587389E-4</v>
      </c>
      <c r="Q173" s="3">
        <v>2.752026075959935E-2</v>
      </c>
      <c r="R173" s="3">
        <v>0.10579589875143661</v>
      </c>
      <c r="S173" t="s">
        <v>36</v>
      </c>
      <c r="T173" s="4">
        <f t="shared" si="2"/>
        <v>107.84</v>
      </c>
    </row>
    <row r="174" spans="1:20" x14ac:dyDescent="0.2">
      <c r="A174">
        <v>175</v>
      </c>
      <c r="B174">
        <v>1</v>
      </c>
      <c r="C174" t="s">
        <v>833</v>
      </c>
      <c r="D174" t="s">
        <v>834</v>
      </c>
      <c r="E174" t="s">
        <v>830</v>
      </c>
      <c r="F174" t="s">
        <v>835</v>
      </c>
      <c r="G174" t="s">
        <v>836</v>
      </c>
      <c r="H174" t="s">
        <v>67</v>
      </c>
      <c r="I174" t="s">
        <v>67</v>
      </c>
      <c r="J174" t="s">
        <v>26</v>
      </c>
      <c r="K174" t="s">
        <v>650</v>
      </c>
      <c r="L174" s="2">
        <v>37391.056319342293</v>
      </c>
      <c r="M174" s="3">
        <v>6.5754345752779284E-3</v>
      </c>
      <c r="N174" s="3">
        <v>0</v>
      </c>
      <c r="O174" s="3">
        <v>0.24156861510662561</v>
      </c>
      <c r="P174" s="3">
        <v>0.23022441636750299</v>
      </c>
      <c r="Q174" s="3">
        <v>0.52163153395059336</v>
      </c>
      <c r="R174" s="3">
        <v>0.47179303147412871</v>
      </c>
      <c r="S174" t="s">
        <v>125</v>
      </c>
      <c r="T174" s="4">
        <f t="shared" si="2"/>
        <v>118.04</v>
      </c>
    </row>
    <row r="175" spans="1:20" x14ac:dyDescent="0.2">
      <c r="A175">
        <v>176</v>
      </c>
      <c r="B175">
        <v>1</v>
      </c>
      <c r="C175" t="s">
        <v>837</v>
      </c>
      <c r="D175" t="s">
        <v>838</v>
      </c>
      <c r="E175" t="s">
        <v>830</v>
      </c>
      <c r="F175" t="s">
        <v>839</v>
      </c>
      <c r="G175" t="s">
        <v>840</v>
      </c>
      <c r="H175" t="s">
        <v>67</v>
      </c>
      <c r="I175" t="s">
        <v>841</v>
      </c>
      <c r="J175" t="s">
        <v>92</v>
      </c>
      <c r="K175" t="s">
        <v>626</v>
      </c>
      <c r="L175" s="2">
        <v>37391.056319342293</v>
      </c>
      <c r="M175" s="3">
        <v>1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t="s">
        <v>28</v>
      </c>
      <c r="T175" s="4">
        <f t="shared" si="2"/>
        <v>100</v>
      </c>
    </row>
    <row r="176" spans="1:20" x14ac:dyDescent="0.2">
      <c r="A176">
        <v>177</v>
      </c>
      <c r="B176">
        <v>1</v>
      </c>
      <c r="C176" t="s">
        <v>842</v>
      </c>
      <c r="D176" t="s">
        <v>843</v>
      </c>
      <c r="E176" t="s">
        <v>830</v>
      </c>
      <c r="F176" t="s">
        <v>844</v>
      </c>
      <c r="G176" t="s">
        <v>845</v>
      </c>
      <c r="H176" t="s">
        <v>67</v>
      </c>
      <c r="I176" t="s">
        <v>67</v>
      </c>
      <c r="J176" t="s">
        <v>34</v>
      </c>
      <c r="K176" t="s">
        <v>210</v>
      </c>
      <c r="L176" s="2">
        <v>37391.056319342293</v>
      </c>
      <c r="M176" s="3">
        <v>0.60872547457997139</v>
      </c>
      <c r="N176" s="3">
        <v>0</v>
      </c>
      <c r="O176" s="3">
        <v>1.4126954088211531E-2</v>
      </c>
      <c r="P176" s="3">
        <v>7.5209633152509267E-2</v>
      </c>
      <c r="Q176" s="3">
        <v>0.30193793817930781</v>
      </c>
      <c r="R176" s="3">
        <v>8.9336587240720799E-2</v>
      </c>
      <c r="S176" t="s">
        <v>28</v>
      </c>
      <c r="T176" s="4">
        <f t="shared" si="2"/>
        <v>86.26</v>
      </c>
    </row>
    <row r="177" spans="1:20" x14ac:dyDescent="0.2">
      <c r="A177">
        <v>179</v>
      </c>
      <c r="B177">
        <v>1</v>
      </c>
      <c r="C177" t="s">
        <v>846</v>
      </c>
      <c r="D177" t="s">
        <v>847</v>
      </c>
      <c r="E177" t="s">
        <v>848</v>
      </c>
      <c r="F177" t="s">
        <v>849</v>
      </c>
      <c r="G177" t="s">
        <v>850</v>
      </c>
      <c r="H177" t="s">
        <v>25</v>
      </c>
      <c r="I177" t="s">
        <v>25</v>
      </c>
      <c r="J177" t="s">
        <v>26</v>
      </c>
      <c r="K177" t="s">
        <v>86</v>
      </c>
      <c r="L177" s="2">
        <v>37391.056319342293</v>
      </c>
      <c r="M177" s="3">
        <v>0</v>
      </c>
      <c r="N177" s="3">
        <v>0</v>
      </c>
      <c r="O177" s="3">
        <v>0.19488398444407171</v>
      </c>
      <c r="P177" s="3">
        <v>0.23961522963142531</v>
      </c>
      <c r="Q177" s="3">
        <v>0.56550078592450304</v>
      </c>
      <c r="R177" s="3">
        <v>0.43449921407549702</v>
      </c>
      <c r="S177" t="s">
        <v>125</v>
      </c>
      <c r="T177" s="4">
        <f t="shared" si="2"/>
        <v>110.86</v>
      </c>
    </row>
    <row r="178" spans="1:20" x14ac:dyDescent="0.2">
      <c r="A178">
        <v>180</v>
      </c>
      <c r="B178">
        <v>1</v>
      </c>
      <c r="C178" t="s">
        <v>851</v>
      </c>
      <c r="D178" t="s">
        <v>852</v>
      </c>
      <c r="E178" t="s">
        <v>853</v>
      </c>
      <c r="F178" t="s">
        <v>854</v>
      </c>
      <c r="G178" t="s">
        <v>855</v>
      </c>
      <c r="H178" t="s">
        <v>67</v>
      </c>
      <c r="I178" t="s">
        <v>67</v>
      </c>
      <c r="J178" t="s">
        <v>26</v>
      </c>
      <c r="K178" t="s">
        <v>193</v>
      </c>
      <c r="L178" s="2">
        <v>37391.056319342293</v>
      </c>
      <c r="M178" s="3">
        <v>0</v>
      </c>
      <c r="N178" s="3">
        <v>0</v>
      </c>
      <c r="O178" s="3">
        <v>0.11198581150213061</v>
      </c>
      <c r="P178" s="3">
        <v>0.88801418849785063</v>
      </c>
      <c r="Q178" s="3">
        <v>1.8762769116165149E-14</v>
      </c>
      <c r="R178" s="3">
        <v>0.99999999999998124</v>
      </c>
      <c r="S178" t="s">
        <v>44</v>
      </c>
      <c r="T178" s="4">
        <f t="shared" si="2"/>
        <v>288.8</v>
      </c>
    </row>
    <row r="179" spans="1:20" x14ac:dyDescent="0.2">
      <c r="A179">
        <v>181</v>
      </c>
      <c r="B179">
        <v>3</v>
      </c>
      <c r="C179" t="s">
        <v>856</v>
      </c>
      <c r="D179" t="s">
        <v>857</v>
      </c>
      <c r="E179" t="s">
        <v>858</v>
      </c>
      <c r="H179" t="s">
        <v>67</v>
      </c>
      <c r="I179" t="s">
        <v>67</v>
      </c>
      <c r="J179" t="s">
        <v>26</v>
      </c>
      <c r="K179" t="s">
        <v>540</v>
      </c>
      <c r="L179" s="2">
        <v>112173.1689580269</v>
      </c>
      <c r="M179" s="3">
        <v>0</v>
      </c>
      <c r="N179" s="3">
        <v>0</v>
      </c>
      <c r="O179" s="3">
        <v>0.27184905532449211</v>
      </c>
      <c r="P179" s="3">
        <v>0.41456295626134781</v>
      </c>
      <c r="Q179" s="3">
        <v>0.31358798841416008</v>
      </c>
      <c r="R179" s="3">
        <v>0.68641201158583987</v>
      </c>
      <c r="S179" t="s">
        <v>44</v>
      </c>
      <c r="T179" s="4">
        <f t="shared" si="2"/>
        <v>178.74</v>
      </c>
    </row>
    <row r="180" spans="1:20" x14ac:dyDescent="0.2">
      <c r="A180">
        <v>182</v>
      </c>
      <c r="B180">
        <v>4</v>
      </c>
      <c r="C180" t="s">
        <v>859</v>
      </c>
      <c r="D180" t="s">
        <v>860</v>
      </c>
      <c r="E180" t="s">
        <v>861</v>
      </c>
      <c r="H180" t="s">
        <v>67</v>
      </c>
      <c r="I180" t="s">
        <v>67</v>
      </c>
      <c r="J180" t="s">
        <v>26</v>
      </c>
      <c r="K180" t="s">
        <v>585</v>
      </c>
      <c r="L180" s="2">
        <v>149564.2252773692</v>
      </c>
      <c r="M180" s="3">
        <v>2.087520493344211E-2</v>
      </c>
      <c r="N180" s="3">
        <v>0</v>
      </c>
      <c r="O180" s="3">
        <v>0.45824060299638952</v>
      </c>
      <c r="P180" s="3">
        <v>0.24808900651851709</v>
      </c>
      <c r="Q180" s="3">
        <v>0.27279518555165128</v>
      </c>
      <c r="R180" s="3">
        <v>0.70632960951490653</v>
      </c>
      <c r="S180" t="s">
        <v>44</v>
      </c>
      <c r="T180" s="4">
        <f t="shared" si="2"/>
        <v>168.16</v>
      </c>
    </row>
    <row r="181" spans="1:20" x14ac:dyDescent="0.2">
      <c r="A181">
        <v>183</v>
      </c>
      <c r="B181">
        <v>1</v>
      </c>
      <c r="C181" t="s">
        <v>862</v>
      </c>
      <c r="D181" t="s">
        <v>863</v>
      </c>
      <c r="E181" t="s">
        <v>456</v>
      </c>
      <c r="F181" t="s">
        <v>864</v>
      </c>
      <c r="G181" t="s">
        <v>865</v>
      </c>
      <c r="H181" t="s">
        <v>25</v>
      </c>
      <c r="I181" t="s">
        <v>25</v>
      </c>
      <c r="J181" t="s">
        <v>92</v>
      </c>
      <c r="K181" t="s">
        <v>230</v>
      </c>
      <c r="L181" s="2">
        <v>37391.056319342293</v>
      </c>
      <c r="M181" s="3">
        <v>0.74093846937911667</v>
      </c>
      <c r="N181" s="3">
        <v>0</v>
      </c>
      <c r="O181" s="3">
        <v>0.25906153062108778</v>
      </c>
      <c r="P181" s="3">
        <v>0</v>
      </c>
      <c r="Q181" s="3">
        <v>0</v>
      </c>
      <c r="R181" s="3">
        <v>0.25906153062108778</v>
      </c>
      <c r="S181" t="s">
        <v>69</v>
      </c>
      <c r="T181" s="4">
        <f t="shared" si="2"/>
        <v>125.91</v>
      </c>
    </row>
    <row r="182" spans="1:20" x14ac:dyDescent="0.2">
      <c r="A182">
        <v>184</v>
      </c>
      <c r="B182">
        <v>1</v>
      </c>
      <c r="C182" t="s">
        <v>866</v>
      </c>
      <c r="D182" t="s">
        <v>867</v>
      </c>
      <c r="E182" t="s">
        <v>868</v>
      </c>
      <c r="H182" t="s">
        <v>80</v>
      </c>
      <c r="I182" t="s">
        <v>80</v>
      </c>
      <c r="J182" t="s">
        <v>26</v>
      </c>
      <c r="K182" t="s">
        <v>149</v>
      </c>
      <c r="L182" s="2">
        <v>37391.056319342293</v>
      </c>
      <c r="M182" s="3">
        <v>0.85998272441303536</v>
      </c>
      <c r="N182" s="3">
        <v>0</v>
      </c>
      <c r="O182" s="3">
        <v>0.1400172755869718</v>
      </c>
      <c r="P182" s="3">
        <v>0</v>
      </c>
      <c r="Q182" s="3">
        <v>0</v>
      </c>
      <c r="R182" s="3">
        <v>0.1400172755869718</v>
      </c>
      <c r="S182" t="s">
        <v>36</v>
      </c>
      <c r="T182" s="4">
        <f t="shared" si="2"/>
        <v>114</v>
      </c>
    </row>
    <row r="183" spans="1:20" x14ac:dyDescent="0.2">
      <c r="A183">
        <v>185</v>
      </c>
      <c r="B183">
        <v>1</v>
      </c>
      <c r="C183" t="s">
        <v>869</v>
      </c>
      <c r="D183" t="s">
        <v>870</v>
      </c>
      <c r="E183" t="s">
        <v>871</v>
      </c>
      <c r="F183" t="s">
        <v>872</v>
      </c>
      <c r="G183" t="s">
        <v>345</v>
      </c>
      <c r="H183" t="s">
        <v>25</v>
      </c>
      <c r="I183" t="s">
        <v>25</v>
      </c>
      <c r="J183" t="s">
        <v>92</v>
      </c>
      <c r="K183" t="s">
        <v>118</v>
      </c>
      <c r="L183" s="2">
        <v>37391.056319342293</v>
      </c>
      <c r="M183" s="3">
        <v>0.5033647317636375</v>
      </c>
      <c r="N183" s="3">
        <v>0</v>
      </c>
      <c r="O183" s="3">
        <v>0.27657683195816479</v>
      </c>
      <c r="P183" s="3">
        <v>6.8244430639713988E-3</v>
      </c>
      <c r="Q183" s="3">
        <v>0.2132339932142262</v>
      </c>
      <c r="R183" s="3">
        <v>0.28340127502213619</v>
      </c>
      <c r="S183" t="s">
        <v>69</v>
      </c>
      <c r="T183" s="4">
        <f t="shared" si="2"/>
        <v>107.7</v>
      </c>
    </row>
    <row r="184" spans="1:20" x14ac:dyDescent="0.2">
      <c r="A184">
        <v>186</v>
      </c>
      <c r="B184">
        <v>1</v>
      </c>
      <c r="C184" t="s">
        <v>873</v>
      </c>
      <c r="D184" t="s">
        <v>874</v>
      </c>
      <c r="E184" t="s">
        <v>871</v>
      </c>
      <c r="F184" t="s">
        <v>875</v>
      </c>
      <c r="G184" t="s">
        <v>876</v>
      </c>
      <c r="H184" t="s">
        <v>25</v>
      </c>
      <c r="I184" t="s">
        <v>877</v>
      </c>
      <c r="J184" t="s">
        <v>92</v>
      </c>
      <c r="K184" t="s">
        <v>878</v>
      </c>
      <c r="L184" s="2">
        <v>37391.056319342293</v>
      </c>
      <c r="M184" s="3">
        <v>0.36804947407402561</v>
      </c>
      <c r="N184" s="3">
        <v>0.12717553665035489</v>
      </c>
      <c r="O184" s="3">
        <v>0.29284582694995648</v>
      </c>
      <c r="P184" s="3">
        <v>0.12274011889272669</v>
      </c>
      <c r="Q184" s="3">
        <v>8.9189043432936321E-2</v>
      </c>
      <c r="R184" s="3">
        <v>0.41558594584268321</v>
      </c>
      <c r="S184" t="s">
        <v>125</v>
      </c>
      <c r="T184" s="4">
        <f t="shared" si="2"/>
        <v>132.19999999999999</v>
      </c>
    </row>
    <row r="185" spans="1:20" x14ac:dyDescent="0.2">
      <c r="A185">
        <v>187</v>
      </c>
      <c r="B185">
        <v>1</v>
      </c>
      <c r="C185" t="s">
        <v>879</v>
      </c>
      <c r="D185" t="s">
        <v>880</v>
      </c>
      <c r="E185" t="s">
        <v>871</v>
      </c>
      <c r="F185" t="s">
        <v>881</v>
      </c>
      <c r="G185" t="s">
        <v>882</v>
      </c>
      <c r="H185" t="s">
        <v>67</v>
      </c>
      <c r="I185" t="s">
        <v>67</v>
      </c>
      <c r="J185" t="s">
        <v>26</v>
      </c>
      <c r="K185" t="s">
        <v>124</v>
      </c>
      <c r="L185" s="2">
        <v>37391.056319342293</v>
      </c>
      <c r="M185" s="3">
        <v>0.19328348374493851</v>
      </c>
      <c r="N185" s="3">
        <v>0</v>
      </c>
      <c r="O185" s="3">
        <v>0.31401103104300471</v>
      </c>
      <c r="P185" s="3">
        <v>0.35473878973074141</v>
      </c>
      <c r="Q185" s="3">
        <v>0.13796669548131521</v>
      </c>
      <c r="R185" s="3">
        <v>0.66874982077374612</v>
      </c>
      <c r="S185" t="s">
        <v>44</v>
      </c>
      <c r="T185" s="4">
        <f t="shared" si="2"/>
        <v>188.55</v>
      </c>
    </row>
    <row r="186" spans="1:20" x14ac:dyDescent="0.2">
      <c r="A186">
        <v>188</v>
      </c>
      <c r="B186">
        <v>1</v>
      </c>
      <c r="C186" t="s">
        <v>883</v>
      </c>
      <c r="D186" t="s">
        <v>884</v>
      </c>
      <c r="E186" t="s">
        <v>871</v>
      </c>
      <c r="F186" t="s">
        <v>885</v>
      </c>
      <c r="G186" t="s">
        <v>886</v>
      </c>
      <c r="H186" t="s">
        <v>67</v>
      </c>
      <c r="I186" t="s">
        <v>67</v>
      </c>
      <c r="J186" t="s">
        <v>26</v>
      </c>
      <c r="K186" t="s">
        <v>561</v>
      </c>
      <c r="L186" s="2">
        <v>37391.056319342293</v>
      </c>
      <c r="M186" s="3">
        <v>2.6457167574566328E-3</v>
      </c>
      <c r="N186" s="3">
        <v>0</v>
      </c>
      <c r="O186" s="3">
        <v>0.15906669103814569</v>
      </c>
      <c r="P186" s="3">
        <v>0.1521239332059599</v>
      </c>
      <c r="Q186" s="3">
        <v>0.68616365899843779</v>
      </c>
      <c r="R186" s="3">
        <v>0.3111906242441056</v>
      </c>
      <c r="S186" t="s">
        <v>69</v>
      </c>
      <c r="T186" s="4">
        <f t="shared" si="2"/>
        <v>77.72</v>
      </c>
    </row>
    <row r="187" spans="1:20" x14ac:dyDescent="0.2">
      <c r="A187">
        <v>189</v>
      </c>
      <c r="B187">
        <v>1</v>
      </c>
      <c r="C187" t="s">
        <v>887</v>
      </c>
      <c r="D187" t="s">
        <v>888</v>
      </c>
      <c r="E187" t="s">
        <v>871</v>
      </c>
      <c r="F187" t="s">
        <v>889</v>
      </c>
      <c r="G187" t="s">
        <v>890</v>
      </c>
      <c r="H187" t="s">
        <v>67</v>
      </c>
      <c r="I187" t="s">
        <v>67</v>
      </c>
      <c r="J187" t="s">
        <v>26</v>
      </c>
      <c r="K187" t="s">
        <v>891</v>
      </c>
      <c r="L187" s="2">
        <v>37391.056319342293</v>
      </c>
      <c r="M187" s="3">
        <v>0.30485134417238458</v>
      </c>
      <c r="N187" s="3">
        <v>0</v>
      </c>
      <c r="O187" s="3">
        <v>0.47448759490708969</v>
      </c>
      <c r="P187" s="3">
        <v>4.9794136242511569E-2</v>
      </c>
      <c r="Q187" s="3">
        <v>0.17086692467801409</v>
      </c>
      <c r="R187" s="3">
        <v>0.5242817311496013</v>
      </c>
      <c r="S187" t="s">
        <v>125</v>
      </c>
      <c r="T187" s="4">
        <f t="shared" si="2"/>
        <v>140.32</v>
      </c>
    </row>
    <row r="188" spans="1:20" x14ac:dyDescent="0.2">
      <c r="A188">
        <v>190</v>
      </c>
      <c r="B188">
        <v>1</v>
      </c>
      <c r="C188" t="s">
        <v>892</v>
      </c>
      <c r="D188" t="s">
        <v>893</v>
      </c>
      <c r="E188" t="s">
        <v>894</v>
      </c>
      <c r="H188" t="s">
        <v>25</v>
      </c>
      <c r="I188" t="s">
        <v>25</v>
      </c>
      <c r="J188" t="s">
        <v>34</v>
      </c>
      <c r="K188" t="s">
        <v>878</v>
      </c>
      <c r="L188" s="2">
        <v>37391.056319342293</v>
      </c>
      <c r="M188" s="3">
        <v>0</v>
      </c>
      <c r="N188" s="3">
        <v>0</v>
      </c>
      <c r="O188" s="3">
        <v>0.3899312971434285</v>
      </c>
      <c r="P188" s="3">
        <v>0.61006870285668291</v>
      </c>
      <c r="Q188" s="3">
        <v>0</v>
      </c>
      <c r="R188" s="3">
        <v>1.000000000000111</v>
      </c>
      <c r="S188" t="s">
        <v>44</v>
      </c>
      <c r="T188" s="4">
        <f t="shared" si="2"/>
        <v>261.01</v>
      </c>
    </row>
    <row r="189" spans="1:20" x14ac:dyDescent="0.2">
      <c r="A189">
        <v>191</v>
      </c>
      <c r="B189">
        <v>1</v>
      </c>
      <c r="C189" t="s">
        <v>895</v>
      </c>
      <c r="D189" t="s">
        <v>896</v>
      </c>
      <c r="E189" t="s">
        <v>474</v>
      </c>
      <c r="F189" t="s">
        <v>897</v>
      </c>
      <c r="G189" t="s">
        <v>898</v>
      </c>
      <c r="H189" t="s">
        <v>25</v>
      </c>
      <c r="I189" t="s">
        <v>25</v>
      </c>
      <c r="J189" t="s">
        <v>26</v>
      </c>
      <c r="K189" t="s">
        <v>891</v>
      </c>
      <c r="L189" s="2">
        <v>37391.056319342293</v>
      </c>
      <c r="M189" s="3">
        <v>0.85169457487574707</v>
      </c>
      <c r="N189" s="3">
        <v>0</v>
      </c>
      <c r="O189" s="3">
        <v>3.3256408810874272E-2</v>
      </c>
      <c r="P189" s="3">
        <v>0</v>
      </c>
      <c r="Q189" s="3">
        <v>0.1150490163133786</v>
      </c>
      <c r="R189" s="3">
        <v>3.3256408810874272E-2</v>
      </c>
      <c r="S189" t="s">
        <v>28</v>
      </c>
      <c r="T189" s="4">
        <f t="shared" si="2"/>
        <v>91.82</v>
      </c>
    </row>
    <row r="190" spans="1:20" x14ac:dyDescent="0.2">
      <c r="A190">
        <v>192</v>
      </c>
      <c r="B190">
        <v>1</v>
      </c>
      <c r="C190" t="s">
        <v>899</v>
      </c>
      <c r="D190" t="s">
        <v>900</v>
      </c>
      <c r="E190" t="s">
        <v>474</v>
      </c>
      <c r="H190" t="s">
        <v>67</v>
      </c>
      <c r="I190" t="s">
        <v>67</v>
      </c>
      <c r="J190" t="s">
        <v>26</v>
      </c>
      <c r="K190" t="s">
        <v>161</v>
      </c>
      <c r="L190" s="2">
        <v>37391.056319342293</v>
      </c>
      <c r="M190" s="3">
        <v>8.2133683352227352E-14</v>
      </c>
      <c r="N190" s="3">
        <v>0</v>
      </c>
      <c r="O190" s="3">
        <v>0.37493398698530578</v>
      </c>
      <c r="P190" s="3">
        <v>0.62506601301451126</v>
      </c>
      <c r="Q190" s="3">
        <v>1.008082506359642E-13</v>
      </c>
      <c r="R190" s="3">
        <v>0.99999999999981704</v>
      </c>
      <c r="S190" t="s">
        <v>44</v>
      </c>
      <c r="T190" s="4">
        <f t="shared" si="2"/>
        <v>262.51</v>
      </c>
    </row>
    <row r="191" spans="1:20" x14ac:dyDescent="0.2">
      <c r="A191">
        <v>193</v>
      </c>
      <c r="B191">
        <v>1</v>
      </c>
      <c r="C191" t="s">
        <v>901</v>
      </c>
      <c r="D191" t="s">
        <v>902</v>
      </c>
      <c r="E191" t="s">
        <v>903</v>
      </c>
      <c r="F191" t="s">
        <v>709</v>
      </c>
      <c r="G191" t="s">
        <v>710</v>
      </c>
      <c r="H191" t="s">
        <v>25</v>
      </c>
      <c r="I191" t="s">
        <v>25</v>
      </c>
      <c r="J191" t="s">
        <v>26</v>
      </c>
      <c r="K191" t="s">
        <v>904</v>
      </c>
      <c r="L191" s="2">
        <v>37391.056319351141</v>
      </c>
      <c r="M191" s="3">
        <v>0.5513108340711026</v>
      </c>
      <c r="N191" s="3">
        <v>0</v>
      </c>
      <c r="O191" s="3">
        <v>0.10317116585792591</v>
      </c>
      <c r="P191" s="3">
        <v>0.34551800007098732</v>
      </c>
      <c r="Q191" s="3">
        <v>0</v>
      </c>
      <c r="R191" s="3">
        <v>0.44868916592891323</v>
      </c>
      <c r="S191" t="s">
        <v>125</v>
      </c>
      <c r="T191" s="4">
        <f t="shared" si="2"/>
        <v>179.42</v>
      </c>
    </row>
    <row r="192" spans="1:20" x14ac:dyDescent="0.2">
      <c r="A192">
        <v>194</v>
      </c>
      <c r="B192">
        <v>1</v>
      </c>
      <c r="C192" t="s">
        <v>905</v>
      </c>
      <c r="D192" t="s">
        <v>906</v>
      </c>
      <c r="E192" t="s">
        <v>907</v>
      </c>
      <c r="F192" t="s">
        <v>908</v>
      </c>
      <c r="G192" t="s">
        <v>909</v>
      </c>
      <c r="H192" t="s">
        <v>25</v>
      </c>
      <c r="I192" t="s">
        <v>25</v>
      </c>
      <c r="J192" t="s">
        <v>92</v>
      </c>
      <c r="K192" t="s">
        <v>210</v>
      </c>
      <c r="L192" s="2">
        <v>37391.056319351141</v>
      </c>
      <c r="M192" s="3">
        <v>8.2417157044302393E-4</v>
      </c>
      <c r="N192" s="3">
        <v>0</v>
      </c>
      <c r="O192" s="3">
        <v>0.2480438525859871</v>
      </c>
      <c r="P192" s="3">
        <v>4.0042772358154309E-2</v>
      </c>
      <c r="Q192" s="3">
        <v>0.7110892034854156</v>
      </c>
      <c r="R192" s="3">
        <v>0.28808662494414139</v>
      </c>
      <c r="S192" t="s">
        <v>69</v>
      </c>
      <c r="T192" s="4">
        <f t="shared" si="2"/>
        <v>61.7</v>
      </c>
    </row>
    <row r="193" spans="1:20" x14ac:dyDescent="0.2">
      <c r="A193">
        <v>195</v>
      </c>
      <c r="B193">
        <v>1</v>
      </c>
      <c r="C193" t="s">
        <v>910</v>
      </c>
      <c r="D193" t="s">
        <v>911</v>
      </c>
      <c r="E193" t="s">
        <v>907</v>
      </c>
      <c r="F193" t="s">
        <v>912</v>
      </c>
      <c r="G193" t="s">
        <v>913</v>
      </c>
      <c r="H193" t="s">
        <v>25</v>
      </c>
      <c r="I193" t="s">
        <v>25</v>
      </c>
      <c r="J193" t="s">
        <v>34</v>
      </c>
      <c r="K193" t="s">
        <v>210</v>
      </c>
      <c r="L193" s="2">
        <v>37391.056319351141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t="s">
        <v>28</v>
      </c>
      <c r="T193" s="4">
        <f t="shared" si="2"/>
        <v>100</v>
      </c>
    </row>
    <row r="194" spans="1:20" x14ac:dyDescent="0.2">
      <c r="A194">
        <v>196</v>
      </c>
      <c r="B194">
        <v>1</v>
      </c>
      <c r="C194" t="s">
        <v>914</v>
      </c>
      <c r="D194" t="s">
        <v>915</v>
      </c>
      <c r="E194" t="s">
        <v>907</v>
      </c>
      <c r="F194" t="s">
        <v>916</v>
      </c>
      <c r="G194" t="s">
        <v>917</v>
      </c>
      <c r="H194" t="s">
        <v>25</v>
      </c>
      <c r="I194" t="s">
        <v>25</v>
      </c>
      <c r="J194" t="s">
        <v>34</v>
      </c>
      <c r="K194" t="s">
        <v>210</v>
      </c>
      <c r="L194" s="2">
        <v>37391.056319351141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t="s">
        <v>28</v>
      </c>
      <c r="T194" s="4">
        <f t="shared" ref="T194:T257" si="3">ROUND((M194*100*1)+(O194*100*2)+(P194*100*3),2)</f>
        <v>100</v>
      </c>
    </row>
    <row r="195" spans="1:20" x14ac:dyDescent="0.2">
      <c r="A195">
        <v>197</v>
      </c>
      <c r="B195">
        <v>1</v>
      </c>
      <c r="C195" t="s">
        <v>918</v>
      </c>
      <c r="D195" t="s">
        <v>919</v>
      </c>
      <c r="E195" t="s">
        <v>903</v>
      </c>
      <c r="F195" t="s">
        <v>920</v>
      </c>
      <c r="G195" t="s">
        <v>921</v>
      </c>
      <c r="H195" t="s">
        <v>25</v>
      </c>
      <c r="I195" t="s">
        <v>25</v>
      </c>
      <c r="J195" t="s">
        <v>34</v>
      </c>
      <c r="K195" t="s">
        <v>210</v>
      </c>
      <c r="L195" s="2">
        <v>37391.056319351141</v>
      </c>
      <c r="M195" s="3">
        <v>0.49079516577185089</v>
      </c>
      <c r="N195" s="3">
        <v>0</v>
      </c>
      <c r="O195" s="3">
        <v>6.287541645440671E-2</v>
      </c>
      <c r="P195" s="3">
        <v>0</v>
      </c>
      <c r="Q195" s="3">
        <v>0.44632941777374241</v>
      </c>
      <c r="R195" s="3">
        <v>6.287541645440671E-2</v>
      </c>
      <c r="S195" t="s">
        <v>28</v>
      </c>
      <c r="T195" s="4">
        <f t="shared" si="3"/>
        <v>61.65</v>
      </c>
    </row>
    <row r="196" spans="1:20" x14ac:dyDescent="0.2">
      <c r="A196">
        <v>198</v>
      </c>
      <c r="B196">
        <v>1</v>
      </c>
      <c r="C196" t="s">
        <v>922</v>
      </c>
      <c r="D196" t="s">
        <v>923</v>
      </c>
      <c r="E196" t="s">
        <v>109</v>
      </c>
      <c r="F196" t="s">
        <v>924</v>
      </c>
      <c r="G196" t="s">
        <v>925</v>
      </c>
      <c r="H196" t="s">
        <v>25</v>
      </c>
      <c r="I196" t="s">
        <v>25</v>
      </c>
      <c r="J196" t="s">
        <v>26</v>
      </c>
      <c r="K196" t="s">
        <v>187</v>
      </c>
      <c r="L196" s="2">
        <v>37391.056319351141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t="s">
        <v>28</v>
      </c>
      <c r="T196" s="4">
        <f t="shared" si="3"/>
        <v>100</v>
      </c>
    </row>
    <row r="197" spans="1:20" x14ac:dyDescent="0.2">
      <c r="A197">
        <v>199</v>
      </c>
      <c r="B197">
        <v>1</v>
      </c>
      <c r="C197" t="s">
        <v>926</v>
      </c>
      <c r="D197" t="s">
        <v>927</v>
      </c>
      <c r="E197" t="s">
        <v>928</v>
      </c>
      <c r="F197" t="s">
        <v>929</v>
      </c>
      <c r="G197" t="s">
        <v>148</v>
      </c>
      <c r="H197" t="s">
        <v>25</v>
      </c>
      <c r="I197" t="s">
        <v>25</v>
      </c>
      <c r="J197" t="s">
        <v>92</v>
      </c>
      <c r="K197" t="s">
        <v>210</v>
      </c>
      <c r="L197" s="2">
        <v>37391.056319351141</v>
      </c>
      <c r="M197" s="3">
        <v>0</v>
      </c>
      <c r="N197" s="3">
        <v>0</v>
      </c>
      <c r="O197" s="3">
        <v>1.081812622342007E-2</v>
      </c>
      <c r="P197" s="3">
        <v>0</v>
      </c>
      <c r="Q197" s="3">
        <v>0.98918187377657996</v>
      </c>
      <c r="R197" s="3">
        <v>1.081812622342007E-2</v>
      </c>
      <c r="S197" t="s">
        <v>28</v>
      </c>
      <c r="T197" s="4">
        <f t="shared" si="3"/>
        <v>2.16</v>
      </c>
    </row>
    <row r="198" spans="1:20" x14ac:dyDescent="0.2">
      <c r="A198">
        <v>200</v>
      </c>
      <c r="B198">
        <v>1</v>
      </c>
      <c r="C198" t="s">
        <v>930</v>
      </c>
      <c r="D198" t="s">
        <v>931</v>
      </c>
      <c r="E198" t="s">
        <v>932</v>
      </c>
      <c r="F198" t="s">
        <v>933</v>
      </c>
      <c r="G198" t="s">
        <v>934</v>
      </c>
      <c r="H198" t="s">
        <v>25</v>
      </c>
      <c r="I198" t="s">
        <v>25</v>
      </c>
      <c r="J198" t="s">
        <v>26</v>
      </c>
      <c r="K198" t="s">
        <v>56</v>
      </c>
      <c r="L198" s="2">
        <v>37391.056319351141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t="s">
        <v>28</v>
      </c>
      <c r="T198" s="4">
        <f t="shared" si="3"/>
        <v>100</v>
      </c>
    </row>
    <row r="199" spans="1:20" x14ac:dyDescent="0.2">
      <c r="A199">
        <v>201</v>
      </c>
      <c r="B199">
        <v>1</v>
      </c>
      <c r="C199" t="s">
        <v>935</v>
      </c>
      <c r="D199" t="s">
        <v>936</v>
      </c>
      <c r="E199" t="s">
        <v>937</v>
      </c>
      <c r="F199" t="s">
        <v>109</v>
      </c>
      <c r="G199" t="s">
        <v>609</v>
      </c>
      <c r="H199" t="s">
        <v>25</v>
      </c>
      <c r="I199" t="s">
        <v>25</v>
      </c>
      <c r="J199" t="s">
        <v>26</v>
      </c>
      <c r="K199" t="s">
        <v>210</v>
      </c>
      <c r="L199" s="2">
        <v>37391.056319351141</v>
      </c>
      <c r="M199" s="3">
        <v>0</v>
      </c>
      <c r="N199" s="3">
        <v>0.81778322932576231</v>
      </c>
      <c r="O199" s="3">
        <v>0</v>
      </c>
      <c r="P199" s="3">
        <v>0</v>
      </c>
      <c r="Q199" s="3">
        <v>0.18221677067423769</v>
      </c>
      <c r="R199" s="3">
        <v>0</v>
      </c>
      <c r="S199" t="s">
        <v>28</v>
      </c>
      <c r="T199" s="4">
        <f t="shared" si="3"/>
        <v>0</v>
      </c>
    </row>
    <row r="200" spans="1:20" x14ac:dyDescent="0.2">
      <c r="A200">
        <v>202</v>
      </c>
      <c r="B200">
        <v>1</v>
      </c>
      <c r="C200" t="s">
        <v>938</v>
      </c>
      <c r="D200" t="s">
        <v>939</v>
      </c>
      <c r="E200" t="s">
        <v>937</v>
      </c>
      <c r="F200" t="s">
        <v>940</v>
      </c>
      <c r="G200" t="s">
        <v>941</v>
      </c>
      <c r="H200" t="s">
        <v>25</v>
      </c>
      <c r="I200" t="s">
        <v>25</v>
      </c>
      <c r="J200" t="s">
        <v>26</v>
      </c>
      <c r="K200" t="s">
        <v>210</v>
      </c>
      <c r="L200" s="2">
        <v>37391.056319351141</v>
      </c>
      <c r="M200" s="3">
        <v>0.22714997344321969</v>
      </c>
      <c r="N200" s="3">
        <v>0</v>
      </c>
      <c r="O200" s="3">
        <v>0.1063869260625243</v>
      </c>
      <c r="P200" s="3">
        <v>0</v>
      </c>
      <c r="Q200" s="3">
        <v>0.66646310049425594</v>
      </c>
      <c r="R200" s="3">
        <v>0.1063869260625243</v>
      </c>
      <c r="S200" t="s">
        <v>36</v>
      </c>
      <c r="T200" s="4">
        <f t="shared" si="3"/>
        <v>43.99</v>
      </c>
    </row>
    <row r="201" spans="1:20" x14ac:dyDescent="0.2">
      <c r="A201">
        <v>203</v>
      </c>
      <c r="B201">
        <v>1</v>
      </c>
      <c r="C201" t="s">
        <v>942</v>
      </c>
      <c r="D201" t="s">
        <v>943</v>
      </c>
      <c r="E201" t="s">
        <v>944</v>
      </c>
      <c r="F201" t="s">
        <v>945</v>
      </c>
      <c r="G201" t="s">
        <v>946</v>
      </c>
      <c r="H201" t="s">
        <v>67</v>
      </c>
      <c r="I201" t="s">
        <v>67</v>
      </c>
      <c r="J201" t="s">
        <v>26</v>
      </c>
      <c r="K201" t="s">
        <v>187</v>
      </c>
      <c r="L201" s="2">
        <v>37391.056319351141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t="s">
        <v>28</v>
      </c>
      <c r="T201" s="4">
        <f t="shared" si="3"/>
        <v>100</v>
      </c>
    </row>
    <row r="202" spans="1:20" x14ac:dyDescent="0.2">
      <c r="A202">
        <v>204</v>
      </c>
      <c r="B202">
        <v>2</v>
      </c>
      <c r="C202" t="s">
        <v>947</v>
      </c>
      <c r="D202" t="s">
        <v>948</v>
      </c>
      <c r="E202" t="s">
        <v>944</v>
      </c>
      <c r="F202" t="s">
        <v>949</v>
      </c>
      <c r="G202" t="s">
        <v>950</v>
      </c>
      <c r="H202" t="s">
        <v>25</v>
      </c>
      <c r="I202" t="s">
        <v>25</v>
      </c>
      <c r="J202" t="s">
        <v>26</v>
      </c>
      <c r="K202" t="s">
        <v>27</v>
      </c>
      <c r="L202" s="2">
        <v>74782.112638702281</v>
      </c>
      <c r="M202" s="3">
        <v>0.1510218756145475</v>
      </c>
      <c r="N202" s="3">
        <v>0</v>
      </c>
      <c r="O202" s="3">
        <v>5.5557906468646633E-2</v>
      </c>
      <c r="P202" s="3">
        <v>0</v>
      </c>
      <c r="Q202" s="3">
        <v>0.79342021791680595</v>
      </c>
      <c r="R202" s="3">
        <v>5.5557906468646633E-2</v>
      </c>
      <c r="S202" t="s">
        <v>28</v>
      </c>
      <c r="T202" s="4">
        <f t="shared" si="3"/>
        <v>26.21</v>
      </c>
    </row>
    <row r="203" spans="1:20" x14ac:dyDescent="0.2">
      <c r="A203">
        <v>205</v>
      </c>
      <c r="B203">
        <v>2</v>
      </c>
      <c r="C203" t="s">
        <v>951</v>
      </c>
      <c r="D203" t="s">
        <v>952</v>
      </c>
      <c r="E203" t="s">
        <v>953</v>
      </c>
      <c r="F203" t="s">
        <v>954</v>
      </c>
      <c r="G203" t="s">
        <v>955</v>
      </c>
      <c r="H203" t="s">
        <v>67</v>
      </c>
      <c r="I203" t="s">
        <v>67</v>
      </c>
      <c r="J203" t="s">
        <v>26</v>
      </c>
      <c r="K203" t="s">
        <v>210</v>
      </c>
      <c r="L203" s="2">
        <v>74782.112638702281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t="s">
        <v>28</v>
      </c>
      <c r="T203" s="4">
        <f t="shared" si="3"/>
        <v>100</v>
      </c>
    </row>
    <row r="204" spans="1:20" x14ac:dyDescent="0.2">
      <c r="A204">
        <v>206</v>
      </c>
      <c r="B204">
        <v>1</v>
      </c>
      <c r="C204" t="s">
        <v>956</v>
      </c>
      <c r="D204" t="s">
        <v>957</v>
      </c>
      <c r="E204" t="s">
        <v>953</v>
      </c>
      <c r="F204" t="s">
        <v>958</v>
      </c>
      <c r="G204" t="s">
        <v>959</v>
      </c>
      <c r="H204" t="s">
        <v>25</v>
      </c>
      <c r="I204" t="s">
        <v>25</v>
      </c>
      <c r="J204" t="s">
        <v>26</v>
      </c>
      <c r="K204" t="s">
        <v>210</v>
      </c>
      <c r="L204" s="2">
        <v>37391.056319351141</v>
      </c>
      <c r="M204" s="3">
        <v>0</v>
      </c>
      <c r="N204" s="3">
        <v>0</v>
      </c>
      <c r="O204" s="3">
        <v>0.18369430075183141</v>
      </c>
      <c r="P204" s="3">
        <v>0</v>
      </c>
      <c r="Q204" s="3">
        <v>0.81630569924816865</v>
      </c>
      <c r="R204" s="3">
        <v>0.18369430075183141</v>
      </c>
      <c r="S204" t="s">
        <v>36</v>
      </c>
      <c r="T204" s="4">
        <f t="shared" si="3"/>
        <v>36.74</v>
      </c>
    </row>
    <row r="205" spans="1:20" x14ac:dyDescent="0.2">
      <c r="A205">
        <v>207</v>
      </c>
      <c r="B205">
        <v>1</v>
      </c>
      <c r="C205" t="s">
        <v>960</v>
      </c>
      <c r="D205" t="s">
        <v>961</v>
      </c>
      <c r="E205" t="s">
        <v>953</v>
      </c>
      <c r="F205" t="s">
        <v>962</v>
      </c>
      <c r="G205" t="s">
        <v>963</v>
      </c>
      <c r="H205" t="s">
        <v>25</v>
      </c>
      <c r="I205" t="s">
        <v>25</v>
      </c>
      <c r="J205" t="s">
        <v>34</v>
      </c>
      <c r="K205" t="s">
        <v>210</v>
      </c>
      <c r="L205" s="2">
        <v>37391.056319351141</v>
      </c>
      <c r="M205" s="3">
        <v>0.45548267187315822</v>
      </c>
      <c r="N205" s="3">
        <v>0</v>
      </c>
      <c r="O205" s="3">
        <v>0.15831948619802649</v>
      </c>
      <c r="P205" s="3">
        <v>0</v>
      </c>
      <c r="Q205" s="3">
        <v>0.38619784192881518</v>
      </c>
      <c r="R205" s="3">
        <v>0.15831948619802649</v>
      </c>
      <c r="S205" t="s">
        <v>36</v>
      </c>
      <c r="T205" s="4">
        <f t="shared" si="3"/>
        <v>77.209999999999994</v>
      </c>
    </row>
    <row r="206" spans="1:20" x14ac:dyDescent="0.2">
      <c r="A206">
        <v>208</v>
      </c>
      <c r="B206">
        <v>1</v>
      </c>
      <c r="C206" t="s">
        <v>964</v>
      </c>
      <c r="D206" t="s">
        <v>965</v>
      </c>
      <c r="E206" t="s">
        <v>966</v>
      </c>
      <c r="F206" t="s">
        <v>967</v>
      </c>
      <c r="G206" t="s">
        <v>968</v>
      </c>
      <c r="H206" t="s">
        <v>25</v>
      </c>
      <c r="I206" t="s">
        <v>25</v>
      </c>
      <c r="J206" t="s">
        <v>26</v>
      </c>
      <c r="K206" t="s">
        <v>187</v>
      </c>
      <c r="L206" s="2">
        <v>37391.056319351141</v>
      </c>
      <c r="M206" s="3">
        <v>5.3705021812776532E-2</v>
      </c>
      <c r="N206" s="3">
        <v>0</v>
      </c>
      <c r="O206" s="3">
        <v>0</v>
      </c>
      <c r="P206" s="3">
        <v>0</v>
      </c>
      <c r="Q206" s="3">
        <v>0.94629497818722352</v>
      </c>
      <c r="R206" s="3">
        <v>0</v>
      </c>
      <c r="S206" t="s">
        <v>28</v>
      </c>
      <c r="T206" s="4">
        <f t="shared" si="3"/>
        <v>5.37</v>
      </c>
    </row>
    <row r="207" spans="1:20" x14ac:dyDescent="0.2">
      <c r="A207">
        <v>209</v>
      </c>
      <c r="B207">
        <v>1</v>
      </c>
      <c r="C207" t="s">
        <v>969</v>
      </c>
      <c r="D207" t="s">
        <v>970</v>
      </c>
      <c r="E207" t="s">
        <v>971</v>
      </c>
      <c r="F207" t="s">
        <v>972</v>
      </c>
      <c r="G207" t="s">
        <v>973</v>
      </c>
      <c r="H207" t="s">
        <v>25</v>
      </c>
      <c r="I207" t="s">
        <v>25</v>
      </c>
      <c r="J207" t="s">
        <v>92</v>
      </c>
      <c r="K207" t="s">
        <v>130</v>
      </c>
      <c r="L207" s="2">
        <v>37391.056319351141</v>
      </c>
      <c r="M207" s="3">
        <v>0.89193739593100974</v>
      </c>
      <c r="N207" s="3">
        <v>0</v>
      </c>
      <c r="O207" s="3">
        <v>0.1080626040690035</v>
      </c>
      <c r="P207" s="3">
        <v>0</v>
      </c>
      <c r="Q207" s="3">
        <v>0</v>
      </c>
      <c r="R207" s="3">
        <v>0.1080626040690035</v>
      </c>
      <c r="S207" t="s">
        <v>36</v>
      </c>
      <c r="T207" s="4">
        <f t="shared" si="3"/>
        <v>110.81</v>
      </c>
    </row>
    <row r="208" spans="1:20" x14ac:dyDescent="0.2">
      <c r="A208">
        <v>210</v>
      </c>
      <c r="B208">
        <v>1</v>
      </c>
      <c r="C208" t="s">
        <v>974</v>
      </c>
      <c r="D208" t="s">
        <v>975</v>
      </c>
      <c r="E208" t="s">
        <v>971</v>
      </c>
      <c r="F208" t="s">
        <v>976</v>
      </c>
      <c r="G208" t="s">
        <v>977</v>
      </c>
      <c r="H208" t="s">
        <v>25</v>
      </c>
      <c r="I208" t="s">
        <v>25</v>
      </c>
      <c r="J208" t="s">
        <v>26</v>
      </c>
      <c r="K208" t="s">
        <v>210</v>
      </c>
      <c r="L208" s="2">
        <v>37391.056319351141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t="s">
        <v>28</v>
      </c>
      <c r="T208" s="4">
        <f t="shared" si="3"/>
        <v>0</v>
      </c>
    </row>
    <row r="209" spans="1:20" x14ac:dyDescent="0.2">
      <c r="A209">
        <v>211</v>
      </c>
      <c r="B209">
        <v>1</v>
      </c>
      <c r="C209" t="s">
        <v>978</v>
      </c>
      <c r="D209" t="s">
        <v>979</v>
      </c>
      <c r="E209" t="s">
        <v>971</v>
      </c>
      <c r="F209" t="s">
        <v>980</v>
      </c>
      <c r="G209" t="s">
        <v>981</v>
      </c>
      <c r="H209" t="s">
        <v>67</v>
      </c>
      <c r="I209" t="s">
        <v>67</v>
      </c>
      <c r="J209" t="s">
        <v>26</v>
      </c>
      <c r="K209" t="s">
        <v>210</v>
      </c>
      <c r="L209" s="2">
        <v>37391.056319351141</v>
      </c>
      <c r="M209" s="3">
        <v>0.83672042679916758</v>
      </c>
      <c r="N209" s="3">
        <v>0</v>
      </c>
      <c r="O209" s="3">
        <v>0.16327957320086389</v>
      </c>
      <c r="P209" s="3">
        <v>0</v>
      </c>
      <c r="Q209" s="3">
        <v>0</v>
      </c>
      <c r="R209" s="3">
        <v>0.16327957320086389</v>
      </c>
      <c r="S209" t="s">
        <v>36</v>
      </c>
      <c r="T209" s="4">
        <f t="shared" si="3"/>
        <v>116.33</v>
      </c>
    </row>
    <row r="210" spans="1:20" x14ac:dyDescent="0.2">
      <c r="A210">
        <v>212</v>
      </c>
      <c r="B210">
        <v>1</v>
      </c>
      <c r="C210" t="s">
        <v>982</v>
      </c>
      <c r="D210" t="s">
        <v>983</v>
      </c>
      <c r="E210" t="s">
        <v>984</v>
      </c>
      <c r="F210" t="s">
        <v>985</v>
      </c>
      <c r="G210" t="s">
        <v>986</v>
      </c>
      <c r="H210" t="s">
        <v>336</v>
      </c>
      <c r="I210" t="s">
        <v>336</v>
      </c>
      <c r="J210" t="s">
        <v>987</v>
      </c>
      <c r="K210" t="s">
        <v>187</v>
      </c>
      <c r="L210" s="2">
        <v>37391.056319351141</v>
      </c>
      <c r="M210" s="3">
        <v>0.63851289531467625</v>
      </c>
      <c r="N210" s="3">
        <v>0</v>
      </c>
      <c r="O210" s="3">
        <v>0</v>
      </c>
      <c r="P210" s="3">
        <v>0</v>
      </c>
      <c r="Q210" s="3">
        <v>0.36148710468532369</v>
      </c>
      <c r="R210" s="3">
        <v>0</v>
      </c>
      <c r="S210" t="s">
        <v>28</v>
      </c>
      <c r="T210" s="4">
        <f t="shared" si="3"/>
        <v>63.85</v>
      </c>
    </row>
    <row r="211" spans="1:20" x14ac:dyDescent="0.2">
      <c r="A211">
        <v>213</v>
      </c>
      <c r="B211">
        <v>1</v>
      </c>
      <c r="C211" t="s">
        <v>988</v>
      </c>
      <c r="D211" t="s">
        <v>989</v>
      </c>
      <c r="E211" t="s">
        <v>990</v>
      </c>
      <c r="F211" t="s">
        <v>991</v>
      </c>
      <c r="G211" t="s">
        <v>992</v>
      </c>
      <c r="H211" t="s">
        <v>336</v>
      </c>
      <c r="I211" t="s">
        <v>336</v>
      </c>
      <c r="J211" t="s">
        <v>26</v>
      </c>
      <c r="K211" t="s">
        <v>187</v>
      </c>
      <c r="L211" s="2">
        <v>37391.056319351141</v>
      </c>
      <c r="M211" s="3">
        <v>0</v>
      </c>
      <c r="N211" s="3">
        <v>0</v>
      </c>
      <c r="O211" s="3">
        <v>5.6094308884547708E-2</v>
      </c>
      <c r="P211" s="3">
        <v>4.8072083159089278E-2</v>
      </c>
      <c r="Q211" s="3">
        <v>0.89583360795636313</v>
      </c>
      <c r="R211" s="3">
        <v>0.10416639204363699</v>
      </c>
      <c r="S211" t="s">
        <v>36</v>
      </c>
      <c r="T211" s="4">
        <f t="shared" si="3"/>
        <v>25.64</v>
      </c>
    </row>
    <row r="212" spans="1:20" x14ac:dyDescent="0.2">
      <c r="A212">
        <v>214</v>
      </c>
      <c r="B212">
        <v>4</v>
      </c>
      <c r="C212" t="s">
        <v>993</v>
      </c>
      <c r="D212" t="s">
        <v>994</v>
      </c>
      <c r="E212" t="s">
        <v>995</v>
      </c>
      <c r="F212" t="s">
        <v>996</v>
      </c>
      <c r="G212" t="s">
        <v>997</v>
      </c>
      <c r="H212" t="s">
        <v>25</v>
      </c>
      <c r="I212" t="s">
        <v>25</v>
      </c>
      <c r="J212" t="s">
        <v>92</v>
      </c>
      <c r="K212" t="s">
        <v>210</v>
      </c>
      <c r="L212" s="2">
        <v>149564.22527740459</v>
      </c>
      <c r="M212" s="3">
        <v>0</v>
      </c>
      <c r="N212" s="3">
        <v>0</v>
      </c>
      <c r="O212" s="3">
        <v>0.30997049855066011</v>
      </c>
      <c r="P212" s="3">
        <v>0</v>
      </c>
      <c r="Q212" s="3">
        <v>0.69002950144933994</v>
      </c>
      <c r="R212" s="3">
        <v>0.30997049855066011</v>
      </c>
      <c r="S212" t="s">
        <v>69</v>
      </c>
      <c r="T212" s="4">
        <f t="shared" si="3"/>
        <v>61.99</v>
      </c>
    </row>
    <row r="213" spans="1:20" x14ac:dyDescent="0.2">
      <c r="A213">
        <v>215</v>
      </c>
      <c r="B213">
        <v>1</v>
      </c>
      <c r="C213" t="s">
        <v>998</v>
      </c>
      <c r="D213" t="s">
        <v>999</v>
      </c>
      <c r="E213" t="s">
        <v>1000</v>
      </c>
      <c r="F213" t="s">
        <v>1001</v>
      </c>
      <c r="G213" t="s">
        <v>1002</v>
      </c>
      <c r="H213" t="s">
        <v>25</v>
      </c>
      <c r="I213" t="s">
        <v>25</v>
      </c>
      <c r="J213" t="s">
        <v>92</v>
      </c>
      <c r="K213" t="s">
        <v>56</v>
      </c>
      <c r="L213" s="2">
        <v>37391.056319351141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t="s">
        <v>28</v>
      </c>
      <c r="T213" s="4">
        <f t="shared" si="3"/>
        <v>100</v>
      </c>
    </row>
    <row r="214" spans="1:20" x14ac:dyDescent="0.2">
      <c r="A214">
        <v>216</v>
      </c>
      <c r="B214">
        <v>1</v>
      </c>
      <c r="C214" t="s">
        <v>1003</v>
      </c>
      <c r="D214" t="s">
        <v>1004</v>
      </c>
      <c r="E214" t="s">
        <v>1005</v>
      </c>
      <c r="F214" t="s">
        <v>1006</v>
      </c>
      <c r="G214" t="s">
        <v>1007</v>
      </c>
      <c r="H214" t="s">
        <v>80</v>
      </c>
      <c r="I214" t="s">
        <v>80</v>
      </c>
      <c r="J214" t="s">
        <v>34</v>
      </c>
      <c r="K214" t="s">
        <v>193</v>
      </c>
      <c r="L214" s="2">
        <v>37391.056319351141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t="s">
        <v>28</v>
      </c>
      <c r="T214" s="4">
        <f t="shared" si="3"/>
        <v>100</v>
      </c>
    </row>
    <row r="215" spans="1:20" x14ac:dyDescent="0.2">
      <c r="A215">
        <v>217</v>
      </c>
      <c r="B215">
        <v>2</v>
      </c>
      <c r="C215" t="s">
        <v>1008</v>
      </c>
      <c r="D215" t="s">
        <v>1009</v>
      </c>
      <c r="E215" t="s">
        <v>1010</v>
      </c>
      <c r="F215" t="s">
        <v>1011</v>
      </c>
      <c r="G215" t="s">
        <v>1012</v>
      </c>
      <c r="H215" t="s">
        <v>25</v>
      </c>
      <c r="I215" t="s">
        <v>25</v>
      </c>
      <c r="J215" t="s">
        <v>26</v>
      </c>
      <c r="K215" t="s">
        <v>56</v>
      </c>
      <c r="L215" s="2">
        <v>74782.112638702281</v>
      </c>
      <c r="M215" s="3">
        <v>0.97844768843105556</v>
      </c>
      <c r="N215" s="3">
        <v>0</v>
      </c>
      <c r="O215" s="3">
        <v>1.293813727690345E-2</v>
      </c>
      <c r="P215" s="3">
        <v>0</v>
      </c>
      <c r="Q215" s="3">
        <v>8.6141742920410325E-3</v>
      </c>
      <c r="R215" s="3">
        <v>1.293813727690345E-2</v>
      </c>
      <c r="S215" t="s">
        <v>28</v>
      </c>
      <c r="T215" s="4">
        <f t="shared" si="3"/>
        <v>100.43</v>
      </c>
    </row>
    <row r="216" spans="1:20" x14ac:dyDescent="0.2">
      <c r="A216">
        <v>218</v>
      </c>
      <c r="B216">
        <v>1</v>
      </c>
      <c r="C216" t="s">
        <v>1013</v>
      </c>
      <c r="D216" t="s">
        <v>1014</v>
      </c>
      <c r="E216" t="s">
        <v>1015</v>
      </c>
      <c r="F216" t="s">
        <v>1016</v>
      </c>
      <c r="H216" t="s">
        <v>25</v>
      </c>
      <c r="I216" t="s">
        <v>25</v>
      </c>
      <c r="J216" t="s">
        <v>92</v>
      </c>
      <c r="K216" t="s">
        <v>210</v>
      </c>
      <c r="L216" s="2">
        <v>37391.056319351141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t="s">
        <v>28</v>
      </c>
      <c r="T216" s="4">
        <f t="shared" si="3"/>
        <v>100</v>
      </c>
    </row>
    <row r="217" spans="1:20" x14ac:dyDescent="0.2">
      <c r="A217">
        <v>219</v>
      </c>
      <c r="B217">
        <v>1</v>
      </c>
      <c r="C217" t="s">
        <v>1017</v>
      </c>
      <c r="D217" t="s">
        <v>1018</v>
      </c>
      <c r="E217" t="s">
        <v>1019</v>
      </c>
      <c r="F217" t="s">
        <v>1020</v>
      </c>
      <c r="G217" t="s">
        <v>1021</v>
      </c>
      <c r="H217" t="s">
        <v>25</v>
      </c>
      <c r="I217" t="s">
        <v>25</v>
      </c>
      <c r="J217" t="s">
        <v>92</v>
      </c>
      <c r="K217" t="s">
        <v>210</v>
      </c>
      <c r="L217" s="2">
        <v>37391.056319351141</v>
      </c>
      <c r="M217" s="3">
        <v>0</v>
      </c>
      <c r="N217" s="3">
        <v>0</v>
      </c>
      <c r="O217" s="3">
        <v>0</v>
      </c>
      <c r="P217" s="3">
        <v>0</v>
      </c>
      <c r="Q217" s="3">
        <v>1</v>
      </c>
      <c r="R217" s="3">
        <v>0</v>
      </c>
      <c r="S217" t="s">
        <v>28</v>
      </c>
      <c r="T217" s="4">
        <f t="shared" si="3"/>
        <v>0</v>
      </c>
    </row>
    <row r="218" spans="1:20" x14ac:dyDescent="0.2">
      <c r="A218">
        <v>220</v>
      </c>
      <c r="B218">
        <v>1</v>
      </c>
      <c r="C218" t="s">
        <v>1022</v>
      </c>
      <c r="D218" t="s">
        <v>1023</v>
      </c>
      <c r="E218" t="s">
        <v>1019</v>
      </c>
      <c r="F218" t="s">
        <v>1024</v>
      </c>
      <c r="G218" t="s">
        <v>1025</v>
      </c>
      <c r="H218" t="s">
        <v>25</v>
      </c>
      <c r="I218" t="s">
        <v>25</v>
      </c>
      <c r="J218" t="s">
        <v>26</v>
      </c>
      <c r="K218" t="s">
        <v>210</v>
      </c>
      <c r="L218" s="2">
        <v>37391.056319351141</v>
      </c>
      <c r="M218" s="3">
        <v>0</v>
      </c>
      <c r="N218" s="3">
        <v>0</v>
      </c>
      <c r="O218" s="3">
        <v>4.1652624990488857E-2</v>
      </c>
      <c r="P218" s="3">
        <v>0</v>
      </c>
      <c r="Q218" s="3">
        <v>0.95834737500951117</v>
      </c>
      <c r="R218" s="3">
        <v>4.1652624990488857E-2</v>
      </c>
      <c r="S218" t="s">
        <v>28</v>
      </c>
      <c r="T218" s="4">
        <f t="shared" si="3"/>
        <v>8.33</v>
      </c>
    </row>
    <row r="219" spans="1:20" x14ac:dyDescent="0.2">
      <c r="A219">
        <v>221</v>
      </c>
      <c r="B219">
        <v>1</v>
      </c>
      <c r="C219" t="s">
        <v>1026</v>
      </c>
      <c r="D219" t="s">
        <v>1027</v>
      </c>
      <c r="E219" t="s">
        <v>1019</v>
      </c>
      <c r="F219" t="s">
        <v>1028</v>
      </c>
      <c r="G219" t="s">
        <v>1029</v>
      </c>
      <c r="H219" t="s">
        <v>25</v>
      </c>
      <c r="I219" t="s">
        <v>25</v>
      </c>
      <c r="J219" t="s">
        <v>26</v>
      </c>
      <c r="K219" t="s">
        <v>56</v>
      </c>
      <c r="L219" s="2">
        <v>37391.056319351141</v>
      </c>
      <c r="M219" s="3">
        <v>0.27233616287100632</v>
      </c>
      <c r="N219" s="3">
        <v>0</v>
      </c>
      <c r="O219" s="3">
        <v>9.3718403883698315E-2</v>
      </c>
      <c r="P219" s="3">
        <v>0</v>
      </c>
      <c r="Q219" s="3">
        <v>0.6339454332452954</v>
      </c>
      <c r="R219" s="3">
        <v>9.3718403883698315E-2</v>
      </c>
      <c r="S219" t="s">
        <v>28</v>
      </c>
      <c r="T219" s="4">
        <f t="shared" si="3"/>
        <v>45.98</v>
      </c>
    </row>
    <row r="220" spans="1:20" x14ac:dyDescent="0.2">
      <c r="A220">
        <v>222</v>
      </c>
      <c r="B220">
        <v>1</v>
      </c>
      <c r="C220" t="s">
        <v>1030</v>
      </c>
      <c r="D220" t="s">
        <v>1031</v>
      </c>
      <c r="E220" t="s">
        <v>1019</v>
      </c>
      <c r="F220" t="s">
        <v>1032</v>
      </c>
      <c r="G220" t="s">
        <v>1033</v>
      </c>
      <c r="H220" t="s">
        <v>25</v>
      </c>
      <c r="I220" t="s">
        <v>25</v>
      </c>
      <c r="J220" t="s">
        <v>92</v>
      </c>
      <c r="K220" t="s">
        <v>210</v>
      </c>
      <c r="L220" s="2">
        <v>37391.056319351141</v>
      </c>
      <c r="M220" s="3">
        <v>0</v>
      </c>
      <c r="N220" s="3">
        <v>0</v>
      </c>
      <c r="O220" s="3">
        <v>2.631527127363217E-2</v>
      </c>
      <c r="P220" s="3">
        <v>0</v>
      </c>
      <c r="Q220" s="3">
        <v>0.9736847287263678</v>
      </c>
      <c r="R220" s="3">
        <v>2.631527127363217E-2</v>
      </c>
      <c r="S220" t="s">
        <v>28</v>
      </c>
      <c r="T220" s="4">
        <f t="shared" si="3"/>
        <v>5.26</v>
      </c>
    </row>
    <row r="221" spans="1:20" x14ac:dyDescent="0.2">
      <c r="A221">
        <v>223</v>
      </c>
      <c r="B221">
        <v>3</v>
      </c>
      <c r="C221" t="s">
        <v>1034</v>
      </c>
      <c r="D221" t="s">
        <v>1035</v>
      </c>
      <c r="E221" t="s">
        <v>1019</v>
      </c>
      <c r="F221" t="s">
        <v>1036</v>
      </c>
      <c r="G221" t="s">
        <v>1037</v>
      </c>
      <c r="H221" t="s">
        <v>25</v>
      </c>
      <c r="I221" t="s">
        <v>25</v>
      </c>
      <c r="J221" t="s">
        <v>26</v>
      </c>
      <c r="K221" t="s">
        <v>210</v>
      </c>
      <c r="L221" s="2">
        <v>112173.1689580534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t="s">
        <v>28</v>
      </c>
      <c r="T221" s="4">
        <f t="shared" si="3"/>
        <v>0</v>
      </c>
    </row>
    <row r="222" spans="1:20" x14ac:dyDescent="0.2">
      <c r="A222">
        <v>224</v>
      </c>
      <c r="B222">
        <v>1</v>
      </c>
      <c r="C222" t="s">
        <v>1038</v>
      </c>
      <c r="D222" t="s">
        <v>1039</v>
      </c>
      <c r="E222" t="s">
        <v>1040</v>
      </c>
      <c r="F222" t="s">
        <v>1041</v>
      </c>
      <c r="G222" t="s">
        <v>1042</v>
      </c>
      <c r="H222" t="s">
        <v>25</v>
      </c>
      <c r="I222" t="s">
        <v>25</v>
      </c>
      <c r="J222" t="s">
        <v>92</v>
      </c>
      <c r="K222" t="s">
        <v>210</v>
      </c>
      <c r="L222" s="2">
        <v>37391.056319351141</v>
      </c>
      <c r="M222" s="3">
        <v>0</v>
      </c>
      <c r="N222" s="3">
        <v>0</v>
      </c>
      <c r="O222" s="3">
        <v>3.4257174543683981E-2</v>
      </c>
      <c r="P222" s="3">
        <v>0</v>
      </c>
      <c r="Q222" s="3">
        <v>0.96574282545631607</v>
      </c>
      <c r="R222" s="3">
        <v>3.4257174543683981E-2</v>
      </c>
      <c r="S222" t="s">
        <v>28</v>
      </c>
      <c r="T222" s="4">
        <f t="shared" si="3"/>
        <v>6.85</v>
      </c>
    </row>
    <row r="223" spans="1:20" x14ac:dyDescent="0.2">
      <c r="A223">
        <v>225</v>
      </c>
      <c r="B223">
        <v>1</v>
      </c>
      <c r="C223" t="s">
        <v>1043</v>
      </c>
      <c r="D223" t="s">
        <v>1044</v>
      </c>
      <c r="E223" t="s">
        <v>22</v>
      </c>
      <c r="F223" t="s">
        <v>1045</v>
      </c>
      <c r="G223" t="s">
        <v>1046</v>
      </c>
      <c r="H223" t="s">
        <v>67</v>
      </c>
      <c r="I223" t="s">
        <v>67</v>
      </c>
      <c r="J223" t="s">
        <v>92</v>
      </c>
      <c r="K223" t="s">
        <v>27</v>
      </c>
      <c r="L223" s="2">
        <v>37391.056319351141</v>
      </c>
      <c r="M223" s="3">
        <v>0</v>
      </c>
      <c r="N223" s="3">
        <v>0</v>
      </c>
      <c r="O223" s="3">
        <v>0.19876498510028989</v>
      </c>
      <c r="P223" s="3">
        <v>0</v>
      </c>
      <c r="Q223" s="3">
        <v>0.80123501489971005</v>
      </c>
      <c r="R223" s="3">
        <v>0.19876498510028989</v>
      </c>
      <c r="S223" t="s">
        <v>36</v>
      </c>
      <c r="T223" s="4">
        <f t="shared" si="3"/>
        <v>39.75</v>
      </c>
    </row>
    <row r="224" spans="1:20" x14ac:dyDescent="0.2">
      <c r="A224">
        <v>226</v>
      </c>
      <c r="B224">
        <v>3</v>
      </c>
      <c r="C224" t="s">
        <v>1047</v>
      </c>
      <c r="D224" t="s">
        <v>1048</v>
      </c>
      <c r="E224" t="s">
        <v>1049</v>
      </c>
      <c r="F224" t="s">
        <v>1050</v>
      </c>
      <c r="G224" t="s">
        <v>1051</v>
      </c>
      <c r="H224" t="s">
        <v>25</v>
      </c>
      <c r="I224" t="s">
        <v>25</v>
      </c>
      <c r="J224" t="s">
        <v>92</v>
      </c>
      <c r="K224" t="s">
        <v>56</v>
      </c>
      <c r="L224" s="2">
        <v>112173.1689580534</v>
      </c>
      <c r="M224" s="3">
        <v>5.0152233509057058E-2</v>
      </c>
      <c r="N224" s="3">
        <v>0</v>
      </c>
      <c r="O224" s="3">
        <v>0.25884282743648229</v>
      </c>
      <c r="P224" s="3">
        <v>0</v>
      </c>
      <c r="Q224" s="3">
        <v>0.69100493905446059</v>
      </c>
      <c r="R224" s="3">
        <v>0.25884282743648229</v>
      </c>
      <c r="S224" t="s">
        <v>69</v>
      </c>
      <c r="T224" s="4">
        <f t="shared" si="3"/>
        <v>56.78</v>
      </c>
    </row>
    <row r="225" spans="1:20" x14ac:dyDescent="0.2">
      <c r="A225">
        <v>227</v>
      </c>
      <c r="B225">
        <v>4</v>
      </c>
      <c r="C225" t="s">
        <v>1052</v>
      </c>
      <c r="D225" t="s">
        <v>1053</v>
      </c>
      <c r="E225" t="s">
        <v>1054</v>
      </c>
      <c r="F225" t="s">
        <v>1055</v>
      </c>
      <c r="G225" t="s">
        <v>1056</v>
      </c>
      <c r="H225" t="s">
        <v>67</v>
      </c>
      <c r="I225" t="s">
        <v>67</v>
      </c>
      <c r="J225" t="s">
        <v>26</v>
      </c>
      <c r="K225" t="s">
        <v>1057</v>
      </c>
      <c r="L225" s="2">
        <v>149564.22527740459</v>
      </c>
      <c r="M225" s="3">
        <v>0.26391745622921198</v>
      </c>
      <c r="N225" s="3">
        <v>0</v>
      </c>
      <c r="O225" s="3">
        <v>9.6229000892414721E-2</v>
      </c>
      <c r="P225" s="3">
        <v>0</v>
      </c>
      <c r="Q225" s="3">
        <v>0.63985354287837326</v>
      </c>
      <c r="R225" s="3">
        <v>9.6229000892414721E-2</v>
      </c>
      <c r="S225" t="s">
        <v>28</v>
      </c>
      <c r="T225" s="4">
        <f t="shared" si="3"/>
        <v>45.64</v>
      </c>
    </row>
    <row r="226" spans="1:20" x14ac:dyDescent="0.2">
      <c r="A226">
        <v>228</v>
      </c>
      <c r="B226">
        <v>8</v>
      </c>
      <c r="C226" t="s">
        <v>1058</v>
      </c>
      <c r="D226" t="s">
        <v>1059</v>
      </c>
      <c r="E226" t="s">
        <v>1054</v>
      </c>
      <c r="F226" t="s">
        <v>1060</v>
      </c>
      <c r="G226" t="s">
        <v>1061</v>
      </c>
      <c r="H226" t="s">
        <v>67</v>
      </c>
      <c r="I226" t="s">
        <v>67</v>
      </c>
      <c r="J226" t="s">
        <v>26</v>
      </c>
      <c r="K226" t="s">
        <v>1057</v>
      </c>
      <c r="L226" s="2">
        <v>299128.45055480913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t="s">
        <v>28</v>
      </c>
      <c r="T226" s="4">
        <f t="shared" si="3"/>
        <v>100</v>
      </c>
    </row>
    <row r="227" spans="1:20" x14ac:dyDescent="0.2">
      <c r="A227">
        <v>229</v>
      </c>
      <c r="B227">
        <v>1</v>
      </c>
      <c r="C227" t="s">
        <v>1062</v>
      </c>
      <c r="D227" t="s">
        <v>1063</v>
      </c>
      <c r="E227" t="s">
        <v>971</v>
      </c>
      <c r="F227" t="s">
        <v>65</v>
      </c>
      <c r="G227" t="s">
        <v>66</v>
      </c>
      <c r="H227" t="s">
        <v>25</v>
      </c>
      <c r="I227" t="s">
        <v>25</v>
      </c>
      <c r="J227" t="s">
        <v>26</v>
      </c>
      <c r="K227" t="s">
        <v>210</v>
      </c>
      <c r="L227" s="2">
        <v>37391.056319351141</v>
      </c>
      <c r="M227" s="3">
        <v>0.61291652070483627</v>
      </c>
      <c r="N227" s="3">
        <v>0</v>
      </c>
      <c r="O227" s="3">
        <v>0</v>
      </c>
      <c r="P227" s="3">
        <v>0</v>
      </c>
      <c r="Q227" s="3">
        <v>0.38708347929516368</v>
      </c>
      <c r="R227" s="3">
        <v>0</v>
      </c>
      <c r="S227" t="s">
        <v>28</v>
      </c>
      <c r="T227" s="4">
        <f t="shared" si="3"/>
        <v>61.29</v>
      </c>
    </row>
    <row r="228" spans="1:20" x14ac:dyDescent="0.2">
      <c r="A228">
        <v>230</v>
      </c>
      <c r="B228">
        <v>1</v>
      </c>
      <c r="C228" t="s">
        <v>1064</v>
      </c>
      <c r="D228" t="s">
        <v>1065</v>
      </c>
      <c r="E228" t="s">
        <v>1066</v>
      </c>
      <c r="H228" t="s">
        <v>336</v>
      </c>
      <c r="I228" t="s">
        <v>336</v>
      </c>
      <c r="J228" t="s">
        <v>987</v>
      </c>
      <c r="K228" t="s">
        <v>210</v>
      </c>
      <c r="L228" s="2">
        <v>37391.056319351141</v>
      </c>
      <c r="M228" s="3">
        <v>0</v>
      </c>
      <c r="N228" s="3">
        <v>0</v>
      </c>
      <c r="O228" s="3">
        <v>0.47694412645191608</v>
      </c>
      <c r="P228" s="3">
        <v>0.5230558735479568</v>
      </c>
      <c r="Q228" s="3">
        <v>1.271205363195804E-13</v>
      </c>
      <c r="R228" s="3">
        <v>0.99999999999987288</v>
      </c>
      <c r="S228" t="s">
        <v>44</v>
      </c>
      <c r="T228" s="4">
        <f t="shared" si="3"/>
        <v>252.31</v>
      </c>
    </row>
    <row r="229" spans="1:20" x14ac:dyDescent="0.2">
      <c r="A229">
        <v>231</v>
      </c>
      <c r="B229">
        <v>1</v>
      </c>
      <c r="C229" t="s">
        <v>1067</v>
      </c>
      <c r="D229" t="s">
        <v>1068</v>
      </c>
      <c r="E229" t="s">
        <v>1069</v>
      </c>
      <c r="F229" t="s">
        <v>1070</v>
      </c>
      <c r="G229" t="s">
        <v>1071</v>
      </c>
      <c r="H229" t="s">
        <v>25</v>
      </c>
      <c r="I229" t="s">
        <v>25</v>
      </c>
      <c r="J229" t="s">
        <v>92</v>
      </c>
      <c r="K229" t="s">
        <v>210</v>
      </c>
      <c r="L229" s="2">
        <v>37391.056319351141</v>
      </c>
      <c r="M229" s="3">
        <v>0.2064707721299926</v>
      </c>
      <c r="N229" s="3">
        <v>0</v>
      </c>
      <c r="O229" s="3">
        <v>0</v>
      </c>
      <c r="P229" s="3">
        <v>0</v>
      </c>
      <c r="Q229" s="3">
        <v>0.79352922787000746</v>
      </c>
      <c r="R229" s="3">
        <v>0</v>
      </c>
      <c r="S229" t="s">
        <v>28</v>
      </c>
      <c r="T229" s="4">
        <f t="shared" si="3"/>
        <v>20.65</v>
      </c>
    </row>
    <row r="230" spans="1:20" x14ac:dyDescent="0.2">
      <c r="A230">
        <v>232</v>
      </c>
      <c r="B230">
        <v>1</v>
      </c>
      <c r="C230" t="s">
        <v>1072</v>
      </c>
      <c r="D230" t="s">
        <v>1073</v>
      </c>
      <c r="E230" t="s">
        <v>1069</v>
      </c>
      <c r="F230" t="s">
        <v>1074</v>
      </c>
      <c r="G230" t="s">
        <v>1075</v>
      </c>
      <c r="H230" t="s">
        <v>67</v>
      </c>
      <c r="I230" t="s">
        <v>67</v>
      </c>
      <c r="J230" t="s">
        <v>26</v>
      </c>
      <c r="K230" t="s">
        <v>904</v>
      </c>
      <c r="L230" s="2">
        <v>37391.056319351141</v>
      </c>
      <c r="M230" s="3">
        <v>0.82576069902826121</v>
      </c>
      <c r="N230" s="3">
        <v>0</v>
      </c>
      <c r="O230" s="3">
        <v>0.17423930097179291</v>
      </c>
      <c r="P230" s="3">
        <v>0</v>
      </c>
      <c r="Q230" s="3">
        <v>0</v>
      </c>
      <c r="R230" s="3">
        <v>0.17423930097179291</v>
      </c>
      <c r="S230" t="s">
        <v>36</v>
      </c>
      <c r="T230" s="4">
        <f t="shared" si="3"/>
        <v>117.42</v>
      </c>
    </row>
    <row r="231" spans="1:20" x14ac:dyDescent="0.2">
      <c r="A231">
        <v>233</v>
      </c>
      <c r="B231">
        <v>2</v>
      </c>
      <c r="C231" t="s">
        <v>1076</v>
      </c>
      <c r="D231" t="s">
        <v>1077</v>
      </c>
      <c r="E231" t="s">
        <v>1078</v>
      </c>
      <c r="F231" t="s">
        <v>1079</v>
      </c>
      <c r="G231" t="s">
        <v>1080</v>
      </c>
      <c r="H231" t="s">
        <v>67</v>
      </c>
      <c r="I231" t="s">
        <v>67</v>
      </c>
      <c r="J231" t="s">
        <v>26</v>
      </c>
      <c r="K231" t="s">
        <v>193</v>
      </c>
      <c r="L231" s="2">
        <v>74782.112638702281</v>
      </c>
      <c r="M231" s="3">
        <v>0.90269964553051474</v>
      </c>
      <c r="N231" s="3">
        <v>0</v>
      </c>
      <c r="O231" s="3">
        <v>9.730035446946475E-2</v>
      </c>
      <c r="P231" s="3">
        <v>0</v>
      </c>
      <c r="Q231" s="3">
        <v>2.0539125955565399E-14</v>
      </c>
      <c r="R231" s="3">
        <v>9.730035446946475E-2</v>
      </c>
      <c r="S231" t="s">
        <v>28</v>
      </c>
      <c r="T231" s="4">
        <f t="shared" si="3"/>
        <v>109.73</v>
      </c>
    </row>
    <row r="232" spans="1:20" x14ac:dyDescent="0.2">
      <c r="A232">
        <v>234</v>
      </c>
      <c r="B232">
        <v>1</v>
      </c>
      <c r="C232" t="s">
        <v>1081</v>
      </c>
      <c r="D232" t="s">
        <v>1082</v>
      </c>
      <c r="E232" t="s">
        <v>1019</v>
      </c>
      <c r="F232" t="s">
        <v>1083</v>
      </c>
      <c r="G232" t="s">
        <v>1084</v>
      </c>
      <c r="H232" t="s">
        <v>25</v>
      </c>
      <c r="I232" t="s">
        <v>25</v>
      </c>
      <c r="J232" t="s">
        <v>92</v>
      </c>
      <c r="K232" t="s">
        <v>210</v>
      </c>
      <c r="L232" s="2">
        <v>37391.056319351141</v>
      </c>
      <c r="M232" s="3">
        <v>0.98225211484616526</v>
      </c>
      <c r="N232" s="3">
        <v>0</v>
      </c>
      <c r="O232" s="3">
        <v>1.7747885153849619E-2</v>
      </c>
      <c r="P232" s="3">
        <v>0</v>
      </c>
      <c r="Q232" s="3">
        <v>0</v>
      </c>
      <c r="R232" s="3">
        <v>1.7747885153849619E-2</v>
      </c>
      <c r="S232" t="s">
        <v>28</v>
      </c>
      <c r="T232" s="4">
        <f t="shared" si="3"/>
        <v>101.77</v>
      </c>
    </row>
    <row r="233" spans="1:20" x14ac:dyDescent="0.2">
      <c r="A233">
        <v>235</v>
      </c>
      <c r="B233">
        <v>1</v>
      </c>
      <c r="C233" t="s">
        <v>1085</v>
      </c>
      <c r="D233" t="s">
        <v>1086</v>
      </c>
      <c r="E233" t="s">
        <v>1087</v>
      </c>
      <c r="F233" t="s">
        <v>1088</v>
      </c>
      <c r="G233" t="s">
        <v>1089</v>
      </c>
      <c r="H233" t="s">
        <v>25</v>
      </c>
      <c r="I233" t="s">
        <v>25</v>
      </c>
      <c r="J233" t="s">
        <v>92</v>
      </c>
      <c r="K233" t="s">
        <v>540</v>
      </c>
      <c r="L233" s="2">
        <v>37391.056319351141</v>
      </c>
      <c r="M233" s="3">
        <v>0</v>
      </c>
      <c r="N233" s="3">
        <v>0</v>
      </c>
      <c r="O233" s="3">
        <v>0</v>
      </c>
      <c r="P233" s="3">
        <v>0</v>
      </c>
      <c r="Q233" s="3">
        <v>1</v>
      </c>
      <c r="R233" s="3">
        <v>0</v>
      </c>
      <c r="S233" t="s">
        <v>28</v>
      </c>
      <c r="T233" s="4">
        <f t="shared" si="3"/>
        <v>0</v>
      </c>
    </row>
    <row r="234" spans="1:20" x14ac:dyDescent="0.2">
      <c r="A234">
        <v>236</v>
      </c>
      <c r="B234">
        <v>1</v>
      </c>
      <c r="C234" t="s">
        <v>1090</v>
      </c>
      <c r="D234" t="s">
        <v>1091</v>
      </c>
      <c r="E234" t="s">
        <v>1087</v>
      </c>
      <c r="F234" t="s">
        <v>1092</v>
      </c>
      <c r="G234" t="s">
        <v>1093</v>
      </c>
      <c r="H234" t="s">
        <v>25</v>
      </c>
      <c r="I234" t="s">
        <v>25</v>
      </c>
      <c r="J234" t="s">
        <v>26</v>
      </c>
      <c r="K234" t="s">
        <v>210</v>
      </c>
      <c r="L234" s="2">
        <v>37391.056319351141</v>
      </c>
      <c r="M234" s="3">
        <v>0.26146498460367779</v>
      </c>
      <c r="N234" s="3">
        <v>0</v>
      </c>
      <c r="O234" s="3">
        <v>0.23076551825535149</v>
      </c>
      <c r="P234" s="3">
        <v>0.36458727504492738</v>
      </c>
      <c r="Q234" s="3">
        <v>0.14318222209604331</v>
      </c>
      <c r="R234" s="3">
        <v>0.5953527933002789</v>
      </c>
      <c r="S234" t="s">
        <v>125</v>
      </c>
      <c r="T234" s="4">
        <f t="shared" si="3"/>
        <v>181.68</v>
      </c>
    </row>
    <row r="235" spans="1:20" x14ac:dyDescent="0.2">
      <c r="A235">
        <v>237</v>
      </c>
      <c r="B235">
        <v>1</v>
      </c>
      <c r="C235" t="s">
        <v>1094</v>
      </c>
      <c r="D235" t="s">
        <v>1095</v>
      </c>
      <c r="E235" t="s">
        <v>1087</v>
      </c>
      <c r="F235" t="s">
        <v>1096</v>
      </c>
      <c r="G235" t="s">
        <v>1097</v>
      </c>
      <c r="H235" t="s">
        <v>25</v>
      </c>
      <c r="I235" t="s">
        <v>25</v>
      </c>
      <c r="J235" t="s">
        <v>26</v>
      </c>
      <c r="K235" t="s">
        <v>540</v>
      </c>
      <c r="L235" s="2">
        <v>37391.056319351141</v>
      </c>
      <c r="M235" s="3">
        <v>0.53686238965597544</v>
      </c>
      <c r="N235" s="3">
        <v>0</v>
      </c>
      <c r="O235" s="3">
        <v>0</v>
      </c>
      <c r="P235" s="3">
        <v>0</v>
      </c>
      <c r="Q235" s="3">
        <v>0.46313761034402462</v>
      </c>
      <c r="R235" s="3">
        <v>0</v>
      </c>
      <c r="S235" t="s">
        <v>28</v>
      </c>
      <c r="T235" s="4">
        <f t="shared" si="3"/>
        <v>53.69</v>
      </c>
    </row>
    <row r="236" spans="1:20" x14ac:dyDescent="0.2">
      <c r="A236">
        <v>238</v>
      </c>
      <c r="B236">
        <v>1</v>
      </c>
      <c r="C236" t="s">
        <v>1098</v>
      </c>
      <c r="D236" t="s">
        <v>1099</v>
      </c>
      <c r="E236" t="s">
        <v>1100</v>
      </c>
      <c r="F236" t="s">
        <v>1101</v>
      </c>
      <c r="G236" t="s">
        <v>1102</v>
      </c>
      <c r="H236" t="s">
        <v>25</v>
      </c>
      <c r="I236" t="s">
        <v>25</v>
      </c>
      <c r="J236" t="s">
        <v>26</v>
      </c>
      <c r="K236" t="s">
        <v>50</v>
      </c>
      <c r="L236" s="2">
        <v>37391.056319351141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t="s">
        <v>28</v>
      </c>
      <c r="T236" s="4">
        <f t="shared" si="3"/>
        <v>100</v>
      </c>
    </row>
    <row r="237" spans="1:20" x14ac:dyDescent="0.2">
      <c r="A237">
        <v>239</v>
      </c>
      <c r="B237">
        <v>1</v>
      </c>
      <c r="C237" t="s">
        <v>1103</v>
      </c>
      <c r="D237" t="s">
        <v>1104</v>
      </c>
      <c r="E237" t="s">
        <v>1105</v>
      </c>
      <c r="F237" t="s">
        <v>1106</v>
      </c>
      <c r="G237" t="s">
        <v>1107</v>
      </c>
      <c r="H237" t="s">
        <v>25</v>
      </c>
      <c r="I237" t="s">
        <v>25</v>
      </c>
      <c r="J237" t="s">
        <v>26</v>
      </c>
      <c r="K237" t="s">
        <v>1108</v>
      </c>
      <c r="L237" s="2">
        <v>37391.056319342293</v>
      </c>
      <c r="M237" s="3">
        <v>0.97485294887490581</v>
      </c>
      <c r="N237" s="3">
        <v>0</v>
      </c>
      <c r="O237" s="3">
        <v>0</v>
      </c>
      <c r="P237" s="3">
        <v>0</v>
      </c>
      <c r="Q237" s="3">
        <v>2.5147051125094189E-2</v>
      </c>
      <c r="R237" s="3">
        <v>0</v>
      </c>
      <c r="S237" t="s">
        <v>28</v>
      </c>
      <c r="T237" s="4">
        <f t="shared" si="3"/>
        <v>97.49</v>
      </c>
    </row>
    <row r="238" spans="1:20" x14ac:dyDescent="0.2">
      <c r="A238">
        <v>240</v>
      </c>
      <c r="B238">
        <v>1</v>
      </c>
      <c r="C238" t="s">
        <v>1109</v>
      </c>
      <c r="D238" t="s">
        <v>1110</v>
      </c>
      <c r="E238" t="s">
        <v>1105</v>
      </c>
      <c r="F238" t="s">
        <v>1111</v>
      </c>
      <c r="G238" t="s">
        <v>1112</v>
      </c>
      <c r="H238" t="s">
        <v>25</v>
      </c>
      <c r="I238" t="s">
        <v>25</v>
      </c>
      <c r="J238" t="s">
        <v>34</v>
      </c>
      <c r="K238" t="s">
        <v>1108</v>
      </c>
      <c r="L238" s="2">
        <v>37391.056319342293</v>
      </c>
      <c r="M238" s="3">
        <v>0.99421626602913893</v>
      </c>
      <c r="N238" s="3">
        <v>0</v>
      </c>
      <c r="O238" s="3">
        <v>5.7837339708610106E-3</v>
      </c>
      <c r="P238" s="3">
        <v>0</v>
      </c>
      <c r="Q238" s="3">
        <v>1.110223024625157E-16</v>
      </c>
      <c r="R238" s="3">
        <v>5.7837339708610106E-3</v>
      </c>
      <c r="S238" t="s">
        <v>28</v>
      </c>
      <c r="T238" s="4">
        <f t="shared" si="3"/>
        <v>100.58</v>
      </c>
    </row>
    <row r="239" spans="1:20" x14ac:dyDescent="0.2">
      <c r="A239">
        <v>241</v>
      </c>
      <c r="B239">
        <v>2</v>
      </c>
      <c r="C239" t="s">
        <v>1113</v>
      </c>
      <c r="D239" t="s">
        <v>1114</v>
      </c>
      <c r="E239" t="s">
        <v>1105</v>
      </c>
      <c r="F239" t="s">
        <v>1115</v>
      </c>
      <c r="G239" t="s">
        <v>1116</v>
      </c>
      <c r="H239" t="s">
        <v>67</v>
      </c>
      <c r="I239" t="s">
        <v>67</v>
      </c>
      <c r="J239" t="s">
        <v>26</v>
      </c>
      <c r="K239" t="s">
        <v>1108</v>
      </c>
      <c r="L239" s="2">
        <v>74782.112638684586</v>
      </c>
      <c r="M239" s="3">
        <v>0.89481242361668167</v>
      </c>
      <c r="N239" s="3">
        <v>0</v>
      </c>
      <c r="O239" s="3">
        <v>0.1051875763833393</v>
      </c>
      <c r="P239" s="3">
        <v>0</v>
      </c>
      <c r="Q239" s="3">
        <v>0</v>
      </c>
      <c r="R239" s="3">
        <v>0.1051875763833393</v>
      </c>
      <c r="S239" t="s">
        <v>36</v>
      </c>
      <c r="T239" s="4">
        <f t="shared" si="3"/>
        <v>110.52</v>
      </c>
    </row>
    <row r="240" spans="1:20" x14ac:dyDescent="0.2">
      <c r="A240">
        <v>242</v>
      </c>
      <c r="B240">
        <v>1</v>
      </c>
      <c r="C240" t="s">
        <v>1117</v>
      </c>
      <c r="D240" t="s">
        <v>1118</v>
      </c>
      <c r="E240" t="s">
        <v>1105</v>
      </c>
      <c r="F240" t="s">
        <v>1119</v>
      </c>
      <c r="G240" t="s">
        <v>1120</v>
      </c>
      <c r="H240" t="s">
        <v>25</v>
      </c>
      <c r="I240" t="s">
        <v>25</v>
      </c>
      <c r="J240" t="s">
        <v>26</v>
      </c>
      <c r="K240" t="s">
        <v>43</v>
      </c>
      <c r="L240" s="2">
        <v>37391.056319342293</v>
      </c>
      <c r="M240" s="3">
        <v>0.92331178782845191</v>
      </c>
      <c r="N240" s="3">
        <v>0</v>
      </c>
      <c r="O240" s="3">
        <v>1.216218147712906E-2</v>
      </c>
      <c r="P240" s="3">
        <v>6.4526030694465719E-2</v>
      </c>
      <c r="Q240" s="3">
        <v>0</v>
      </c>
      <c r="R240" s="3">
        <v>7.6688212171594772E-2</v>
      </c>
      <c r="S240" t="s">
        <v>28</v>
      </c>
      <c r="T240" s="4">
        <f t="shared" si="3"/>
        <v>114.12</v>
      </c>
    </row>
    <row r="241" spans="1:20" x14ac:dyDescent="0.2">
      <c r="A241">
        <v>243</v>
      </c>
      <c r="B241">
        <v>1</v>
      </c>
      <c r="C241" t="s">
        <v>1121</v>
      </c>
      <c r="D241" t="s">
        <v>1122</v>
      </c>
      <c r="E241" t="s">
        <v>1105</v>
      </c>
      <c r="F241" t="s">
        <v>1123</v>
      </c>
      <c r="G241" t="s">
        <v>1124</v>
      </c>
      <c r="H241" t="s">
        <v>67</v>
      </c>
      <c r="I241" t="s">
        <v>67</v>
      </c>
      <c r="J241" t="s">
        <v>26</v>
      </c>
      <c r="K241" t="s">
        <v>43</v>
      </c>
      <c r="L241" s="2">
        <v>37391.056319342293</v>
      </c>
      <c r="M241" s="3">
        <v>0.86678827990788565</v>
      </c>
      <c r="N241" s="3">
        <v>0</v>
      </c>
      <c r="O241" s="3">
        <v>0.13321172009220481</v>
      </c>
      <c r="P241" s="3">
        <v>0</v>
      </c>
      <c r="Q241" s="3">
        <v>0</v>
      </c>
      <c r="R241" s="3">
        <v>0.13321172009220481</v>
      </c>
      <c r="S241" t="s">
        <v>36</v>
      </c>
      <c r="T241" s="4">
        <f t="shared" si="3"/>
        <v>113.32</v>
      </c>
    </row>
    <row r="242" spans="1:20" x14ac:dyDescent="0.2">
      <c r="A242">
        <v>244</v>
      </c>
      <c r="B242">
        <v>1</v>
      </c>
      <c r="C242" t="s">
        <v>1125</v>
      </c>
      <c r="D242" t="s">
        <v>1126</v>
      </c>
      <c r="E242" t="s">
        <v>1105</v>
      </c>
      <c r="F242" t="s">
        <v>1127</v>
      </c>
      <c r="G242" t="s">
        <v>1128</v>
      </c>
      <c r="H242" t="s">
        <v>25</v>
      </c>
      <c r="I242" t="s">
        <v>25</v>
      </c>
      <c r="J242" t="s">
        <v>26</v>
      </c>
      <c r="K242" t="s">
        <v>43</v>
      </c>
      <c r="L242" s="2">
        <v>37391.056319342293</v>
      </c>
      <c r="M242" s="3">
        <v>0.84163404050857749</v>
      </c>
      <c r="N242" s="3">
        <v>0</v>
      </c>
      <c r="O242" s="3">
        <v>0.1561563210245866</v>
      </c>
      <c r="P242" s="3">
        <v>2.20963846683988E-3</v>
      </c>
      <c r="Q242" s="3">
        <v>0</v>
      </c>
      <c r="R242" s="3">
        <v>0.15836595949142651</v>
      </c>
      <c r="S242" t="s">
        <v>36</v>
      </c>
      <c r="T242" s="4">
        <f t="shared" si="3"/>
        <v>116.06</v>
      </c>
    </row>
    <row r="243" spans="1:20" x14ac:dyDescent="0.2">
      <c r="A243">
        <v>245</v>
      </c>
      <c r="B243">
        <v>1</v>
      </c>
      <c r="C243" t="s">
        <v>1129</v>
      </c>
      <c r="D243" t="s">
        <v>1130</v>
      </c>
      <c r="E243" t="s">
        <v>1131</v>
      </c>
      <c r="F243" t="s">
        <v>1132</v>
      </c>
      <c r="G243" t="s">
        <v>1132</v>
      </c>
      <c r="H243" t="s">
        <v>25</v>
      </c>
      <c r="I243" t="s">
        <v>25</v>
      </c>
      <c r="J243" t="s">
        <v>26</v>
      </c>
      <c r="K243" t="s">
        <v>43</v>
      </c>
      <c r="L243" s="2">
        <v>37391.056319338189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t="s">
        <v>28</v>
      </c>
      <c r="T243" s="4">
        <f t="shared" si="3"/>
        <v>100</v>
      </c>
    </row>
    <row r="244" spans="1:20" x14ac:dyDescent="0.2">
      <c r="A244">
        <v>246</v>
      </c>
      <c r="B244">
        <v>1</v>
      </c>
      <c r="C244" t="s">
        <v>1133</v>
      </c>
      <c r="D244" t="s">
        <v>1134</v>
      </c>
      <c r="E244" t="s">
        <v>1131</v>
      </c>
      <c r="F244" t="s">
        <v>1135</v>
      </c>
      <c r="G244" t="s">
        <v>1135</v>
      </c>
      <c r="H244" t="s">
        <v>25</v>
      </c>
      <c r="I244" t="s">
        <v>25</v>
      </c>
      <c r="J244" t="s">
        <v>92</v>
      </c>
      <c r="K244" t="s">
        <v>43</v>
      </c>
      <c r="L244" s="2">
        <v>37391.056319351141</v>
      </c>
      <c r="M244" s="3">
        <v>0</v>
      </c>
      <c r="N244" s="3">
        <v>0</v>
      </c>
      <c r="O244" s="3">
        <v>6.0751606061119998E-2</v>
      </c>
      <c r="P244" s="3">
        <v>4.8929018599902551E-3</v>
      </c>
      <c r="Q244" s="3">
        <v>0.93435549207888979</v>
      </c>
      <c r="R244" s="3">
        <v>6.5644507921110248E-2</v>
      </c>
      <c r="S244" t="s">
        <v>28</v>
      </c>
      <c r="T244" s="4">
        <f t="shared" si="3"/>
        <v>13.62</v>
      </c>
    </row>
    <row r="245" spans="1:20" x14ac:dyDescent="0.2">
      <c r="A245">
        <v>247</v>
      </c>
      <c r="B245">
        <v>1</v>
      </c>
      <c r="C245" t="s">
        <v>1136</v>
      </c>
      <c r="D245" t="s">
        <v>1137</v>
      </c>
      <c r="E245" t="s">
        <v>1131</v>
      </c>
      <c r="F245" t="s">
        <v>1138</v>
      </c>
      <c r="G245" t="s">
        <v>1138</v>
      </c>
      <c r="H245" t="s">
        <v>25</v>
      </c>
      <c r="I245" t="s">
        <v>25</v>
      </c>
      <c r="J245" t="s">
        <v>26</v>
      </c>
      <c r="K245" t="s">
        <v>43</v>
      </c>
      <c r="L245" s="2">
        <v>37391.056319351141</v>
      </c>
      <c r="M245" s="3">
        <v>0.66713404515804675</v>
      </c>
      <c r="N245" s="3">
        <v>0</v>
      </c>
      <c r="O245" s="3">
        <v>0.1304604614914418</v>
      </c>
      <c r="P245" s="3">
        <v>0.12966640995093459</v>
      </c>
      <c r="Q245" s="3">
        <v>7.2739083399576909E-2</v>
      </c>
      <c r="R245" s="3">
        <v>0.2601268714423764</v>
      </c>
      <c r="S245" t="s">
        <v>69</v>
      </c>
      <c r="T245" s="4">
        <f t="shared" si="3"/>
        <v>131.71</v>
      </c>
    </row>
    <row r="246" spans="1:20" x14ac:dyDescent="0.2">
      <c r="A246">
        <v>248</v>
      </c>
      <c r="B246">
        <v>1</v>
      </c>
      <c r="C246" t="s">
        <v>1139</v>
      </c>
      <c r="D246" t="s">
        <v>1140</v>
      </c>
      <c r="E246" t="s">
        <v>1141</v>
      </c>
      <c r="F246" t="s">
        <v>1142</v>
      </c>
      <c r="G246" t="s">
        <v>1143</v>
      </c>
      <c r="H246" t="s">
        <v>25</v>
      </c>
      <c r="I246" t="s">
        <v>25</v>
      </c>
      <c r="J246" t="s">
        <v>26</v>
      </c>
      <c r="K246" t="s">
        <v>1108</v>
      </c>
      <c r="L246" s="2">
        <v>37391.056319342293</v>
      </c>
      <c r="M246" s="3">
        <v>0.91230418059531349</v>
      </c>
      <c r="N246" s="3">
        <v>0</v>
      </c>
      <c r="O246" s="3">
        <v>8.7695819404747424E-2</v>
      </c>
      <c r="P246" s="3">
        <v>0</v>
      </c>
      <c r="Q246" s="3">
        <v>0</v>
      </c>
      <c r="R246" s="3">
        <v>8.7695819404747424E-2</v>
      </c>
      <c r="S246" t="s">
        <v>28</v>
      </c>
      <c r="T246" s="4">
        <f t="shared" si="3"/>
        <v>108.77</v>
      </c>
    </row>
    <row r="247" spans="1:20" x14ac:dyDescent="0.2">
      <c r="A247">
        <v>249</v>
      </c>
      <c r="B247">
        <v>1</v>
      </c>
      <c r="C247" t="s">
        <v>1144</v>
      </c>
      <c r="D247" t="s">
        <v>1145</v>
      </c>
      <c r="E247" t="s">
        <v>1141</v>
      </c>
      <c r="F247" t="s">
        <v>1146</v>
      </c>
      <c r="G247" t="s">
        <v>1147</v>
      </c>
      <c r="H247" t="s">
        <v>25</v>
      </c>
      <c r="I247" t="s">
        <v>25</v>
      </c>
      <c r="J247" t="s">
        <v>34</v>
      </c>
      <c r="K247" t="s">
        <v>1108</v>
      </c>
      <c r="L247" s="2">
        <v>37391.056319342293</v>
      </c>
      <c r="M247" s="3">
        <v>0.81893826401847092</v>
      </c>
      <c r="N247" s="3">
        <v>0</v>
      </c>
      <c r="O247" s="3">
        <v>0</v>
      </c>
      <c r="P247" s="3">
        <v>0</v>
      </c>
      <c r="Q247" s="3">
        <v>0.18106173598152911</v>
      </c>
      <c r="R247" s="3">
        <v>0</v>
      </c>
      <c r="S247" t="s">
        <v>28</v>
      </c>
      <c r="T247" s="4">
        <f t="shared" si="3"/>
        <v>81.89</v>
      </c>
    </row>
    <row r="248" spans="1:20" x14ac:dyDescent="0.2">
      <c r="A248">
        <v>250</v>
      </c>
      <c r="B248">
        <v>1</v>
      </c>
      <c r="C248" t="s">
        <v>1148</v>
      </c>
      <c r="D248" t="s">
        <v>1149</v>
      </c>
      <c r="E248" t="s">
        <v>1141</v>
      </c>
      <c r="F248" t="s">
        <v>1150</v>
      </c>
      <c r="G248" t="s">
        <v>1151</v>
      </c>
      <c r="H248" t="s">
        <v>25</v>
      </c>
      <c r="I248" t="s">
        <v>25</v>
      </c>
      <c r="J248" t="s">
        <v>34</v>
      </c>
      <c r="K248" t="s">
        <v>1108</v>
      </c>
      <c r="L248" s="2">
        <v>37391.056319342293</v>
      </c>
      <c r="M248" s="3">
        <v>0.94673126947227604</v>
      </c>
      <c r="N248" s="3">
        <v>0</v>
      </c>
      <c r="O248" s="3">
        <v>5.3268730527791817E-2</v>
      </c>
      <c r="P248" s="3">
        <v>0</v>
      </c>
      <c r="Q248" s="3">
        <v>0</v>
      </c>
      <c r="R248" s="3">
        <v>5.3268730527791817E-2</v>
      </c>
      <c r="S248" t="s">
        <v>28</v>
      </c>
      <c r="T248" s="4">
        <f t="shared" si="3"/>
        <v>105.33</v>
      </c>
    </row>
    <row r="249" spans="1:20" x14ac:dyDescent="0.2">
      <c r="A249">
        <v>251</v>
      </c>
      <c r="B249">
        <v>1</v>
      </c>
      <c r="C249" t="s">
        <v>1152</v>
      </c>
      <c r="D249" t="s">
        <v>1153</v>
      </c>
      <c r="E249" t="s">
        <v>1141</v>
      </c>
      <c r="F249" t="s">
        <v>1154</v>
      </c>
      <c r="G249" t="s">
        <v>1155</v>
      </c>
      <c r="H249" t="s">
        <v>25</v>
      </c>
      <c r="I249" t="s">
        <v>25</v>
      </c>
      <c r="J249" t="s">
        <v>26</v>
      </c>
      <c r="K249" t="s">
        <v>43</v>
      </c>
      <c r="L249" s="2">
        <v>37391.056319342293</v>
      </c>
      <c r="M249" s="3">
        <v>0.90161431404526915</v>
      </c>
      <c r="N249" s="3">
        <v>0</v>
      </c>
      <c r="O249" s="3">
        <v>9.8385685954770305E-2</v>
      </c>
      <c r="P249" s="3">
        <v>0</v>
      </c>
      <c r="Q249" s="3">
        <v>0</v>
      </c>
      <c r="R249" s="3">
        <v>9.8385685954770305E-2</v>
      </c>
      <c r="S249" t="s">
        <v>28</v>
      </c>
      <c r="T249" s="4">
        <f t="shared" si="3"/>
        <v>109.84</v>
      </c>
    </row>
    <row r="250" spans="1:20" x14ac:dyDescent="0.2">
      <c r="A250">
        <v>252</v>
      </c>
      <c r="B250">
        <v>1</v>
      </c>
      <c r="C250" t="s">
        <v>1156</v>
      </c>
      <c r="D250" t="s">
        <v>1157</v>
      </c>
      <c r="E250" t="s">
        <v>1141</v>
      </c>
      <c r="F250" t="s">
        <v>1158</v>
      </c>
      <c r="G250" t="s">
        <v>1159</v>
      </c>
      <c r="H250" t="s">
        <v>25</v>
      </c>
      <c r="I250" t="s">
        <v>25</v>
      </c>
      <c r="J250" t="s">
        <v>26</v>
      </c>
      <c r="K250" t="s">
        <v>1108</v>
      </c>
      <c r="L250" s="2">
        <v>37391.056319342293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t="s">
        <v>28</v>
      </c>
      <c r="T250" s="4">
        <f t="shared" si="3"/>
        <v>100</v>
      </c>
    </row>
    <row r="251" spans="1:20" x14ac:dyDescent="0.2">
      <c r="A251">
        <v>253</v>
      </c>
      <c r="B251">
        <v>1</v>
      </c>
      <c r="C251" t="s">
        <v>1160</v>
      </c>
      <c r="D251" t="s">
        <v>1161</v>
      </c>
      <c r="E251" t="s">
        <v>1162</v>
      </c>
      <c r="F251" t="s">
        <v>1163</v>
      </c>
      <c r="G251" t="s">
        <v>1164</v>
      </c>
      <c r="H251" t="s">
        <v>25</v>
      </c>
      <c r="I251" t="s">
        <v>25</v>
      </c>
      <c r="J251" t="s">
        <v>34</v>
      </c>
      <c r="K251" t="s">
        <v>35</v>
      </c>
      <c r="L251" s="2">
        <v>37391.056319342293</v>
      </c>
      <c r="M251" s="3">
        <v>0.93980339994160611</v>
      </c>
      <c r="N251" s="3">
        <v>0</v>
      </c>
      <c r="O251" s="3">
        <v>6.0196600058386791E-2</v>
      </c>
      <c r="P251" s="3">
        <v>0</v>
      </c>
      <c r="Q251" s="3">
        <v>7.1054273576010019E-15</v>
      </c>
      <c r="R251" s="3">
        <v>6.0196600058386791E-2</v>
      </c>
      <c r="S251" t="s">
        <v>28</v>
      </c>
      <c r="T251" s="4">
        <f t="shared" si="3"/>
        <v>106.02</v>
      </c>
    </row>
    <row r="252" spans="1:20" x14ac:dyDescent="0.2">
      <c r="A252">
        <v>254</v>
      </c>
      <c r="B252">
        <v>1</v>
      </c>
      <c r="C252" t="s">
        <v>1165</v>
      </c>
      <c r="D252" t="s">
        <v>1166</v>
      </c>
      <c r="E252" t="s">
        <v>1162</v>
      </c>
      <c r="F252" t="s">
        <v>1167</v>
      </c>
      <c r="G252" t="s">
        <v>1168</v>
      </c>
      <c r="H252" t="s">
        <v>25</v>
      </c>
      <c r="I252" t="s">
        <v>25</v>
      </c>
      <c r="J252" t="s">
        <v>26</v>
      </c>
      <c r="K252" t="s">
        <v>35</v>
      </c>
      <c r="L252" s="2">
        <v>37391.056319342293</v>
      </c>
      <c r="M252" s="3">
        <v>0.94083941036261876</v>
      </c>
      <c r="N252" s="3">
        <v>0</v>
      </c>
      <c r="O252" s="3">
        <v>5.9160589637432003E-2</v>
      </c>
      <c r="P252" s="3">
        <v>0</v>
      </c>
      <c r="Q252" s="3">
        <v>0</v>
      </c>
      <c r="R252" s="3">
        <v>5.9160589637432003E-2</v>
      </c>
      <c r="S252" t="s">
        <v>28</v>
      </c>
      <c r="T252" s="4">
        <f t="shared" si="3"/>
        <v>105.92</v>
      </c>
    </row>
    <row r="253" spans="1:20" x14ac:dyDescent="0.2">
      <c r="A253">
        <v>255</v>
      </c>
      <c r="B253">
        <v>1</v>
      </c>
      <c r="C253" t="s">
        <v>1169</v>
      </c>
      <c r="D253" t="s">
        <v>1170</v>
      </c>
      <c r="E253" t="s">
        <v>1162</v>
      </c>
      <c r="F253" t="s">
        <v>1171</v>
      </c>
      <c r="G253" t="s">
        <v>1172</v>
      </c>
      <c r="H253" t="s">
        <v>25</v>
      </c>
      <c r="I253" t="s">
        <v>25</v>
      </c>
      <c r="J253" t="s">
        <v>34</v>
      </c>
      <c r="K253" t="s">
        <v>35</v>
      </c>
      <c r="L253" s="2">
        <v>37391.056319342293</v>
      </c>
      <c r="M253" s="3">
        <v>0.97081253602777373</v>
      </c>
      <c r="N253" s="3">
        <v>0</v>
      </c>
      <c r="O253" s="3">
        <v>2.9187463972226539E-2</v>
      </c>
      <c r="P253" s="3">
        <v>0</v>
      </c>
      <c r="Q253" s="3">
        <v>0</v>
      </c>
      <c r="R253" s="3">
        <v>2.9187463972226539E-2</v>
      </c>
      <c r="S253" t="s">
        <v>28</v>
      </c>
      <c r="T253" s="4">
        <f t="shared" si="3"/>
        <v>102.92</v>
      </c>
    </row>
    <row r="254" spans="1:20" x14ac:dyDescent="0.2">
      <c r="A254">
        <v>256</v>
      </c>
      <c r="B254">
        <v>1</v>
      </c>
      <c r="C254" t="s">
        <v>1173</v>
      </c>
      <c r="D254" t="s">
        <v>1174</v>
      </c>
      <c r="E254" t="s">
        <v>1162</v>
      </c>
      <c r="F254" t="s">
        <v>1175</v>
      </c>
      <c r="G254" t="s">
        <v>1176</v>
      </c>
      <c r="H254" t="s">
        <v>25</v>
      </c>
      <c r="I254" t="s">
        <v>25</v>
      </c>
      <c r="J254" t="s">
        <v>26</v>
      </c>
      <c r="K254" t="s">
        <v>35</v>
      </c>
      <c r="L254" s="2">
        <v>37391.056319342293</v>
      </c>
      <c r="M254" s="3">
        <v>0</v>
      </c>
      <c r="N254" s="3">
        <v>0</v>
      </c>
      <c r="O254" s="3">
        <v>9.6996644466381843E-2</v>
      </c>
      <c r="P254" s="3">
        <v>0.90300335553332423</v>
      </c>
      <c r="Q254" s="3">
        <v>2.939870569207415E-13</v>
      </c>
      <c r="R254" s="3">
        <v>0.99999999999970601</v>
      </c>
      <c r="S254" t="s">
        <v>44</v>
      </c>
      <c r="T254" s="4">
        <f t="shared" si="3"/>
        <v>290.3</v>
      </c>
    </row>
    <row r="255" spans="1:20" x14ac:dyDescent="0.2">
      <c r="A255">
        <v>257</v>
      </c>
      <c r="B255">
        <v>1</v>
      </c>
      <c r="C255" t="s">
        <v>1177</v>
      </c>
      <c r="D255" t="s">
        <v>1178</v>
      </c>
      <c r="E255" t="s">
        <v>1179</v>
      </c>
      <c r="F255" t="s">
        <v>1180</v>
      </c>
      <c r="G255" t="s">
        <v>1180</v>
      </c>
      <c r="H255" t="s">
        <v>25</v>
      </c>
      <c r="I255" t="s">
        <v>25</v>
      </c>
      <c r="J255" t="s">
        <v>26</v>
      </c>
      <c r="K255" t="s">
        <v>43</v>
      </c>
      <c r="L255" s="2">
        <v>37391.056319351141</v>
      </c>
      <c r="M255" s="3">
        <v>1.0992254716111869E-2</v>
      </c>
      <c r="N255" s="3">
        <v>0</v>
      </c>
      <c r="O255" s="3">
        <v>0.10438121730288021</v>
      </c>
      <c r="P255" s="3">
        <v>0</v>
      </c>
      <c r="Q255" s="3">
        <v>0.88462652798100794</v>
      </c>
      <c r="R255" s="3">
        <v>0.10438121730288021</v>
      </c>
      <c r="S255" t="s">
        <v>36</v>
      </c>
      <c r="T255" s="4">
        <f t="shared" si="3"/>
        <v>21.98</v>
      </c>
    </row>
    <row r="256" spans="1:20" x14ac:dyDescent="0.2">
      <c r="A256">
        <v>258</v>
      </c>
      <c r="B256">
        <v>2</v>
      </c>
      <c r="C256" t="s">
        <v>1181</v>
      </c>
      <c r="D256" t="s">
        <v>1182</v>
      </c>
      <c r="E256" t="s">
        <v>1183</v>
      </c>
      <c r="F256" t="s">
        <v>1184</v>
      </c>
      <c r="G256" t="s">
        <v>1185</v>
      </c>
      <c r="H256" t="s">
        <v>67</v>
      </c>
      <c r="I256" t="s">
        <v>67</v>
      </c>
      <c r="J256" t="s">
        <v>92</v>
      </c>
      <c r="K256" t="s">
        <v>35</v>
      </c>
      <c r="L256" s="2">
        <v>74782.112638702281</v>
      </c>
      <c r="M256" s="3">
        <v>1.923217830136693E-2</v>
      </c>
      <c r="N256" s="3">
        <v>0</v>
      </c>
      <c r="O256" s="3">
        <v>6.5852999594374947E-2</v>
      </c>
      <c r="P256" s="3">
        <v>0</v>
      </c>
      <c r="Q256" s="3">
        <v>0.91491482210425801</v>
      </c>
      <c r="R256" s="3">
        <v>6.5852999594374947E-2</v>
      </c>
      <c r="S256" t="s">
        <v>28</v>
      </c>
      <c r="T256" s="4">
        <f t="shared" si="3"/>
        <v>15.09</v>
      </c>
    </row>
    <row r="257" spans="1:20" x14ac:dyDescent="0.2">
      <c r="A257">
        <v>259</v>
      </c>
      <c r="B257">
        <v>1</v>
      </c>
      <c r="C257" t="s">
        <v>1186</v>
      </c>
      <c r="D257" t="s">
        <v>1187</v>
      </c>
      <c r="E257" t="s">
        <v>1179</v>
      </c>
      <c r="F257" t="s">
        <v>1188</v>
      </c>
      <c r="G257" t="s">
        <v>1189</v>
      </c>
      <c r="H257" t="s">
        <v>25</v>
      </c>
      <c r="I257" t="s">
        <v>25</v>
      </c>
      <c r="J257" t="s">
        <v>26</v>
      </c>
      <c r="K257" t="s">
        <v>43</v>
      </c>
      <c r="L257" s="2">
        <v>37391.056319351141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t="s">
        <v>28</v>
      </c>
      <c r="T257" s="4">
        <f t="shared" si="3"/>
        <v>100</v>
      </c>
    </row>
    <row r="258" spans="1:20" x14ac:dyDescent="0.2">
      <c r="A258">
        <v>260</v>
      </c>
      <c r="B258">
        <v>1</v>
      </c>
      <c r="C258" t="s">
        <v>1190</v>
      </c>
      <c r="D258" t="s">
        <v>1191</v>
      </c>
      <c r="E258" t="s">
        <v>1179</v>
      </c>
      <c r="F258" t="s">
        <v>1192</v>
      </c>
      <c r="G258" t="s">
        <v>1193</v>
      </c>
      <c r="H258" t="s">
        <v>25</v>
      </c>
      <c r="I258" t="s">
        <v>25</v>
      </c>
      <c r="J258" t="s">
        <v>26</v>
      </c>
      <c r="K258" t="s">
        <v>43</v>
      </c>
      <c r="L258" s="2">
        <v>37391.056319351141</v>
      </c>
      <c r="M258" s="3">
        <v>0.5044999472529812</v>
      </c>
      <c r="N258" s="3">
        <v>0</v>
      </c>
      <c r="O258" s="3">
        <v>0</v>
      </c>
      <c r="P258" s="3">
        <v>0</v>
      </c>
      <c r="Q258" s="3">
        <v>0.49550005274701869</v>
      </c>
      <c r="R258" s="3">
        <v>0</v>
      </c>
      <c r="S258" t="s">
        <v>28</v>
      </c>
      <c r="T258" s="4">
        <f t="shared" ref="T258:T321" si="4">ROUND((M258*100*1)+(O258*100*2)+(P258*100*3),2)</f>
        <v>50.45</v>
      </c>
    </row>
    <row r="259" spans="1:20" x14ac:dyDescent="0.2">
      <c r="A259">
        <v>261</v>
      </c>
      <c r="B259">
        <v>1</v>
      </c>
      <c r="C259" t="s">
        <v>1194</v>
      </c>
      <c r="D259" t="s">
        <v>1195</v>
      </c>
      <c r="E259" t="s">
        <v>1196</v>
      </c>
      <c r="F259" t="s">
        <v>1197</v>
      </c>
      <c r="G259" t="s">
        <v>1198</v>
      </c>
      <c r="H259" t="s">
        <v>25</v>
      </c>
      <c r="I259" t="s">
        <v>25</v>
      </c>
      <c r="J259" t="s">
        <v>34</v>
      </c>
      <c r="K259" t="s">
        <v>1108</v>
      </c>
      <c r="L259" s="2">
        <v>37391.056319342293</v>
      </c>
      <c r="M259" s="3">
        <v>0.99082199372002955</v>
      </c>
      <c r="N259" s="3">
        <v>0</v>
      </c>
      <c r="O259" s="3">
        <v>9.0867236698263781E-3</v>
      </c>
      <c r="P259" s="3">
        <v>9.1282610228614924E-5</v>
      </c>
      <c r="Q259" s="3">
        <v>0</v>
      </c>
      <c r="R259" s="3">
        <v>9.1780062800549938E-3</v>
      </c>
      <c r="S259" t="s">
        <v>28</v>
      </c>
      <c r="T259" s="4">
        <f t="shared" si="4"/>
        <v>100.93</v>
      </c>
    </row>
    <row r="260" spans="1:20" x14ac:dyDescent="0.2">
      <c r="A260">
        <v>262</v>
      </c>
      <c r="B260">
        <v>1</v>
      </c>
      <c r="C260" t="s">
        <v>1199</v>
      </c>
      <c r="D260" t="s">
        <v>1200</v>
      </c>
      <c r="E260" t="s">
        <v>1196</v>
      </c>
      <c r="F260" t="s">
        <v>1201</v>
      </c>
      <c r="G260" t="s">
        <v>1202</v>
      </c>
      <c r="H260" t="s">
        <v>25</v>
      </c>
      <c r="I260" t="s">
        <v>25</v>
      </c>
      <c r="J260" t="s">
        <v>92</v>
      </c>
      <c r="K260" t="s">
        <v>1108</v>
      </c>
      <c r="L260" s="2">
        <v>37391.056319342293</v>
      </c>
      <c r="M260" s="3">
        <v>0.37784743968412482</v>
      </c>
      <c r="N260" s="3">
        <v>0</v>
      </c>
      <c r="O260" s="3">
        <v>0.2024264682517356</v>
      </c>
      <c r="P260" s="3">
        <v>0.32959821379909221</v>
      </c>
      <c r="Q260" s="3">
        <v>9.0127878265047423E-2</v>
      </c>
      <c r="R260" s="3">
        <v>0.53202468205082787</v>
      </c>
      <c r="S260" t="s">
        <v>125</v>
      </c>
      <c r="T260" s="4">
        <f t="shared" si="4"/>
        <v>177.15</v>
      </c>
    </row>
    <row r="261" spans="1:20" x14ac:dyDescent="0.2">
      <c r="A261">
        <v>263</v>
      </c>
      <c r="B261">
        <v>1</v>
      </c>
      <c r="C261" t="s">
        <v>1203</v>
      </c>
      <c r="D261" t="s">
        <v>1204</v>
      </c>
      <c r="E261" t="s">
        <v>1196</v>
      </c>
      <c r="F261" t="s">
        <v>1205</v>
      </c>
      <c r="G261" t="s">
        <v>1206</v>
      </c>
      <c r="H261" t="s">
        <v>25</v>
      </c>
      <c r="I261" t="s">
        <v>25</v>
      </c>
      <c r="J261" t="s">
        <v>26</v>
      </c>
      <c r="K261" t="s">
        <v>1108</v>
      </c>
      <c r="L261" s="2">
        <v>37391.056319342293</v>
      </c>
      <c r="M261" s="3">
        <v>0.73990185810174802</v>
      </c>
      <c r="N261" s="3">
        <v>0</v>
      </c>
      <c r="O261" s="3">
        <v>0.20298005540373479</v>
      </c>
      <c r="P261" s="3">
        <v>8.9357055318570547E-4</v>
      </c>
      <c r="Q261" s="3">
        <v>5.6224515941331481E-2</v>
      </c>
      <c r="R261" s="3">
        <v>0.20387362595692049</v>
      </c>
      <c r="S261" t="s">
        <v>69</v>
      </c>
      <c r="T261" s="4">
        <f t="shared" si="4"/>
        <v>114.85</v>
      </c>
    </row>
    <row r="262" spans="1:20" x14ac:dyDescent="0.2">
      <c r="A262">
        <v>264</v>
      </c>
      <c r="B262">
        <v>1</v>
      </c>
      <c r="C262" t="s">
        <v>1207</v>
      </c>
      <c r="D262" t="s">
        <v>1208</v>
      </c>
      <c r="E262" t="s">
        <v>1196</v>
      </c>
      <c r="F262" t="s">
        <v>1209</v>
      </c>
      <c r="G262" t="s">
        <v>1210</v>
      </c>
      <c r="H262" t="s">
        <v>25</v>
      </c>
      <c r="I262" t="s">
        <v>25</v>
      </c>
      <c r="J262" t="s">
        <v>26</v>
      </c>
      <c r="K262" t="s">
        <v>1108</v>
      </c>
      <c r="L262" s="2">
        <v>37391.056319342293</v>
      </c>
      <c r="M262" s="3">
        <v>0.81574730655190664</v>
      </c>
      <c r="N262" s="3">
        <v>0</v>
      </c>
      <c r="O262" s="3">
        <v>0.1842526934478787</v>
      </c>
      <c r="P262" s="3">
        <v>0</v>
      </c>
      <c r="Q262" s="3">
        <v>2.147171329625053E-13</v>
      </c>
      <c r="R262" s="3">
        <v>0.1842526934478787</v>
      </c>
      <c r="S262" t="s">
        <v>36</v>
      </c>
      <c r="T262" s="4">
        <f t="shared" si="4"/>
        <v>118.43</v>
      </c>
    </row>
    <row r="263" spans="1:20" x14ac:dyDescent="0.2">
      <c r="A263">
        <v>265</v>
      </c>
      <c r="B263">
        <v>1</v>
      </c>
      <c r="C263" t="s">
        <v>1211</v>
      </c>
      <c r="D263" t="s">
        <v>1212</v>
      </c>
      <c r="E263" t="s">
        <v>1196</v>
      </c>
      <c r="F263" t="s">
        <v>1213</v>
      </c>
      <c r="G263" t="s">
        <v>1213</v>
      </c>
      <c r="H263" t="s">
        <v>25</v>
      </c>
      <c r="I263" t="s">
        <v>25</v>
      </c>
      <c r="J263" t="s">
        <v>92</v>
      </c>
      <c r="K263" t="s">
        <v>1108</v>
      </c>
      <c r="L263" s="2">
        <v>37391.056319342293</v>
      </c>
      <c r="M263" s="3">
        <v>0.88898693131360251</v>
      </c>
      <c r="N263" s="3">
        <v>0</v>
      </c>
      <c r="O263" s="3">
        <v>0.1043934710572637</v>
      </c>
      <c r="P263" s="3">
        <v>6.6195976291441366E-3</v>
      </c>
      <c r="Q263" s="3">
        <v>0</v>
      </c>
      <c r="R263" s="3">
        <v>0.1110130686864078</v>
      </c>
      <c r="S263" t="s">
        <v>36</v>
      </c>
      <c r="T263" s="4">
        <f t="shared" si="4"/>
        <v>111.76</v>
      </c>
    </row>
    <row r="264" spans="1:20" x14ac:dyDescent="0.2">
      <c r="A264">
        <v>266</v>
      </c>
      <c r="B264">
        <v>1</v>
      </c>
      <c r="C264" t="s">
        <v>1214</v>
      </c>
      <c r="D264" t="s">
        <v>1215</v>
      </c>
      <c r="E264" t="s">
        <v>1216</v>
      </c>
      <c r="F264" t="s">
        <v>1055</v>
      </c>
      <c r="G264" t="s">
        <v>1217</v>
      </c>
      <c r="H264" t="s">
        <v>25</v>
      </c>
      <c r="I264" t="s">
        <v>25</v>
      </c>
      <c r="J264" t="s">
        <v>26</v>
      </c>
      <c r="K264" t="s">
        <v>650</v>
      </c>
      <c r="L264" s="2">
        <v>37391.056319342293</v>
      </c>
      <c r="M264" s="3">
        <v>6.039625484247834E-2</v>
      </c>
      <c r="N264" s="3">
        <v>0</v>
      </c>
      <c r="O264" s="3">
        <v>0.19757580554487489</v>
      </c>
      <c r="P264" s="3">
        <v>0.74202793961269597</v>
      </c>
      <c r="Q264" s="3">
        <v>0</v>
      </c>
      <c r="R264" s="3">
        <v>0.93960374515757084</v>
      </c>
      <c r="S264" t="s">
        <v>44</v>
      </c>
      <c r="T264" s="4">
        <f t="shared" si="4"/>
        <v>268.16000000000003</v>
      </c>
    </row>
    <row r="265" spans="1:20" x14ac:dyDescent="0.2">
      <c r="A265">
        <v>267</v>
      </c>
      <c r="B265">
        <v>1</v>
      </c>
      <c r="C265" t="s">
        <v>1218</v>
      </c>
      <c r="D265" t="s">
        <v>1219</v>
      </c>
      <c r="E265" t="s">
        <v>1220</v>
      </c>
      <c r="F265" t="s">
        <v>1221</v>
      </c>
      <c r="G265" t="s">
        <v>1222</v>
      </c>
      <c r="H265" t="s">
        <v>25</v>
      </c>
      <c r="I265" t="s">
        <v>25</v>
      </c>
      <c r="J265" t="s">
        <v>34</v>
      </c>
      <c r="K265" t="s">
        <v>1108</v>
      </c>
      <c r="L265" s="2">
        <v>37391.056319342293</v>
      </c>
      <c r="M265" s="3">
        <v>2.1703574090084679E-2</v>
      </c>
      <c r="N265" s="3">
        <v>0</v>
      </c>
      <c r="O265" s="3">
        <v>0</v>
      </c>
      <c r="P265" s="3">
        <v>0</v>
      </c>
      <c r="Q265" s="3">
        <v>0.97829642590991528</v>
      </c>
      <c r="R265" s="3">
        <v>0</v>
      </c>
      <c r="S265" t="s">
        <v>28</v>
      </c>
      <c r="T265" s="4">
        <f t="shared" si="4"/>
        <v>2.17</v>
      </c>
    </row>
    <row r="266" spans="1:20" x14ac:dyDescent="0.2">
      <c r="A266">
        <v>268</v>
      </c>
      <c r="B266">
        <v>3</v>
      </c>
      <c r="C266" t="s">
        <v>1223</v>
      </c>
      <c r="D266" t="s">
        <v>1224</v>
      </c>
      <c r="E266" t="s">
        <v>1220</v>
      </c>
      <c r="F266" t="s">
        <v>171</v>
      </c>
      <c r="G266" t="s">
        <v>172</v>
      </c>
      <c r="H266" t="s">
        <v>25</v>
      </c>
      <c r="I266" t="s">
        <v>25</v>
      </c>
      <c r="J266" t="s">
        <v>34</v>
      </c>
      <c r="K266" t="s">
        <v>1108</v>
      </c>
      <c r="L266" s="2">
        <v>112173.1689580269</v>
      </c>
      <c r="M266" s="3">
        <v>0.62793185473085089</v>
      </c>
      <c r="N266" s="3">
        <v>0</v>
      </c>
      <c r="O266" s="3">
        <v>9.6132519625046389E-2</v>
      </c>
      <c r="P266" s="3">
        <v>1.3365555953605E-2</v>
      </c>
      <c r="Q266" s="3">
        <v>0.26257006969049762</v>
      </c>
      <c r="R266" s="3">
        <v>0.1094980755786514</v>
      </c>
      <c r="S266" t="s">
        <v>36</v>
      </c>
      <c r="T266" s="4">
        <f t="shared" si="4"/>
        <v>86.03</v>
      </c>
    </row>
    <row r="267" spans="1:20" x14ac:dyDescent="0.2">
      <c r="A267">
        <v>269</v>
      </c>
      <c r="B267">
        <v>2</v>
      </c>
      <c r="C267" t="s">
        <v>1225</v>
      </c>
      <c r="D267" t="s">
        <v>1226</v>
      </c>
      <c r="E267" t="s">
        <v>1227</v>
      </c>
      <c r="F267" t="s">
        <v>1228</v>
      </c>
      <c r="G267" t="s">
        <v>1229</v>
      </c>
      <c r="H267" t="s">
        <v>25</v>
      </c>
      <c r="I267" t="s">
        <v>25</v>
      </c>
      <c r="J267" t="s">
        <v>26</v>
      </c>
      <c r="K267" t="s">
        <v>1108</v>
      </c>
      <c r="L267" s="2">
        <v>74782.112638684586</v>
      </c>
      <c r="M267" s="3">
        <v>0.83284551061534018</v>
      </c>
      <c r="N267" s="3">
        <v>0</v>
      </c>
      <c r="O267" s="3">
        <v>0.16715448938471861</v>
      </c>
      <c r="P267" s="3">
        <v>0</v>
      </c>
      <c r="Q267" s="3">
        <v>0</v>
      </c>
      <c r="R267" s="3">
        <v>0.16715448938471861</v>
      </c>
      <c r="S267" t="s">
        <v>36</v>
      </c>
      <c r="T267" s="4">
        <f t="shared" si="4"/>
        <v>116.72</v>
      </c>
    </row>
    <row r="268" spans="1:20" x14ac:dyDescent="0.2">
      <c r="A268">
        <v>270</v>
      </c>
      <c r="B268">
        <v>1</v>
      </c>
      <c r="C268" t="s">
        <v>1230</v>
      </c>
      <c r="D268" t="s">
        <v>1231</v>
      </c>
      <c r="E268" t="s">
        <v>1227</v>
      </c>
      <c r="F268" t="s">
        <v>1232</v>
      </c>
      <c r="G268" t="s">
        <v>1233</v>
      </c>
      <c r="H268" t="s">
        <v>25</v>
      </c>
      <c r="I268" t="s">
        <v>25</v>
      </c>
      <c r="J268" t="s">
        <v>34</v>
      </c>
      <c r="K268" t="s">
        <v>1108</v>
      </c>
      <c r="L268" s="2">
        <v>37391.056319342293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t="s">
        <v>28</v>
      </c>
      <c r="T268" s="4">
        <f t="shared" si="4"/>
        <v>100</v>
      </c>
    </row>
    <row r="269" spans="1:20" x14ac:dyDescent="0.2">
      <c r="A269">
        <v>271</v>
      </c>
      <c r="B269">
        <v>1</v>
      </c>
      <c r="C269" t="s">
        <v>1234</v>
      </c>
      <c r="D269" t="s">
        <v>1235</v>
      </c>
      <c r="E269" t="s">
        <v>1227</v>
      </c>
      <c r="F269" t="s">
        <v>1236</v>
      </c>
      <c r="G269" t="s">
        <v>1237</v>
      </c>
      <c r="H269" t="s">
        <v>25</v>
      </c>
      <c r="I269" t="s">
        <v>25</v>
      </c>
      <c r="J269" t="s">
        <v>26</v>
      </c>
      <c r="K269" t="s">
        <v>1108</v>
      </c>
      <c r="L269" s="2">
        <v>37391.056319342293</v>
      </c>
      <c r="M269" s="3">
        <v>0.9997875462514364</v>
      </c>
      <c r="N269" s="3">
        <v>0</v>
      </c>
      <c r="O269" s="3">
        <v>0</v>
      </c>
      <c r="P269" s="3">
        <v>0</v>
      </c>
      <c r="Q269" s="3">
        <v>2.124537485636013E-4</v>
      </c>
      <c r="R269" s="3">
        <v>0</v>
      </c>
      <c r="S269" t="s">
        <v>28</v>
      </c>
      <c r="T269" s="4">
        <f t="shared" si="4"/>
        <v>99.98</v>
      </c>
    </row>
    <row r="270" spans="1:20" x14ac:dyDescent="0.2">
      <c r="A270">
        <v>272</v>
      </c>
      <c r="B270">
        <v>1</v>
      </c>
      <c r="C270" t="s">
        <v>1238</v>
      </c>
      <c r="D270" t="s">
        <v>1239</v>
      </c>
      <c r="E270" t="s">
        <v>1227</v>
      </c>
      <c r="F270" t="s">
        <v>1240</v>
      </c>
      <c r="G270" t="s">
        <v>1241</v>
      </c>
      <c r="H270" t="s">
        <v>25</v>
      </c>
      <c r="I270" t="s">
        <v>25</v>
      </c>
      <c r="J270" t="s">
        <v>92</v>
      </c>
      <c r="K270" t="s">
        <v>1108</v>
      </c>
      <c r="L270" s="2">
        <v>37391.056319342293</v>
      </c>
      <c r="M270" s="3">
        <v>0.90242586061795582</v>
      </c>
      <c r="N270" s="3">
        <v>0</v>
      </c>
      <c r="O270" s="3">
        <v>9.7574139382040542E-2</v>
      </c>
      <c r="P270" s="3">
        <v>0</v>
      </c>
      <c r="Q270" s="3">
        <v>3.6637359812630174E-15</v>
      </c>
      <c r="R270" s="3">
        <v>9.7574139382040542E-2</v>
      </c>
      <c r="S270" t="s">
        <v>28</v>
      </c>
      <c r="T270" s="4">
        <f t="shared" si="4"/>
        <v>109.76</v>
      </c>
    </row>
    <row r="271" spans="1:20" x14ac:dyDescent="0.2">
      <c r="A271">
        <v>273</v>
      </c>
      <c r="B271">
        <v>1</v>
      </c>
      <c r="C271" t="s">
        <v>1242</v>
      </c>
      <c r="D271" t="s">
        <v>1243</v>
      </c>
      <c r="E271" t="s">
        <v>1244</v>
      </c>
      <c r="F271" t="s">
        <v>1245</v>
      </c>
      <c r="G271" t="s">
        <v>1046</v>
      </c>
      <c r="H271" t="s">
        <v>25</v>
      </c>
      <c r="I271" t="s">
        <v>25</v>
      </c>
      <c r="J271" t="s">
        <v>26</v>
      </c>
      <c r="K271" t="s">
        <v>650</v>
      </c>
      <c r="L271" s="2">
        <v>37391.056319342293</v>
      </c>
      <c r="M271" s="3">
        <v>0.88416743893307115</v>
      </c>
      <c r="N271" s="3">
        <v>0</v>
      </c>
      <c r="O271" s="3">
        <v>0.1158325610669249</v>
      </c>
      <c r="P271" s="3">
        <v>0</v>
      </c>
      <c r="Q271" s="3">
        <v>3.9968028886505643E-15</v>
      </c>
      <c r="R271" s="3">
        <v>0.1158325610669249</v>
      </c>
      <c r="S271" t="s">
        <v>36</v>
      </c>
      <c r="T271" s="4">
        <f t="shared" si="4"/>
        <v>111.58</v>
      </c>
    </row>
    <row r="272" spans="1:20" x14ac:dyDescent="0.2">
      <c r="A272">
        <v>274</v>
      </c>
      <c r="B272">
        <v>1</v>
      </c>
      <c r="C272" t="s">
        <v>1246</v>
      </c>
      <c r="D272" t="s">
        <v>1247</v>
      </c>
      <c r="E272" t="s">
        <v>1244</v>
      </c>
      <c r="F272" t="s">
        <v>1248</v>
      </c>
      <c r="G272" t="s">
        <v>1249</v>
      </c>
      <c r="H272" t="s">
        <v>25</v>
      </c>
      <c r="I272" t="s">
        <v>25</v>
      </c>
      <c r="J272" t="s">
        <v>34</v>
      </c>
      <c r="K272" t="s">
        <v>650</v>
      </c>
      <c r="L272" s="2">
        <v>37391.056319342293</v>
      </c>
      <c r="M272" s="3">
        <v>0.79594670297560099</v>
      </c>
      <c r="N272" s="3">
        <v>0</v>
      </c>
      <c r="O272" s="3">
        <v>0.20405329702451991</v>
      </c>
      <c r="P272" s="3">
        <v>0</v>
      </c>
      <c r="Q272" s="3">
        <v>0</v>
      </c>
      <c r="R272" s="3">
        <v>0.20405329702451991</v>
      </c>
      <c r="S272" t="s">
        <v>69</v>
      </c>
      <c r="T272" s="4">
        <f t="shared" si="4"/>
        <v>120.41</v>
      </c>
    </row>
    <row r="273" spans="1:20" x14ac:dyDescent="0.2">
      <c r="A273">
        <v>275</v>
      </c>
      <c r="B273">
        <v>1</v>
      </c>
      <c r="C273" t="s">
        <v>1250</v>
      </c>
      <c r="D273" t="s">
        <v>1251</v>
      </c>
      <c r="E273" t="s">
        <v>1244</v>
      </c>
      <c r="F273" t="s">
        <v>1252</v>
      </c>
      <c r="G273" t="s">
        <v>1253</v>
      </c>
      <c r="H273" t="s">
        <v>25</v>
      </c>
      <c r="I273" t="s">
        <v>25</v>
      </c>
      <c r="J273" t="s">
        <v>34</v>
      </c>
      <c r="K273" t="s">
        <v>650</v>
      </c>
      <c r="L273" s="2">
        <v>37391.056319342293</v>
      </c>
      <c r="M273" s="3">
        <v>0</v>
      </c>
      <c r="N273" s="3">
        <v>0</v>
      </c>
      <c r="O273" s="3">
        <v>0.18483053431418109</v>
      </c>
      <c r="P273" s="3">
        <v>0.81516946568582882</v>
      </c>
      <c r="Q273" s="3">
        <v>0</v>
      </c>
      <c r="R273" s="3">
        <v>1.00000000000001</v>
      </c>
      <c r="S273" t="s">
        <v>44</v>
      </c>
      <c r="T273" s="4">
        <f t="shared" si="4"/>
        <v>281.52</v>
      </c>
    </row>
    <row r="274" spans="1:20" x14ac:dyDescent="0.2">
      <c r="A274">
        <v>276</v>
      </c>
      <c r="B274">
        <v>1</v>
      </c>
      <c r="C274" t="s">
        <v>1254</v>
      </c>
      <c r="D274" t="s">
        <v>1255</v>
      </c>
      <c r="E274" t="s">
        <v>1244</v>
      </c>
      <c r="F274" t="s">
        <v>1256</v>
      </c>
      <c r="G274" t="s">
        <v>1257</v>
      </c>
      <c r="H274" t="s">
        <v>25</v>
      </c>
      <c r="I274" t="s">
        <v>25</v>
      </c>
      <c r="J274" t="s">
        <v>26</v>
      </c>
      <c r="K274" t="s">
        <v>650</v>
      </c>
      <c r="L274" s="2">
        <v>37391.056319342293</v>
      </c>
      <c r="M274" s="3">
        <v>1.275926376532267E-2</v>
      </c>
      <c r="N274" s="3">
        <v>0</v>
      </c>
      <c r="O274" s="3">
        <v>0.1188390747279225</v>
      </c>
      <c r="P274" s="3">
        <v>0.86840166150674913</v>
      </c>
      <c r="Q274" s="3">
        <v>5.773159728050814E-15</v>
      </c>
      <c r="R274" s="3">
        <v>0.98724073623467168</v>
      </c>
      <c r="S274" t="s">
        <v>44</v>
      </c>
      <c r="T274" s="4">
        <f t="shared" si="4"/>
        <v>285.56</v>
      </c>
    </row>
    <row r="275" spans="1:20" x14ac:dyDescent="0.2">
      <c r="A275">
        <v>277</v>
      </c>
      <c r="B275">
        <v>1</v>
      </c>
      <c r="C275" t="s">
        <v>1258</v>
      </c>
      <c r="D275" t="s">
        <v>1259</v>
      </c>
      <c r="E275" t="s">
        <v>1260</v>
      </c>
      <c r="F275" t="s">
        <v>1261</v>
      </c>
      <c r="G275" t="s">
        <v>1262</v>
      </c>
      <c r="H275" t="s">
        <v>67</v>
      </c>
      <c r="I275" t="s">
        <v>67</v>
      </c>
      <c r="J275" t="s">
        <v>92</v>
      </c>
      <c r="K275" t="s">
        <v>363</v>
      </c>
      <c r="L275" s="2">
        <v>37391.056319342293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t="s">
        <v>28</v>
      </c>
      <c r="T275" s="4">
        <f t="shared" si="4"/>
        <v>100</v>
      </c>
    </row>
    <row r="276" spans="1:20" x14ac:dyDescent="0.2">
      <c r="A276">
        <v>278</v>
      </c>
      <c r="B276">
        <v>2</v>
      </c>
      <c r="C276" t="s">
        <v>1263</v>
      </c>
      <c r="D276" t="s">
        <v>1264</v>
      </c>
      <c r="E276" t="s">
        <v>1265</v>
      </c>
      <c r="F276" t="s">
        <v>683</v>
      </c>
      <c r="G276" t="s">
        <v>684</v>
      </c>
      <c r="H276" t="s">
        <v>25</v>
      </c>
      <c r="I276" t="s">
        <v>25</v>
      </c>
      <c r="J276" t="s">
        <v>26</v>
      </c>
      <c r="K276" t="s">
        <v>1108</v>
      </c>
      <c r="L276" s="2">
        <v>74782.112638684586</v>
      </c>
      <c r="M276" s="3">
        <v>0.1173112919312384</v>
      </c>
      <c r="N276" s="3">
        <v>0</v>
      </c>
      <c r="O276" s="3">
        <v>0.1993200450978273</v>
      </c>
      <c r="P276" s="3">
        <v>0.13481262133875949</v>
      </c>
      <c r="Q276" s="3">
        <v>0.54855604163217475</v>
      </c>
      <c r="R276" s="3">
        <v>0.33413266643658679</v>
      </c>
      <c r="S276" t="s">
        <v>69</v>
      </c>
      <c r="T276" s="4">
        <f t="shared" si="4"/>
        <v>92.04</v>
      </c>
    </row>
    <row r="277" spans="1:20" x14ac:dyDescent="0.2">
      <c r="A277">
        <v>279</v>
      </c>
      <c r="B277">
        <v>1</v>
      </c>
      <c r="C277" t="s">
        <v>1266</v>
      </c>
      <c r="D277" t="s">
        <v>1267</v>
      </c>
      <c r="E277" t="s">
        <v>1265</v>
      </c>
      <c r="F277" t="s">
        <v>1268</v>
      </c>
      <c r="G277" t="s">
        <v>1269</v>
      </c>
      <c r="H277" t="s">
        <v>25</v>
      </c>
      <c r="I277" t="s">
        <v>25</v>
      </c>
      <c r="J277" t="s">
        <v>26</v>
      </c>
      <c r="K277" t="s">
        <v>1108</v>
      </c>
      <c r="L277" s="2">
        <v>37391.056319342293</v>
      </c>
      <c r="M277" s="3">
        <v>0.90912602338440762</v>
      </c>
      <c r="N277" s="3">
        <v>0</v>
      </c>
      <c r="O277" s="3">
        <v>9.0873976615571561E-2</v>
      </c>
      <c r="P277" s="3">
        <v>0</v>
      </c>
      <c r="Q277" s="3">
        <v>2.087219286295294E-14</v>
      </c>
      <c r="R277" s="3">
        <v>9.0873976615571561E-2</v>
      </c>
      <c r="S277" t="s">
        <v>28</v>
      </c>
      <c r="T277" s="4">
        <f t="shared" si="4"/>
        <v>109.09</v>
      </c>
    </row>
    <row r="278" spans="1:20" x14ac:dyDescent="0.2">
      <c r="A278">
        <v>280</v>
      </c>
      <c r="B278">
        <v>1</v>
      </c>
      <c r="C278" t="s">
        <v>1270</v>
      </c>
      <c r="D278" t="s">
        <v>1271</v>
      </c>
      <c r="E278" t="s">
        <v>1265</v>
      </c>
      <c r="F278" t="s">
        <v>1146</v>
      </c>
      <c r="G278" t="s">
        <v>1272</v>
      </c>
      <c r="H278" t="s">
        <v>25</v>
      </c>
      <c r="I278" t="s">
        <v>25</v>
      </c>
      <c r="J278" t="s">
        <v>26</v>
      </c>
      <c r="K278" t="s">
        <v>43</v>
      </c>
      <c r="L278" s="2">
        <v>37391.056319342293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t="s">
        <v>28</v>
      </c>
      <c r="T278" s="4">
        <f t="shared" si="4"/>
        <v>100</v>
      </c>
    </row>
    <row r="279" spans="1:20" x14ac:dyDescent="0.2">
      <c r="A279">
        <v>281</v>
      </c>
      <c r="B279">
        <v>1</v>
      </c>
      <c r="C279" t="s">
        <v>1273</v>
      </c>
      <c r="D279" t="s">
        <v>1274</v>
      </c>
      <c r="E279" t="s">
        <v>1265</v>
      </c>
      <c r="F279" t="s">
        <v>344</v>
      </c>
      <c r="G279" t="s">
        <v>345</v>
      </c>
      <c r="H279" t="s">
        <v>25</v>
      </c>
      <c r="I279" t="s">
        <v>25</v>
      </c>
      <c r="J279" t="s">
        <v>26</v>
      </c>
      <c r="K279" t="s">
        <v>1108</v>
      </c>
      <c r="L279" s="2">
        <v>37391.056319342293</v>
      </c>
      <c r="M279" s="3">
        <v>0.45304110781502072</v>
      </c>
      <c r="N279" s="3">
        <v>0</v>
      </c>
      <c r="O279" s="3">
        <v>0.23032797460890139</v>
      </c>
      <c r="P279" s="3">
        <v>1.5572951254552859E-3</v>
      </c>
      <c r="Q279" s="3">
        <v>0.31507362245062248</v>
      </c>
      <c r="R279" s="3">
        <v>0.23188526973435669</v>
      </c>
      <c r="S279" t="s">
        <v>69</v>
      </c>
      <c r="T279" s="4">
        <f t="shared" si="4"/>
        <v>91.84</v>
      </c>
    </row>
    <row r="280" spans="1:20" x14ac:dyDescent="0.2">
      <c r="A280">
        <v>282</v>
      </c>
      <c r="B280">
        <v>1</v>
      </c>
      <c r="C280" t="s">
        <v>1275</v>
      </c>
      <c r="D280" t="s">
        <v>1276</v>
      </c>
      <c r="E280" t="s">
        <v>1265</v>
      </c>
      <c r="F280" t="s">
        <v>1277</v>
      </c>
      <c r="G280" t="s">
        <v>1278</v>
      </c>
      <c r="H280" t="s">
        <v>25</v>
      </c>
      <c r="I280" t="s">
        <v>25</v>
      </c>
      <c r="J280" t="s">
        <v>26</v>
      </c>
      <c r="K280" t="s">
        <v>1108</v>
      </c>
      <c r="L280" s="2">
        <v>37391.056319342293</v>
      </c>
      <c r="M280" s="3">
        <v>0.91787965635121038</v>
      </c>
      <c r="N280" s="3">
        <v>0</v>
      </c>
      <c r="O280" s="3">
        <v>8.2120343648850846E-2</v>
      </c>
      <c r="P280" s="3">
        <v>0</v>
      </c>
      <c r="Q280" s="3">
        <v>0</v>
      </c>
      <c r="R280" s="3">
        <v>8.2120343648850846E-2</v>
      </c>
      <c r="S280" t="s">
        <v>28</v>
      </c>
      <c r="T280" s="4">
        <f t="shared" si="4"/>
        <v>108.21</v>
      </c>
    </row>
    <row r="281" spans="1:20" x14ac:dyDescent="0.2">
      <c r="A281">
        <v>283</v>
      </c>
      <c r="B281">
        <v>1</v>
      </c>
      <c r="C281" t="s">
        <v>1279</v>
      </c>
      <c r="D281" t="s">
        <v>1280</v>
      </c>
      <c r="E281" t="s">
        <v>1281</v>
      </c>
      <c r="F281" t="s">
        <v>1282</v>
      </c>
      <c r="H281" t="s">
        <v>25</v>
      </c>
      <c r="I281" t="s">
        <v>25</v>
      </c>
      <c r="J281" t="s">
        <v>26</v>
      </c>
      <c r="K281" t="s">
        <v>650</v>
      </c>
      <c r="L281" s="2">
        <v>37391.056319342293</v>
      </c>
      <c r="M281" s="3">
        <v>0.48669817997984632</v>
      </c>
      <c r="N281" s="3">
        <v>0</v>
      </c>
      <c r="O281" s="3">
        <v>0.103090550945254</v>
      </c>
      <c r="P281" s="3">
        <v>0.21262256179107961</v>
      </c>
      <c r="Q281" s="3">
        <v>0.1975887072838203</v>
      </c>
      <c r="R281" s="3">
        <v>0.31571311273633362</v>
      </c>
      <c r="S281" t="s">
        <v>69</v>
      </c>
      <c r="T281" s="4">
        <f t="shared" si="4"/>
        <v>133.07</v>
      </c>
    </row>
    <row r="282" spans="1:20" x14ac:dyDescent="0.2">
      <c r="A282">
        <v>284</v>
      </c>
      <c r="B282">
        <v>1</v>
      </c>
      <c r="C282" t="s">
        <v>1283</v>
      </c>
      <c r="D282" t="s">
        <v>1284</v>
      </c>
      <c r="E282" t="s">
        <v>1281</v>
      </c>
      <c r="F282" t="s">
        <v>1285</v>
      </c>
      <c r="H282" t="s">
        <v>25</v>
      </c>
      <c r="I282" t="s">
        <v>25</v>
      </c>
      <c r="J282" t="s">
        <v>26</v>
      </c>
      <c r="K282" t="s">
        <v>650</v>
      </c>
      <c r="L282" s="2">
        <v>37391.056319342293</v>
      </c>
      <c r="M282" s="3">
        <v>0.85626569394765106</v>
      </c>
      <c r="N282" s="3">
        <v>0</v>
      </c>
      <c r="O282" s="3">
        <v>0.1402204792525662</v>
      </c>
      <c r="P282" s="3">
        <v>0</v>
      </c>
      <c r="Q282" s="3">
        <v>3.5138267997827381E-3</v>
      </c>
      <c r="R282" s="3">
        <v>0.1402204792525662</v>
      </c>
      <c r="S282" t="s">
        <v>36</v>
      </c>
      <c r="T282" s="4">
        <f t="shared" si="4"/>
        <v>113.67</v>
      </c>
    </row>
    <row r="283" spans="1:20" x14ac:dyDescent="0.2">
      <c r="A283">
        <v>285</v>
      </c>
      <c r="B283">
        <v>2</v>
      </c>
      <c r="C283" t="s">
        <v>1286</v>
      </c>
      <c r="D283" t="s">
        <v>1287</v>
      </c>
      <c r="E283" t="s">
        <v>1288</v>
      </c>
      <c r="F283" t="s">
        <v>1289</v>
      </c>
      <c r="G283" t="s">
        <v>1290</v>
      </c>
      <c r="H283" t="s">
        <v>25</v>
      </c>
      <c r="I283" t="s">
        <v>25</v>
      </c>
      <c r="J283" t="s">
        <v>34</v>
      </c>
      <c r="K283" t="s">
        <v>35</v>
      </c>
      <c r="L283" s="2">
        <v>74782.112638684586</v>
      </c>
      <c r="M283" s="3">
        <v>0</v>
      </c>
      <c r="N283" s="3">
        <v>0</v>
      </c>
      <c r="O283" s="3">
        <v>0.2239087587231357</v>
      </c>
      <c r="P283" s="3">
        <v>0.77609124127693707</v>
      </c>
      <c r="Q283" s="3">
        <v>0</v>
      </c>
      <c r="R283" s="3">
        <v>1.0000000000000731</v>
      </c>
      <c r="S283" t="s">
        <v>44</v>
      </c>
      <c r="T283" s="4">
        <f t="shared" si="4"/>
        <v>277.61</v>
      </c>
    </row>
    <row r="284" spans="1:20" x14ac:dyDescent="0.2">
      <c r="A284">
        <v>286</v>
      </c>
      <c r="B284">
        <v>1</v>
      </c>
      <c r="C284" t="s">
        <v>1291</v>
      </c>
      <c r="D284" t="s">
        <v>1292</v>
      </c>
      <c r="E284" t="s">
        <v>1288</v>
      </c>
      <c r="F284" t="s">
        <v>1293</v>
      </c>
      <c r="G284" t="s">
        <v>1294</v>
      </c>
      <c r="H284" t="s">
        <v>25</v>
      </c>
      <c r="I284" t="s">
        <v>25</v>
      </c>
      <c r="J284" t="s">
        <v>26</v>
      </c>
      <c r="K284" t="s">
        <v>35</v>
      </c>
      <c r="L284" s="2">
        <v>37391.056319342293</v>
      </c>
      <c r="M284" s="3">
        <v>2.4103816504458479E-2</v>
      </c>
      <c r="N284" s="3">
        <v>0</v>
      </c>
      <c r="O284" s="3">
        <v>0.1464469051048074</v>
      </c>
      <c r="P284" s="3">
        <v>0.82944927839076965</v>
      </c>
      <c r="Q284" s="3">
        <v>0</v>
      </c>
      <c r="R284" s="3">
        <v>0.97589618349557705</v>
      </c>
      <c r="S284" t="s">
        <v>44</v>
      </c>
      <c r="T284" s="4">
        <f t="shared" si="4"/>
        <v>280.52999999999997</v>
      </c>
    </row>
    <row r="285" spans="1:20" x14ac:dyDescent="0.2">
      <c r="A285">
        <v>287</v>
      </c>
      <c r="B285">
        <v>1</v>
      </c>
      <c r="C285" t="s">
        <v>1295</v>
      </c>
      <c r="D285" t="s">
        <v>1296</v>
      </c>
      <c r="E285" t="s">
        <v>1288</v>
      </c>
      <c r="F285" t="s">
        <v>1297</v>
      </c>
      <c r="G285" t="s">
        <v>1298</v>
      </c>
      <c r="H285" t="s">
        <v>25</v>
      </c>
      <c r="I285" t="s">
        <v>25</v>
      </c>
      <c r="J285" t="s">
        <v>26</v>
      </c>
      <c r="K285" t="s">
        <v>35</v>
      </c>
      <c r="L285" s="2">
        <v>37391.056319342293</v>
      </c>
      <c r="M285" s="3">
        <v>0</v>
      </c>
      <c r="N285" s="3">
        <v>0</v>
      </c>
      <c r="O285" s="3">
        <v>0.34122444917532119</v>
      </c>
      <c r="P285" s="3">
        <v>0.65877555082478723</v>
      </c>
      <c r="Q285" s="3">
        <v>0</v>
      </c>
      <c r="R285" s="3">
        <v>1.0000000000001079</v>
      </c>
      <c r="S285" t="s">
        <v>44</v>
      </c>
      <c r="T285" s="4">
        <f t="shared" si="4"/>
        <v>265.88</v>
      </c>
    </row>
    <row r="286" spans="1:20" x14ac:dyDescent="0.2">
      <c r="A286">
        <v>288</v>
      </c>
      <c r="B286">
        <v>1</v>
      </c>
      <c r="C286" t="s">
        <v>1299</v>
      </c>
      <c r="D286" t="s">
        <v>1300</v>
      </c>
      <c r="E286" t="s">
        <v>1288</v>
      </c>
      <c r="F286" t="s">
        <v>1301</v>
      </c>
      <c r="G286" t="s">
        <v>1302</v>
      </c>
      <c r="H286" t="s">
        <v>25</v>
      </c>
      <c r="I286" t="s">
        <v>25</v>
      </c>
      <c r="J286" t="s">
        <v>26</v>
      </c>
      <c r="K286" t="s">
        <v>43</v>
      </c>
      <c r="L286" s="2">
        <v>37391.056319342293</v>
      </c>
      <c r="M286" s="3">
        <v>0.70256490410411332</v>
      </c>
      <c r="N286" s="3">
        <v>0</v>
      </c>
      <c r="O286" s="3">
        <v>0.2974350958957277</v>
      </c>
      <c r="P286" s="3">
        <v>0</v>
      </c>
      <c r="Q286" s="3">
        <v>1.5898393712632239E-13</v>
      </c>
      <c r="R286" s="3">
        <v>0.2974350958957277</v>
      </c>
      <c r="S286" t="s">
        <v>69</v>
      </c>
      <c r="T286" s="4">
        <f t="shared" si="4"/>
        <v>129.74</v>
      </c>
    </row>
    <row r="287" spans="1:20" x14ac:dyDescent="0.2">
      <c r="A287">
        <v>289</v>
      </c>
      <c r="B287">
        <v>1</v>
      </c>
      <c r="C287" t="s">
        <v>1303</v>
      </c>
      <c r="D287" t="s">
        <v>1304</v>
      </c>
      <c r="E287" t="s">
        <v>1288</v>
      </c>
      <c r="F287" t="s">
        <v>1305</v>
      </c>
      <c r="G287" t="s">
        <v>1306</v>
      </c>
      <c r="H287" t="s">
        <v>25</v>
      </c>
      <c r="I287" t="s">
        <v>25</v>
      </c>
      <c r="J287" t="s">
        <v>26</v>
      </c>
      <c r="K287" t="s">
        <v>35</v>
      </c>
      <c r="L287" s="2">
        <v>37391.056319342293</v>
      </c>
      <c r="M287" s="3">
        <v>0</v>
      </c>
      <c r="N287" s="3">
        <v>0</v>
      </c>
      <c r="O287" s="3">
        <v>7.4888429736870432E-2</v>
      </c>
      <c r="P287" s="3">
        <v>0.92511157026319824</v>
      </c>
      <c r="Q287" s="3">
        <v>0</v>
      </c>
      <c r="R287" s="3">
        <v>1.0000000000000691</v>
      </c>
      <c r="S287" t="s">
        <v>44</v>
      </c>
      <c r="T287" s="4">
        <f t="shared" si="4"/>
        <v>292.51</v>
      </c>
    </row>
    <row r="288" spans="1:20" x14ac:dyDescent="0.2">
      <c r="A288">
        <v>290</v>
      </c>
      <c r="B288">
        <v>1</v>
      </c>
      <c r="C288" t="s">
        <v>1307</v>
      </c>
      <c r="D288" t="s">
        <v>1308</v>
      </c>
      <c r="E288" t="s">
        <v>1288</v>
      </c>
      <c r="F288" t="s">
        <v>1309</v>
      </c>
      <c r="G288" t="s">
        <v>1310</v>
      </c>
      <c r="H288" t="s">
        <v>25</v>
      </c>
      <c r="I288" t="s">
        <v>25</v>
      </c>
      <c r="J288" t="s">
        <v>26</v>
      </c>
      <c r="K288" t="s">
        <v>35</v>
      </c>
      <c r="L288" s="2">
        <v>37391.056319342293</v>
      </c>
      <c r="M288" s="3">
        <v>1.1579315300949789E-2</v>
      </c>
      <c r="N288" s="3">
        <v>0</v>
      </c>
      <c r="O288" s="3">
        <v>0.16728632393634399</v>
      </c>
      <c r="P288" s="3">
        <v>0.82113436076271162</v>
      </c>
      <c r="Q288" s="3">
        <v>0</v>
      </c>
      <c r="R288" s="3">
        <v>0.98842068469905564</v>
      </c>
      <c r="S288" t="s">
        <v>44</v>
      </c>
      <c r="T288" s="4">
        <f t="shared" si="4"/>
        <v>280.95999999999998</v>
      </c>
    </row>
    <row r="289" spans="1:20" x14ac:dyDescent="0.2">
      <c r="A289">
        <v>291</v>
      </c>
      <c r="B289">
        <v>1</v>
      </c>
      <c r="C289" t="s">
        <v>1311</v>
      </c>
      <c r="D289" t="s">
        <v>1312</v>
      </c>
      <c r="E289" t="s">
        <v>1288</v>
      </c>
      <c r="F289" t="s">
        <v>1313</v>
      </c>
      <c r="G289" t="s">
        <v>1314</v>
      </c>
      <c r="H289" t="s">
        <v>25</v>
      </c>
      <c r="I289" t="s">
        <v>25</v>
      </c>
      <c r="J289" t="s">
        <v>26</v>
      </c>
      <c r="K289" t="s">
        <v>650</v>
      </c>
      <c r="L289" s="2">
        <v>37391.056319342293</v>
      </c>
      <c r="M289" s="3">
        <v>0.32415051218153318</v>
      </c>
      <c r="N289" s="3">
        <v>0</v>
      </c>
      <c r="O289" s="3">
        <v>0.1975725489608626</v>
      </c>
      <c r="P289" s="3">
        <v>0.47827693885772282</v>
      </c>
      <c r="Q289" s="3">
        <v>0</v>
      </c>
      <c r="R289" s="3">
        <v>0.67584948781858534</v>
      </c>
      <c r="S289" t="s">
        <v>44</v>
      </c>
      <c r="T289" s="4">
        <f t="shared" si="4"/>
        <v>215.41</v>
      </c>
    </row>
    <row r="290" spans="1:20" x14ac:dyDescent="0.2">
      <c r="A290">
        <v>292</v>
      </c>
      <c r="B290">
        <v>1</v>
      </c>
      <c r="C290" t="s">
        <v>1315</v>
      </c>
      <c r="D290" t="s">
        <v>1316</v>
      </c>
      <c r="E290" t="s">
        <v>1317</v>
      </c>
      <c r="F290" t="s">
        <v>1318</v>
      </c>
      <c r="G290" t="s">
        <v>1319</v>
      </c>
      <c r="H290" t="s">
        <v>25</v>
      </c>
      <c r="I290" t="s">
        <v>25</v>
      </c>
      <c r="J290" t="s">
        <v>26</v>
      </c>
      <c r="K290" t="s">
        <v>650</v>
      </c>
      <c r="L290" s="2">
        <v>37391.056319351141</v>
      </c>
      <c r="M290" s="3">
        <v>0.33392095846711051</v>
      </c>
      <c r="N290" s="3">
        <v>0</v>
      </c>
      <c r="O290" s="3">
        <v>3.518905624496476E-2</v>
      </c>
      <c r="P290" s="3">
        <v>5.5537392411661281E-3</v>
      </c>
      <c r="Q290" s="3">
        <v>0.62533624604675864</v>
      </c>
      <c r="R290" s="3">
        <v>4.0742795486130891E-2</v>
      </c>
      <c r="S290" t="s">
        <v>28</v>
      </c>
      <c r="T290" s="4">
        <f t="shared" si="4"/>
        <v>42.1</v>
      </c>
    </row>
    <row r="291" spans="1:20" x14ac:dyDescent="0.2">
      <c r="A291">
        <v>293</v>
      </c>
      <c r="B291">
        <v>1</v>
      </c>
      <c r="C291" t="s">
        <v>1320</v>
      </c>
      <c r="D291" t="s">
        <v>1321</v>
      </c>
      <c r="E291" t="s">
        <v>1322</v>
      </c>
      <c r="F291" t="s">
        <v>1323</v>
      </c>
      <c r="G291" t="s">
        <v>1324</v>
      </c>
      <c r="H291" t="s">
        <v>25</v>
      </c>
      <c r="I291" t="s">
        <v>25</v>
      </c>
      <c r="J291" t="s">
        <v>34</v>
      </c>
      <c r="K291" t="s">
        <v>650</v>
      </c>
      <c r="L291" s="2">
        <v>37391.056319342293</v>
      </c>
      <c r="M291" s="3">
        <v>0.76557997360858376</v>
      </c>
      <c r="N291" s="3">
        <v>0</v>
      </c>
      <c r="O291" s="3">
        <v>0.23442002639151949</v>
      </c>
      <c r="P291" s="3">
        <v>0</v>
      </c>
      <c r="Q291" s="3">
        <v>0</v>
      </c>
      <c r="R291" s="3">
        <v>0.23442002639151949</v>
      </c>
      <c r="S291" t="s">
        <v>69</v>
      </c>
      <c r="T291" s="4">
        <f t="shared" si="4"/>
        <v>123.44</v>
      </c>
    </row>
    <row r="292" spans="1:20" x14ac:dyDescent="0.2">
      <c r="A292">
        <v>294</v>
      </c>
      <c r="B292">
        <v>1</v>
      </c>
      <c r="C292" t="s">
        <v>1325</v>
      </c>
      <c r="D292" t="s">
        <v>1326</v>
      </c>
      <c r="E292" t="s">
        <v>1327</v>
      </c>
      <c r="F292" t="s">
        <v>1328</v>
      </c>
      <c r="H292" t="s">
        <v>25</v>
      </c>
      <c r="I292" t="s">
        <v>25</v>
      </c>
      <c r="J292" t="s">
        <v>92</v>
      </c>
      <c r="K292" t="s">
        <v>650</v>
      </c>
      <c r="L292" s="2">
        <v>37391.056319342293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t="s">
        <v>28</v>
      </c>
      <c r="T292" s="4">
        <f t="shared" si="4"/>
        <v>100</v>
      </c>
    </row>
    <row r="293" spans="1:20" x14ac:dyDescent="0.2">
      <c r="A293">
        <v>295</v>
      </c>
      <c r="B293">
        <v>1</v>
      </c>
      <c r="C293" t="s">
        <v>1329</v>
      </c>
      <c r="D293" t="s">
        <v>1330</v>
      </c>
      <c r="E293" t="s">
        <v>1327</v>
      </c>
      <c r="F293" t="s">
        <v>1331</v>
      </c>
      <c r="G293" t="s">
        <v>1332</v>
      </c>
      <c r="H293" t="s">
        <v>25</v>
      </c>
      <c r="I293" t="s">
        <v>25</v>
      </c>
      <c r="J293" t="s">
        <v>26</v>
      </c>
      <c r="K293" t="s">
        <v>650</v>
      </c>
      <c r="L293" s="2">
        <v>37391.056319342293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t="s">
        <v>28</v>
      </c>
      <c r="T293" s="4">
        <f t="shared" si="4"/>
        <v>100</v>
      </c>
    </row>
    <row r="294" spans="1:20" x14ac:dyDescent="0.2">
      <c r="A294">
        <v>296</v>
      </c>
      <c r="B294">
        <v>1</v>
      </c>
      <c r="C294" t="s">
        <v>1333</v>
      </c>
      <c r="D294" t="s">
        <v>1334</v>
      </c>
      <c r="E294" t="s">
        <v>1327</v>
      </c>
      <c r="F294" t="s">
        <v>1335</v>
      </c>
      <c r="H294" t="s">
        <v>25</v>
      </c>
      <c r="I294" t="s">
        <v>25</v>
      </c>
      <c r="J294" t="s">
        <v>26</v>
      </c>
      <c r="K294" t="s">
        <v>650</v>
      </c>
      <c r="L294" s="2">
        <v>37391.056319342293</v>
      </c>
      <c r="M294" s="3">
        <v>0.69506816738906041</v>
      </c>
      <c r="N294" s="3">
        <v>0</v>
      </c>
      <c r="O294" s="3">
        <v>0.13809623708251781</v>
      </c>
      <c r="P294" s="3">
        <v>0.13988101388672791</v>
      </c>
      <c r="Q294" s="3">
        <v>2.6954581641693839E-2</v>
      </c>
      <c r="R294" s="3">
        <v>0.27797725096924569</v>
      </c>
      <c r="S294" t="s">
        <v>69</v>
      </c>
      <c r="T294" s="4">
        <f t="shared" si="4"/>
        <v>139.09</v>
      </c>
    </row>
    <row r="295" spans="1:20" x14ac:dyDescent="0.2">
      <c r="A295">
        <v>297</v>
      </c>
      <c r="B295">
        <v>1</v>
      </c>
      <c r="C295" t="s">
        <v>1336</v>
      </c>
      <c r="D295" t="s">
        <v>1337</v>
      </c>
      <c r="E295" t="s">
        <v>1338</v>
      </c>
      <c r="F295" t="s">
        <v>1339</v>
      </c>
      <c r="G295" t="s">
        <v>1340</v>
      </c>
      <c r="H295" t="s">
        <v>25</v>
      </c>
      <c r="I295" t="s">
        <v>25</v>
      </c>
      <c r="J295" t="s">
        <v>34</v>
      </c>
      <c r="K295" t="s">
        <v>650</v>
      </c>
      <c r="L295" s="2">
        <v>37391.056319342293</v>
      </c>
      <c r="M295" s="3">
        <v>0.95933859657387821</v>
      </c>
      <c r="N295" s="3">
        <v>0</v>
      </c>
      <c r="O295" s="3">
        <v>0</v>
      </c>
      <c r="P295" s="3">
        <v>0</v>
      </c>
      <c r="Q295" s="3">
        <v>4.0661403426121789E-2</v>
      </c>
      <c r="R295" s="3">
        <v>0</v>
      </c>
      <c r="S295" t="s">
        <v>28</v>
      </c>
      <c r="T295" s="4">
        <f t="shared" si="4"/>
        <v>95.93</v>
      </c>
    </row>
    <row r="296" spans="1:20" x14ac:dyDescent="0.2">
      <c r="A296">
        <v>298</v>
      </c>
      <c r="B296">
        <v>1</v>
      </c>
      <c r="C296" t="s">
        <v>1341</v>
      </c>
      <c r="D296" t="s">
        <v>1342</v>
      </c>
      <c r="E296" t="s">
        <v>1338</v>
      </c>
      <c r="F296" t="s">
        <v>1343</v>
      </c>
      <c r="G296" t="s">
        <v>1344</v>
      </c>
      <c r="H296" t="s">
        <v>25</v>
      </c>
      <c r="I296" t="s">
        <v>25</v>
      </c>
      <c r="J296" t="s">
        <v>34</v>
      </c>
      <c r="K296" t="s">
        <v>650</v>
      </c>
      <c r="L296" s="2">
        <v>37391.056319342293</v>
      </c>
      <c r="M296" s="3">
        <v>0.79048295081265663</v>
      </c>
      <c r="N296" s="3">
        <v>0</v>
      </c>
      <c r="O296" s="3">
        <v>0.209517049187398</v>
      </c>
      <c r="P296" s="3">
        <v>0</v>
      </c>
      <c r="Q296" s="3">
        <v>0</v>
      </c>
      <c r="R296" s="3">
        <v>0.209517049187398</v>
      </c>
      <c r="S296" t="s">
        <v>69</v>
      </c>
      <c r="T296" s="4">
        <f t="shared" si="4"/>
        <v>120.95</v>
      </c>
    </row>
    <row r="297" spans="1:20" x14ac:dyDescent="0.2">
      <c r="A297">
        <v>299</v>
      </c>
      <c r="B297">
        <v>1</v>
      </c>
      <c r="C297" t="s">
        <v>1345</v>
      </c>
      <c r="D297" t="s">
        <v>1346</v>
      </c>
      <c r="E297" t="s">
        <v>1347</v>
      </c>
      <c r="F297" t="s">
        <v>1348</v>
      </c>
      <c r="G297" t="s">
        <v>1349</v>
      </c>
      <c r="H297" t="s">
        <v>25</v>
      </c>
      <c r="I297" t="s">
        <v>25</v>
      </c>
      <c r="J297" t="s">
        <v>26</v>
      </c>
      <c r="K297" t="s">
        <v>43</v>
      </c>
      <c r="L297" s="2">
        <v>37391.056319351141</v>
      </c>
      <c r="M297" s="3">
        <v>0.98373436870839648</v>
      </c>
      <c r="N297" s="3">
        <v>0</v>
      </c>
      <c r="O297" s="3">
        <v>5.4679329785854124E-3</v>
      </c>
      <c r="P297" s="3">
        <v>0</v>
      </c>
      <c r="Q297" s="3">
        <v>1.079769831301813E-2</v>
      </c>
      <c r="R297" s="3">
        <v>5.4679329785854124E-3</v>
      </c>
      <c r="S297" t="s">
        <v>28</v>
      </c>
      <c r="T297" s="4">
        <f t="shared" si="4"/>
        <v>99.47</v>
      </c>
    </row>
    <row r="298" spans="1:20" x14ac:dyDescent="0.2">
      <c r="A298">
        <v>320</v>
      </c>
      <c r="B298">
        <v>1</v>
      </c>
      <c r="C298" t="s">
        <v>1350</v>
      </c>
      <c r="D298" t="s">
        <v>1351</v>
      </c>
      <c r="E298" t="s">
        <v>109</v>
      </c>
      <c r="H298" t="s">
        <v>67</v>
      </c>
      <c r="I298" t="s">
        <v>67</v>
      </c>
      <c r="J298" t="s">
        <v>92</v>
      </c>
      <c r="K298" t="s">
        <v>187</v>
      </c>
      <c r="L298" s="2">
        <v>37391.056319351141</v>
      </c>
      <c r="M298" s="3">
        <v>0</v>
      </c>
      <c r="N298" s="3">
        <v>0</v>
      </c>
      <c r="O298" s="3">
        <v>0.30766750627045791</v>
      </c>
      <c r="P298" s="3">
        <v>0.69233249372937444</v>
      </c>
      <c r="Q298" s="3">
        <v>1.6764367671839861E-13</v>
      </c>
      <c r="R298" s="3">
        <v>0.99999999999983236</v>
      </c>
      <c r="S298" t="s">
        <v>44</v>
      </c>
      <c r="T298" s="4">
        <f t="shared" si="4"/>
        <v>269.23</v>
      </c>
    </row>
    <row r="299" spans="1:20" x14ac:dyDescent="0.2">
      <c r="A299">
        <v>321</v>
      </c>
      <c r="B299">
        <v>1</v>
      </c>
      <c r="C299" t="s">
        <v>1352</v>
      </c>
      <c r="D299" t="s">
        <v>1353</v>
      </c>
      <c r="E299" t="s">
        <v>1354</v>
      </c>
      <c r="H299" t="s">
        <v>25</v>
      </c>
      <c r="I299" t="s">
        <v>25</v>
      </c>
      <c r="J299" t="s">
        <v>92</v>
      </c>
      <c r="K299" t="s">
        <v>1355</v>
      </c>
      <c r="L299" s="2">
        <v>37391.056319351141</v>
      </c>
      <c r="M299" s="3">
        <v>0.27132910479174338</v>
      </c>
      <c r="N299" s="3">
        <v>0</v>
      </c>
      <c r="O299" s="3">
        <v>0</v>
      </c>
      <c r="P299" s="3">
        <v>0</v>
      </c>
      <c r="Q299" s="3">
        <v>0.72867089520825656</v>
      </c>
      <c r="R299" s="3">
        <v>0</v>
      </c>
      <c r="S299" t="s">
        <v>28</v>
      </c>
      <c r="T299" s="4">
        <f t="shared" si="4"/>
        <v>27.13</v>
      </c>
    </row>
    <row r="300" spans="1:20" x14ac:dyDescent="0.2">
      <c r="A300">
        <v>322</v>
      </c>
      <c r="B300">
        <v>1</v>
      </c>
      <c r="C300" t="s">
        <v>1356</v>
      </c>
      <c r="D300" t="s">
        <v>1357</v>
      </c>
      <c r="E300" t="s">
        <v>1358</v>
      </c>
      <c r="H300" t="s">
        <v>25</v>
      </c>
      <c r="I300" t="s">
        <v>25</v>
      </c>
      <c r="J300" t="s">
        <v>92</v>
      </c>
      <c r="K300" t="s">
        <v>878</v>
      </c>
      <c r="L300" s="2">
        <v>37391.056319351141</v>
      </c>
      <c r="M300" s="3">
        <v>0.1261941073699139</v>
      </c>
      <c r="N300" s="3">
        <v>0</v>
      </c>
      <c r="O300" s="3">
        <v>0.289785589774261</v>
      </c>
      <c r="P300" s="3">
        <v>0.58402030285601569</v>
      </c>
      <c r="Q300" s="3">
        <v>0</v>
      </c>
      <c r="R300" s="3">
        <v>0.87380589263027675</v>
      </c>
      <c r="S300" t="s">
        <v>44</v>
      </c>
      <c r="T300" s="4">
        <f t="shared" si="4"/>
        <v>245.78</v>
      </c>
    </row>
    <row r="301" spans="1:20" x14ac:dyDescent="0.2">
      <c r="A301">
        <v>323</v>
      </c>
      <c r="B301">
        <v>1</v>
      </c>
      <c r="C301" t="s">
        <v>1359</v>
      </c>
      <c r="D301" t="s">
        <v>1360</v>
      </c>
      <c r="E301" t="s">
        <v>1361</v>
      </c>
      <c r="H301" t="s">
        <v>25</v>
      </c>
      <c r="I301" t="s">
        <v>25</v>
      </c>
      <c r="J301" t="s">
        <v>26</v>
      </c>
      <c r="K301" t="s">
        <v>1362</v>
      </c>
      <c r="L301" s="2">
        <v>37391.056319351141</v>
      </c>
      <c r="M301" s="3">
        <v>0</v>
      </c>
      <c r="N301" s="3">
        <v>0</v>
      </c>
      <c r="O301" s="3">
        <v>0.42079010451151189</v>
      </c>
      <c r="P301" s="3">
        <v>0.57920989548837931</v>
      </c>
      <c r="Q301" s="3">
        <v>1.088018564132653E-13</v>
      </c>
      <c r="R301" s="3">
        <v>0.9999999999998912</v>
      </c>
      <c r="S301" t="s">
        <v>44</v>
      </c>
      <c r="T301" s="4">
        <f t="shared" si="4"/>
        <v>257.92</v>
      </c>
    </row>
    <row r="302" spans="1:20" x14ac:dyDescent="0.2">
      <c r="A302">
        <v>324</v>
      </c>
      <c r="B302">
        <v>1</v>
      </c>
      <c r="C302" t="s">
        <v>1363</v>
      </c>
      <c r="D302" t="s">
        <v>1364</v>
      </c>
      <c r="E302" t="s">
        <v>1365</v>
      </c>
      <c r="H302" t="s">
        <v>67</v>
      </c>
      <c r="I302" t="s">
        <v>67</v>
      </c>
      <c r="J302" t="s">
        <v>26</v>
      </c>
      <c r="K302" t="s">
        <v>585</v>
      </c>
      <c r="L302" s="2">
        <v>37391.056319351141</v>
      </c>
      <c r="M302" s="3">
        <v>0.53818932407927955</v>
      </c>
      <c r="N302" s="3">
        <v>0</v>
      </c>
      <c r="O302" s="3">
        <v>0.24934322739774131</v>
      </c>
      <c r="P302" s="3">
        <v>0.21246744852300289</v>
      </c>
      <c r="Q302" s="3">
        <v>0</v>
      </c>
      <c r="R302" s="3">
        <v>0.46181067592074421</v>
      </c>
      <c r="S302" t="s">
        <v>125</v>
      </c>
      <c r="T302" s="4">
        <f t="shared" si="4"/>
        <v>167.43</v>
      </c>
    </row>
    <row r="303" spans="1:20" x14ac:dyDescent="0.2">
      <c r="A303">
        <v>325</v>
      </c>
      <c r="B303">
        <v>1</v>
      </c>
      <c r="C303" t="s">
        <v>1366</v>
      </c>
      <c r="D303" t="s">
        <v>1367</v>
      </c>
      <c r="E303" t="s">
        <v>1368</v>
      </c>
      <c r="H303" t="s">
        <v>67</v>
      </c>
      <c r="I303" t="s">
        <v>67</v>
      </c>
      <c r="J303" t="s">
        <v>34</v>
      </c>
      <c r="K303" t="s">
        <v>56</v>
      </c>
      <c r="L303" s="2">
        <v>37391.056319351141</v>
      </c>
      <c r="M303" s="3">
        <v>0</v>
      </c>
      <c r="N303" s="3">
        <v>0</v>
      </c>
      <c r="O303" s="3">
        <v>0.34301724467928468</v>
      </c>
      <c r="P303" s="3">
        <v>0.65698275532093453</v>
      </c>
      <c r="Q303" s="3">
        <v>0</v>
      </c>
      <c r="R303" s="3">
        <v>1.0000000000002189</v>
      </c>
      <c r="S303" t="s">
        <v>44</v>
      </c>
      <c r="T303" s="4">
        <f t="shared" si="4"/>
        <v>265.7</v>
      </c>
    </row>
    <row r="304" spans="1:20" x14ac:dyDescent="0.2">
      <c r="A304">
        <v>326</v>
      </c>
      <c r="B304">
        <v>1</v>
      </c>
      <c r="C304" t="s">
        <v>1369</v>
      </c>
      <c r="D304" t="s">
        <v>1370</v>
      </c>
      <c r="E304" t="s">
        <v>1371</v>
      </c>
      <c r="H304" t="s">
        <v>67</v>
      </c>
      <c r="I304" t="s">
        <v>67</v>
      </c>
      <c r="J304" t="s">
        <v>34</v>
      </c>
      <c r="K304" t="s">
        <v>1372</v>
      </c>
      <c r="L304" s="2">
        <v>37391.056319351141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t="s">
        <v>28</v>
      </c>
      <c r="T304" s="4">
        <f t="shared" si="4"/>
        <v>100</v>
      </c>
    </row>
    <row r="305" spans="1:20" x14ac:dyDescent="0.2">
      <c r="A305">
        <v>327</v>
      </c>
      <c r="B305">
        <v>1</v>
      </c>
      <c r="C305" t="s">
        <v>1373</v>
      </c>
      <c r="D305" t="s">
        <v>1374</v>
      </c>
      <c r="E305" t="s">
        <v>1375</v>
      </c>
      <c r="H305" t="s">
        <v>336</v>
      </c>
      <c r="I305" t="s">
        <v>336</v>
      </c>
      <c r="J305" t="s">
        <v>34</v>
      </c>
      <c r="K305" t="s">
        <v>155</v>
      </c>
      <c r="L305" s="2">
        <v>37391.056319351141</v>
      </c>
      <c r="M305" s="3">
        <v>0</v>
      </c>
      <c r="N305" s="3">
        <v>0</v>
      </c>
      <c r="O305" s="3">
        <v>0.41351962747509469</v>
      </c>
      <c r="P305" s="3">
        <v>0.58648037252508423</v>
      </c>
      <c r="Q305" s="3">
        <v>0</v>
      </c>
      <c r="R305" s="3">
        <v>1.000000000000179</v>
      </c>
      <c r="S305" t="s">
        <v>44</v>
      </c>
      <c r="T305" s="4">
        <f t="shared" si="4"/>
        <v>258.64999999999998</v>
      </c>
    </row>
    <row r="306" spans="1:20" x14ac:dyDescent="0.2">
      <c r="A306">
        <v>328</v>
      </c>
      <c r="B306">
        <v>1</v>
      </c>
      <c r="C306" t="s">
        <v>1376</v>
      </c>
      <c r="D306" t="s">
        <v>1377</v>
      </c>
      <c r="E306" t="s">
        <v>1078</v>
      </c>
      <c r="H306" t="s">
        <v>67</v>
      </c>
      <c r="I306" t="s">
        <v>67</v>
      </c>
      <c r="J306" t="s">
        <v>26</v>
      </c>
      <c r="K306" t="s">
        <v>210</v>
      </c>
      <c r="L306" s="2">
        <v>37391.056319351141</v>
      </c>
      <c r="M306" s="3">
        <v>0</v>
      </c>
      <c r="N306" s="3">
        <v>0</v>
      </c>
      <c r="O306" s="3">
        <v>0.27727470895966738</v>
      </c>
      <c r="P306" s="3">
        <v>0.72272529104041616</v>
      </c>
      <c r="Q306" s="3">
        <v>0</v>
      </c>
      <c r="R306" s="3">
        <v>1.000000000000083</v>
      </c>
      <c r="S306" t="s">
        <v>44</v>
      </c>
      <c r="T306" s="4">
        <f t="shared" si="4"/>
        <v>272.27</v>
      </c>
    </row>
    <row r="307" spans="1:20" x14ac:dyDescent="0.2">
      <c r="A307">
        <v>329</v>
      </c>
      <c r="B307">
        <v>2</v>
      </c>
      <c r="C307" t="s">
        <v>1378</v>
      </c>
      <c r="D307" t="s">
        <v>1379</v>
      </c>
      <c r="E307" t="s">
        <v>1380</v>
      </c>
      <c r="H307" t="s">
        <v>67</v>
      </c>
      <c r="I307" t="s">
        <v>67</v>
      </c>
      <c r="J307" t="s">
        <v>26</v>
      </c>
      <c r="K307" t="s">
        <v>56</v>
      </c>
      <c r="L307" s="2">
        <v>74782.112638702281</v>
      </c>
      <c r="M307" s="3">
        <v>0.63702299671568585</v>
      </c>
      <c r="N307" s="3">
        <v>0</v>
      </c>
      <c r="O307" s="3">
        <v>9.8968147924227354E-2</v>
      </c>
      <c r="P307" s="3">
        <v>0</v>
      </c>
      <c r="Q307" s="3">
        <v>0.26400885536008678</v>
      </c>
      <c r="R307" s="3">
        <v>9.8968147924227354E-2</v>
      </c>
      <c r="S307" t="s">
        <v>28</v>
      </c>
      <c r="T307" s="4">
        <f t="shared" si="4"/>
        <v>83.5</v>
      </c>
    </row>
    <row r="308" spans="1:20" x14ac:dyDescent="0.2">
      <c r="A308">
        <v>330</v>
      </c>
      <c r="B308">
        <v>1</v>
      </c>
      <c r="C308" t="s">
        <v>1381</v>
      </c>
      <c r="D308" t="s">
        <v>1382</v>
      </c>
      <c r="E308" t="s">
        <v>1383</v>
      </c>
      <c r="H308" t="s">
        <v>67</v>
      </c>
      <c r="I308" t="s">
        <v>67</v>
      </c>
      <c r="J308" t="s">
        <v>26</v>
      </c>
      <c r="K308" t="s">
        <v>155</v>
      </c>
      <c r="L308" s="2">
        <v>37391.056319351141</v>
      </c>
      <c r="M308" s="3">
        <v>0</v>
      </c>
      <c r="N308" s="3">
        <v>0</v>
      </c>
      <c r="O308" s="3">
        <v>0.36368896384787208</v>
      </c>
      <c r="P308" s="3">
        <v>0.6363110361522839</v>
      </c>
      <c r="Q308" s="3">
        <v>0</v>
      </c>
      <c r="R308" s="3">
        <v>1.0000000000001561</v>
      </c>
      <c r="S308" t="s">
        <v>44</v>
      </c>
      <c r="T308" s="4">
        <f t="shared" si="4"/>
        <v>263.63</v>
      </c>
    </row>
    <row r="309" spans="1:20" x14ac:dyDescent="0.2">
      <c r="A309">
        <v>331</v>
      </c>
      <c r="B309">
        <v>1</v>
      </c>
      <c r="C309" t="s">
        <v>1384</v>
      </c>
      <c r="D309" t="s">
        <v>1385</v>
      </c>
      <c r="E309" t="s">
        <v>1386</v>
      </c>
      <c r="F309" t="s">
        <v>1387</v>
      </c>
      <c r="H309" t="s">
        <v>260</v>
      </c>
      <c r="I309" t="s">
        <v>260</v>
      </c>
      <c r="J309" t="s">
        <v>34</v>
      </c>
      <c r="K309" t="s">
        <v>35</v>
      </c>
      <c r="L309" s="2">
        <v>37391.056319351141</v>
      </c>
      <c r="M309" s="3">
        <v>0</v>
      </c>
      <c r="N309" s="3">
        <v>0</v>
      </c>
      <c r="O309" s="3">
        <v>0.35174819022757942</v>
      </c>
      <c r="P309" s="3">
        <v>0.64825180977229602</v>
      </c>
      <c r="Q309" s="3">
        <v>1.2456702336294259E-13</v>
      </c>
      <c r="R309" s="3">
        <v>0.99999999999987543</v>
      </c>
      <c r="S309" t="s">
        <v>44</v>
      </c>
      <c r="T309" s="4">
        <f t="shared" si="4"/>
        <v>264.83</v>
      </c>
    </row>
    <row r="310" spans="1:20" x14ac:dyDescent="0.2">
      <c r="A310">
        <v>332</v>
      </c>
      <c r="B310">
        <v>1</v>
      </c>
      <c r="C310" t="s">
        <v>1388</v>
      </c>
      <c r="D310" t="s">
        <v>1389</v>
      </c>
      <c r="E310" t="s">
        <v>1390</v>
      </c>
      <c r="F310" t="s">
        <v>1391</v>
      </c>
      <c r="G310" t="s">
        <v>1392</v>
      </c>
      <c r="H310" t="s">
        <v>25</v>
      </c>
      <c r="I310" t="s">
        <v>25</v>
      </c>
      <c r="J310" t="s">
        <v>92</v>
      </c>
      <c r="K310" t="s">
        <v>363</v>
      </c>
      <c r="L310" s="2">
        <v>37391.056319351141</v>
      </c>
      <c r="M310" s="3">
        <v>0</v>
      </c>
      <c r="N310" s="3">
        <v>0</v>
      </c>
      <c r="O310" s="3">
        <v>0.26428328714921773</v>
      </c>
      <c r="P310" s="3">
        <v>0.73571671285094908</v>
      </c>
      <c r="Q310" s="3">
        <v>0</v>
      </c>
      <c r="R310" s="3">
        <v>1.000000000000167</v>
      </c>
      <c r="S310" t="s">
        <v>44</v>
      </c>
      <c r="T310" s="4">
        <f t="shared" si="4"/>
        <v>273.57</v>
      </c>
    </row>
    <row r="311" spans="1:20" x14ac:dyDescent="0.2">
      <c r="A311">
        <v>333</v>
      </c>
      <c r="B311">
        <v>1</v>
      </c>
      <c r="C311" t="s">
        <v>1393</v>
      </c>
      <c r="D311" t="s">
        <v>1394</v>
      </c>
      <c r="E311" t="s">
        <v>1395</v>
      </c>
      <c r="F311" t="s">
        <v>1396</v>
      </c>
      <c r="G311" t="s">
        <v>1397</v>
      </c>
      <c r="H311" t="s">
        <v>25</v>
      </c>
      <c r="I311" t="s">
        <v>25</v>
      </c>
      <c r="J311" t="s">
        <v>34</v>
      </c>
      <c r="K311" t="s">
        <v>27</v>
      </c>
      <c r="L311" s="2">
        <v>37391.056319351141</v>
      </c>
      <c r="M311" s="3">
        <v>0</v>
      </c>
      <c r="N311" s="3">
        <v>0</v>
      </c>
      <c r="O311" s="3">
        <v>0.24138349030055131</v>
      </c>
      <c r="P311" s="3">
        <v>0.35553668953625711</v>
      </c>
      <c r="Q311" s="3">
        <v>0.40307982016319172</v>
      </c>
      <c r="R311" s="3">
        <v>0.59692017983680845</v>
      </c>
      <c r="S311" t="s">
        <v>125</v>
      </c>
      <c r="T311" s="4">
        <f t="shared" si="4"/>
        <v>154.94</v>
      </c>
    </row>
    <row r="312" spans="1:20" x14ac:dyDescent="0.2">
      <c r="A312">
        <v>334</v>
      </c>
      <c r="B312">
        <v>1</v>
      </c>
      <c r="C312" t="s">
        <v>1398</v>
      </c>
      <c r="D312" t="s">
        <v>1399</v>
      </c>
      <c r="E312" t="s">
        <v>1400</v>
      </c>
      <c r="H312" t="s">
        <v>25</v>
      </c>
      <c r="I312" t="s">
        <v>25</v>
      </c>
      <c r="J312" t="s">
        <v>34</v>
      </c>
      <c r="K312" t="s">
        <v>112</v>
      </c>
      <c r="L312" s="2">
        <v>37391.056319351141</v>
      </c>
      <c r="M312" s="3">
        <v>0.1760338461444414</v>
      </c>
      <c r="N312" s="3">
        <v>0</v>
      </c>
      <c r="O312" s="3">
        <v>0.32040850623448619</v>
      </c>
      <c r="P312" s="3">
        <v>0</v>
      </c>
      <c r="Q312" s="3">
        <v>0.50355764762107236</v>
      </c>
      <c r="R312" s="3">
        <v>0.32040850623448619</v>
      </c>
      <c r="S312" t="s">
        <v>69</v>
      </c>
      <c r="T312" s="4">
        <f t="shared" si="4"/>
        <v>81.69</v>
      </c>
    </row>
    <row r="313" spans="1:20" x14ac:dyDescent="0.2">
      <c r="A313">
        <v>335</v>
      </c>
      <c r="B313">
        <v>2</v>
      </c>
      <c r="C313" t="s">
        <v>1401</v>
      </c>
      <c r="D313" t="s">
        <v>1402</v>
      </c>
      <c r="E313" t="s">
        <v>1019</v>
      </c>
      <c r="H313" t="s">
        <v>67</v>
      </c>
      <c r="I313" t="s">
        <v>67</v>
      </c>
      <c r="J313" t="s">
        <v>34</v>
      </c>
      <c r="K313" t="s">
        <v>161</v>
      </c>
      <c r="L313" s="2">
        <v>74782.112638702281</v>
      </c>
      <c r="M313" s="3">
        <v>0</v>
      </c>
      <c r="N313" s="3">
        <v>0</v>
      </c>
      <c r="O313" s="3">
        <v>0.37998776020923919</v>
      </c>
      <c r="P313" s="3">
        <v>0.62001223979099795</v>
      </c>
      <c r="Q313" s="3">
        <v>0</v>
      </c>
      <c r="R313" s="3">
        <v>1.0000000000002369</v>
      </c>
      <c r="S313" t="s">
        <v>44</v>
      </c>
      <c r="T313" s="4">
        <f t="shared" si="4"/>
        <v>262</v>
      </c>
    </row>
    <row r="314" spans="1:20" x14ac:dyDescent="0.2">
      <c r="A314">
        <v>336</v>
      </c>
      <c r="B314">
        <v>1</v>
      </c>
      <c r="C314" t="s">
        <v>1403</v>
      </c>
      <c r="D314" t="s">
        <v>1404</v>
      </c>
      <c r="E314" t="s">
        <v>1087</v>
      </c>
      <c r="F314" t="s">
        <v>1405</v>
      </c>
      <c r="G314" t="s">
        <v>1406</v>
      </c>
      <c r="H314" t="s">
        <v>67</v>
      </c>
      <c r="I314" t="s">
        <v>67</v>
      </c>
      <c r="J314" t="s">
        <v>26</v>
      </c>
      <c r="K314" t="s">
        <v>540</v>
      </c>
      <c r="L314" s="2">
        <v>37391.056319351141</v>
      </c>
      <c r="M314" s="3">
        <v>0</v>
      </c>
      <c r="N314" s="3">
        <v>0</v>
      </c>
      <c r="O314" s="3">
        <v>0.15138095533293</v>
      </c>
      <c r="P314" s="3">
        <v>0</v>
      </c>
      <c r="Q314" s="3">
        <v>0.84861904466706994</v>
      </c>
      <c r="R314" s="3">
        <v>0.15138095533293</v>
      </c>
      <c r="S314" t="s">
        <v>36</v>
      </c>
      <c r="T314" s="4">
        <f t="shared" si="4"/>
        <v>30.28</v>
      </c>
    </row>
    <row r="315" spans="1:20" x14ac:dyDescent="0.2">
      <c r="A315">
        <v>337</v>
      </c>
      <c r="B315">
        <v>1</v>
      </c>
      <c r="C315" t="s">
        <v>1407</v>
      </c>
      <c r="D315" t="s">
        <v>1408</v>
      </c>
      <c r="E315" t="s">
        <v>1087</v>
      </c>
      <c r="F315" t="s">
        <v>991</v>
      </c>
      <c r="G315" t="s">
        <v>1409</v>
      </c>
      <c r="H315" t="s">
        <v>25</v>
      </c>
      <c r="I315" t="s">
        <v>25</v>
      </c>
      <c r="J315" t="s">
        <v>92</v>
      </c>
      <c r="K315" t="s">
        <v>210</v>
      </c>
      <c r="L315" s="2">
        <v>37391.056319351141</v>
      </c>
      <c r="M315" s="3">
        <v>0</v>
      </c>
      <c r="N315" s="3">
        <v>0</v>
      </c>
      <c r="O315" s="3">
        <v>0</v>
      </c>
      <c r="P315" s="3">
        <v>0</v>
      </c>
      <c r="Q315" s="3">
        <v>1</v>
      </c>
      <c r="R315" s="3">
        <v>0</v>
      </c>
      <c r="S315" t="s">
        <v>28</v>
      </c>
      <c r="T315" s="4">
        <f t="shared" si="4"/>
        <v>0</v>
      </c>
    </row>
    <row r="316" spans="1:20" x14ac:dyDescent="0.2">
      <c r="A316">
        <v>338</v>
      </c>
      <c r="B316">
        <v>2</v>
      </c>
      <c r="C316" t="s">
        <v>1410</v>
      </c>
      <c r="D316" t="s">
        <v>1411</v>
      </c>
      <c r="E316" t="s">
        <v>1412</v>
      </c>
      <c r="F316" t="s">
        <v>1413</v>
      </c>
      <c r="G316" t="s">
        <v>1414</v>
      </c>
      <c r="H316" t="s">
        <v>67</v>
      </c>
      <c r="I316" t="s">
        <v>67</v>
      </c>
      <c r="J316" t="s">
        <v>92</v>
      </c>
      <c r="K316" t="s">
        <v>204</v>
      </c>
      <c r="L316" s="2">
        <v>74782.112638702281</v>
      </c>
      <c r="M316" s="3">
        <v>0</v>
      </c>
      <c r="N316" s="3">
        <v>0</v>
      </c>
      <c r="O316" s="3">
        <v>0.28337442682457109</v>
      </c>
      <c r="P316" s="3">
        <v>0.59622665509032913</v>
      </c>
      <c r="Q316" s="3">
        <v>0.1203989180850997</v>
      </c>
      <c r="R316" s="3">
        <v>0.87960108191490027</v>
      </c>
      <c r="S316" t="s">
        <v>44</v>
      </c>
      <c r="T316" s="4">
        <f t="shared" si="4"/>
        <v>235.54</v>
      </c>
    </row>
    <row r="317" spans="1:20" x14ac:dyDescent="0.2">
      <c r="A317">
        <v>339</v>
      </c>
      <c r="B317">
        <v>1</v>
      </c>
      <c r="C317" t="s">
        <v>1415</v>
      </c>
      <c r="D317" t="s">
        <v>1416</v>
      </c>
      <c r="E317" t="s">
        <v>1087</v>
      </c>
      <c r="F317" t="s">
        <v>1417</v>
      </c>
      <c r="G317" t="s">
        <v>1418</v>
      </c>
      <c r="H317" t="s">
        <v>25</v>
      </c>
      <c r="I317" t="s">
        <v>25</v>
      </c>
      <c r="J317" t="s">
        <v>26</v>
      </c>
      <c r="K317" t="s">
        <v>540</v>
      </c>
      <c r="L317" s="2">
        <v>37391.056319351141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t="s">
        <v>28</v>
      </c>
      <c r="T317" s="4">
        <f t="shared" si="4"/>
        <v>100</v>
      </c>
    </row>
    <row r="318" spans="1:20" x14ac:dyDescent="0.2">
      <c r="A318">
        <v>340</v>
      </c>
      <c r="B318">
        <v>1</v>
      </c>
      <c r="C318" t="s">
        <v>1419</v>
      </c>
      <c r="D318" t="s">
        <v>1420</v>
      </c>
      <c r="E318" t="s">
        <v>1421</v>
      </c>
      <c r="F318" t="s">
        <v>1422</v>
      </c>
      <c r="G318" t="s">
        <v>1423</v>
      </c>
      <c r="H318" t="s">
        <v>67</v>
      </c>
      <c r="I318" t="s">
        <v>67</v>
      </c>
      <c r="J318" t="s">
        <v>34</v>
      </c>
      <c r="K318" t="s">
        <v>644</v>
      </c>
      <c r="L318" s="2">
        <v>37391.056319351141</v>
      </c>
      <c r="M318" s="3">
        <v>0</v>
      </c>
      <c r="N318" s="3">
        <v>0</v>
      </c>
      <c r="O318" s="3">
        <v>8.4034060262208665E-2</v>
      </c>
      <c r="P318" s="3">
        <v>0</v>
      </c>
      <c r="Q318" s="3">
        <v>0.91596593973779128</v>
      </c>
      <c r="R318" s="3">
        <v>8.4034060262208665E-2</v>
      </c>
      <c r="S318" t="s">
        <v>28</v>
      </c>
      <c r="T318" s="4">
        <f t="shared" si="4"/>
        <v>16.809999999999999</v>
      </c>
    </row>
    <row r="319" spans="1:20" x14ac:dyDescent="0.2">
      <c r="A319">
        <v>342</v>
      </c>
      <c r="B319">
        <v>1</v>
      </c>
      <c r="C319" t="s">
        <v>1424</v>
      </c>
      <c r="D319" t="s">
        <v>1425</v>
      </c>
      <c r="E319" t="s">
        <v>96</v>
      </c>
      <c r="H319" t="s">
        <v>67</v>
      </c>
      <c r="I319" t="s">
        <v>67</v>
      </c>
      <c r="J319" t="s">
        <v>26</v>
      </c>
      <c r="K319" t="s">
        <v>650</v>
      </c>
      <c r="L319" s="2">
        <v>37391.056319351141</v>
      </c>
      <c r="M319" s="3">
        <v>0.93753336007193089</v>
      </c>
      <c r="N319" s="3">
        <v>0</v>
      </c>
      <c r="O319" s="3">
        <v>1.202292980195288E-3</v>
      </c>
      <c r="P319" s="3">
        <v>0</v>
      </c>
      <c r="Q319" s="3">
        <v>6.126434694787386E-2</v>
      </c>
      <c r="R319" s="3">
        <v>1.202292980195288E-3</v>
      </c>
      <c r="S319" t="s">
        <v>28</v>
      </c>
      <c r="T319" s="4">
        <f t="shared" si="4"/>
        <v>93.99</v>
      </c>
    </row>
    <row r="320" spans="1:20" x14ac:dyDescent="0.2">
      <c r="A320">
        <v>343</v>
      </c>
      <c r="B320">
        <v>1</v>
      </c>
      <c r="C320" t="s">
        <v>1426</v>
      </c>
      <c r="D320" t="s">
        <v>1427</v>
      </c>
      <c r="E320" t="s">
        <v>59</v>
      </c>
      <c r="H320" t="s">
        <v>67</v>
      </c>
      <c r="I320" t="s">
        <v>67</v>
      </c>
      <c r="J320" t="s">
        <v>26</v>
      </c>
      <c r="K320" t="s">
        <v>56</v>
      </c>
      <c r="L320" s="2">
        <v>37391.056319351141</v>
      </c>
      <c r="M320" s="3">
        <v>2.1094955926976491E-3</v>
      </c>
      <c r="N320" s="3">
        <v>0</v>
      </c>
      <c r="O320" s="3">
        <v>0.22889653369967711</v>
      </c>
      <c r="P320" s="3">
        <v>0.18633110012728299</v>
      </c>
      <c r="Q320" s="3">
        <v>0.58266287058034227</v>
      </c>
      <c r="R320" s="3">
        <v>0.4152276338269601</v>
      </c>
      <c r="S320" t="s">
        <v>125</v>
      </c>
      <c r="T320" s="4">
        <f t="shared" si="4"/>
        <v>101.89</v>
      </c>
    </row>
    <row r="321" spans="1:20" x14ac:dyDescent="0.2">
      <c r="A321">
        <v>344</v>
      </c>
      <c r="B321">
        <v>1</v>
      </c>
      <c r="C321" t="s">
        <v>1428</v>
      </c>
      <c r="D321" t="s">
        <v>1429</v>
      </c>
      <c r="E321" t="s">
        <v>1430</v>
      </c>
      <c r="F321" t="s">
        <v>410</v>
      </c>
      <c r="G321" t="s">
        <v>411</v>
      </c>
      <c r="H321" t="s">
        <v>67</v>
      </c>
      <c r="I321" t="s">
        <v>67</v>
      </c>
      <c r="J321" t="s">
        <v>92</v>
      </c>
      <c r="K321" t="s">
        <v>230</v>
      </c>
      <c r="L321" s="2">
        <v>37391.056319351141</v>
      </c>
      <c r="M321" s="3">
        <v>0</v>
      </c>
      <c r="N321" s="3">
        <v>0</v>
      </c>
      <c r="O321" s="3">
        <v>0.25363106639963989</v>
      </c>
      <c r="P321" s="3">
        <v>1.278283475915456E-3</v>
      </c>
      <c r="Q321" s="3">
        <v>0.74509065012444453</v>
      </c>
      <c r="R321" s="3">
        <v>0.25490934987555541</v>
      </c>
      <c r="S321" t="s">
        <v>69</v>
      </c>
      <c r="T321" s="4">
        <f t="shared" si="4"/>
        <v>51.11</v>
      </c>
    </row>
    <row r="322" spans="1:20" x14ac:dyDescent="0.2">
      <c r="A322">
        <v>345</v>
      </c>
      <c r="B322">
        <v>1</v>
      </c>
      <c r="C322" t="s">
        <v>1431</v>
      </c>
      <c r="D322" t="s">
        <v>1432</v>
      </c>
      <c r="E322" t="s">
        <v>1433</v>
      </c>
      <c r="F322" t="s">
        <v>171</v>
      </c>
      <c r="G322" t="s">
        <v>172</v>
      </c>
      <c r="H322" t="s">
        <v>25</v>
      </c>
      <c r="I322" t="s">
        <v>25</v>
      </c>
      <c r="J322" t="s">
        <v>26</v>
      </c>
      <c r="K322" t="s">
        <v>56</v>
      </c>
      <c r="L322" s="2">
        <v>37391.056319351141</v>
      </c>
      <c r="M322" s="3">
        <v>0</v>
      </c>
      <c r="N322" s="3">
        <v>0</v>
      </c>
      <c r="O322" s="3">
        <v>0</v>
      </c>
      <c r="P322" s="3">
        <v>0</v>
      </c>
      <c r="Q322" s="3">
        <v>1</v>
      </c>
      <c r="R322" s="3">
        <v>0</v>
      </c>
      <c r="S322" t="s">
        <v>28</v>
      </c>
      <c r="T322" s="4">
        <f t="shared" ref="T322:T385" si="5">ROUND((M322*100*1)+(O322*100*2)+(P322*100*3),2)</f>
        <v>0</v>
      </c>
    </row>
    <row r="323" spans="1:20" x14ac:dyDescent="0.2">
      <c r="A323">
        <v>346</v>
      </c>
      <c r="B323">
        <v>1</v>
      </c>
      <c r="C323" t="s">
        <v>1434</v>
      </c>
      <c r="D323" t="s">
        <v>1435</v>
      </c>
      <c r="E323" t="s">
        <v>1436</v>
      </c>
      <c r="F323" t="s">
        <v>1437</v>
      </c>
      <c r="G323" t="s">
        <v>1438</v>
      </c>
      <c r="H323" t="s">
        <v>25</v>
      </c>
      <c r="I323" t="s">
        <v>25</v>
      </c>
      <c r="J323" t="s">
        <v>34</v>
      </c>
      <c r="K323" t="s">
        <v>249</v>
      </c>
      <c r="L323" s="2">
        <v>37391.056319342293</v>
      </c>
      <c r="M323" s="3">
        <v>5.1373967654580292E-2</v>
      </c>
      <c r="N323" s="3">
        <v>0</v>
      </c>
      <c r="O323" s="3">
        <v>0.29209198586523272</v>
      </c>
      <c r="P323" s="3">
        <v>8.0410634367546197E-2</v>
      </c>
      <c r="Q323" s="3">
        <v>0.57612341211264084</v>
      </c>
      <c r="R323" s="3">
        <v>0.37250262023277891</v>
      </c>
      <c r="S323" t="s">
        <v>69</v>
      </c>
      <c r="T323" s="4">
        <f t="shared" si="5"/>
        <v>87.68</v>
      </c>
    </row>
    <row r="324" spans="1:20" x14ac:dyDescent="0.2">
      <c r="A324">
        <v>347</v>
      </c>
      <c r="B324">
        <v>5</v>
      </c>
      <c r="C324" t="s">
        <v>1439</v>
      </c>
      <c r="D324" t="s">
        <v>1440</v>
      </c>
      <c r="E324" t="s">
        <v>1441</v>
      </c>
      <c r="F324" t="s">
        <v>1442</v>
      </c>
      <c r="G324" t="s">
        <v>1443</v>
      </c>
      <c r="H324" t="s">
        <v>67</v>
      </c>
      <c r="I324" t="s">
        <v>67</v>
      </c>
      <c r="J324" t="s">
        <v>92</v>
      </c>
      <c r="K324" t="s">
        <v>277</v>
      </c>
      <c r="L324" s="2">
        <v>186955.28159671149</v>
      </c>
      <c r="M324" s="3">
        <v>0</v>
      </c>
      <c r="N324" s="3">
        <v>0</v>
      </c>
      <c r="O324" s="3">
        <v>0.39360052873191892</v>
      </c>
      <c r="P324" s="3">
        <v>0.19863313276424749</v>
      </c>
      <c r="Q324" s="3">
        <v>0.40776633850383348</v>
      </c>
      <c r="R324" s="3">
        <v>0.59223366149616641</v>
      </c>
      <c r="S324" t="s">
        <v>125</v>
      </c>
      <c r="T324" s="4">
        <f t="shared" si="5"/>
        <v>138.31</v>
      </c>
    </row>
    <row r="325" spans="1:20" x14ac:dyDescent="0.2">
      <c r="A325">
        <v>348</v>
      </c>
      <c r="B325">
        <v>1</v>
      </c>
      <c r="C325" t="s">
        <v>1444</v>
      </c>
      <c r="D325" t="s">
        <v>1445</v>
      </c>
      <c r="E325" t="s">
        <v>1446</v>
      </c>
      <c r="F325" t="s">
        <v>1447</v>
      </c>
      <c r="G325" t="s">
        <v>1448</v>
      </c>
      <c r="H325" t="s">
        <v>67</v>
      </c>
      <c r="I325" t="s">
        <v>67</v>
      </c>
      <c r="J325" t="s">
        <v>34</v>
      </c>
      <c r="K325" t="s">
        <v>230</v>
      </c>
      <c r="L325" s="2">
        <v>37391.056319342293</v>
      </c>
      <c r="M325" s="3">
        <v>0</v>
      </c>
      <c r="N325" s="3">
        <v>0</v>
      </c>
      <c r="O325" s="3">
        <v>0.19258511396455691</v>
      </c>
      <c r="P325" s="3">
        <v>0</v>
      </c>
      <c r="Q325" s="3">
        <v>0.80741488603544309</v>
      </c>
      <c r="R325" s="3">
        <v>0.19258511396455691</v>
      </c>
      <c r="S325" t="s">
        <v>36</v>
      </c>
      <c r="T325" s="4">
        <f t="shared" si="5"/>
        <v>38.520000000000003</v>
      </c>
    </row>
    <row r="326" spans="1:20" x14ac:dyDescent="0.2">
      <c r="A326">
        <v>349</v>
      </c>
      <c r="B326">
        <v>1</v>
      </c>
      <c r="C326" t="s">
        <v>1449</v>
      </c>
      <c r="D326" t="s">
        <v>1450</v>
      </c>
      <c r="E326" t="s">
        <v>1451</v>
      </c>
      <c r="F326" t="s">
        <v>1452</v>
      </c>
      <c r="G326" t="s">
        <v>1453</v>
      </c>
      <c r="H326" t="s">
        <v>67</v>
      </c>
      <c r="I326" t="s">
        <v>67</v>
      </c>
      <c r="J326" t="s">
        <v>26</v>
      </c>
      <c r="K326" t="s">
        <v>626</v>
      </c>
      <c r="L326" s="2">
        <v>37391.056319342293</v>
      </c>
      <c r="M326" s="3">
        <v>0</v>
      </c>
      <c r="N326" s="3">
        <v>0</v>
      </c>
      <c r="O326" s="3">
        <v>0.22339288981317951</v>
      </c>
      <c r="P326" s="3">
        <v>0</v>
      </c>
      <c r="Q326" s="3">
        <v>0.77660711018682049</v>
      </c>
      <c r="R326" s="3">
        <v>0.22339288981317951</v>
      </c>
      <c r="S326" t="s">
        <v>69</v>
      </c>
      <c r="T326" s="4">
        <f t="shared" si="5"/>
        <v>44.68</v>
      </c>
    </row>
    <row r="327" spans="1:20" x14ac:dyDescent="0.2">
      <c r="A327">
        <v>350</v>
      </c>
      <c r="B327">
        <v>1</v>
      </c>
      <c r="C327" t="s">
        <v>1454</v>
      </c>
      <c r="D327" t="s">
        <v>1455</v>
      </c>
      <c r="E327" t="s">
        <v>682</v>
      </c>
      <c r="H327" t="s">
        <v>67</v>
      </c>
      <c r="I327" t="s">
        <v>67</v>
      </c>
      <c r="J327" t="s">
        <v>34</v>
      </c>
      <c r="K327" t="s">
        <v>904</v>
      </c>
      <c r="L327" s="2">
        <v>37391.056319342293</v>
      </c>
      <c r="M327" s="3">
        <v>0</v>
      </c>
      <c r="N327" s="3">
        <v>0</v>
      </c>
      <c r="O327" s="3">
        <v>0.37273099273803623</v>
      </c>
      <c r="P327" s="3">
        <v>0.35369530233832869</v>
      </c>
      <c r="Q327" s="3">
        <v>0.27357370492363509</v>
      </c>
      <c r="R327" s="3">
        <v>0.72642629507636491</v>
      </c>
      <c r="S327" t="s">
        <v>44</v>
      </c>
      <c r="T327" s="4">
        <f t="shared" si="5"/>
        <v>180.65</v>
      </c>
    </row>
    <row r="328" spans="1:20" x14ac:dyDescent="0.2">
      <c r="A328">
        <v>352</v>
      </c>
      <c r="B328">
        <v>1</v>
      </c>
      <c r="C328" t="s">
        <v>1456</v>
      </c>
      <c r="D328" t="s">
        <v>1457</v>
      </c>
      <c r="E328" t="s">
        <v>180</v>
      </c>
      <c r="H328" t="s">
        <v>67</v>
      </c>
      <c r="I328" t="s">
        <v>67</v>
      </c>
      <c r="J328" t="s">
        <v>34</v>
      </c>
      <c r="K328" t="s">
        <v>210</v>
      </c>
      <c r="L328" s="2">
        <v>37391.056319342293</v>
      </c>
      <c r="M328" s="3">
        <v>4.6466347097062682E-2</v>
      </c>
      <c r="N328" s="3">
        <v>0</v>
      </c>
      <c r="O328" s="3">
        <v>0.48111492396520222</v>
      </c>
      <c r="P328" s="3">
        <v>0.46524720279274678</v>
      </c>
      <c r="Q328" s="3">
        <v>7.1715261449880616E-3</v>
      </c>
      <c r="R328" s="3">
        <v>0.94636212675794895</v>
      </c>
      <c r="S328" t="s">
        <v>44</v>
      </c>
      <c r="T328" s="4">
        <f t="shared" si="5"/>
        <v>240.44</v>
      </c>
    </row>
    <row r="329" spans="1:20" x14ac:dyDescent="0.2">
      <c r="A329">
        <v>353</v>
      </c>
      <c r="B329">
        <v>9</v>
      </c>
      <c r="C329" t="s">
        <v>1458</v>
      </c>
      <c r="D329" t="s">
        <v>1459</v>
      </c>
      <c r="E329" t="s">
        <v>612</v>
      </c>
      <c r="F329" t="s">
        <v>1460</v>
      </c>
      <c r="G329" t="s">
        <v>1461</v>
      </c>
      <c r="H329" t="s">
        <v>67</v>
      </c>
      <c r="I329" t="s">
        <v>67</v>
      </c>
      <c r="J329" t="s">
        <v>26</v>
      </c>
      <c r="K329" t="s">
        <v>68</v>
      </c>
      <c r="L329" s="2">
        <v>336519.50687416032</v>
      </c>
      <c r="M329" s="3">
        <v>0.41694963931629248</v>
      </c>
      <c r="N329" s="3">
        <v>0</v>
      </c>
      <c r="O329" s="3">
        <v>0.5332968446282067</v>
      </c>
      <c r="P329" s="3">
        <v>4.9753516055508692E-2</v>
      </c>
      <c r="Q329" s="3">
        <v>0</v>
      </c>
      <c r="R329" s="3">
        <v>0.58305036068371541</v>
      </c>
      <c r="S329" t="s">
        <v>125</v>
      </c>
      <c r="T329" s="4">
        <f t="shared" si="5"/>
        <v>163.28</v>
      </c>
    </row>
    <row r="330" spans="1:20" x14ac:dyDescent="0.2">
      <c r="A330">
        <v>354</v>
      </c>
      <c r="B330">
        <v>1</v>
      </c>
      <c r="C330" t="s">
        <v>1462</v>
      </c>
      <c r="D330" t="s">
        <v>1463</v>
      </c>
      <c r="E330" t="s">
        <v>1464</v>
      </c>
      <c r="F330" t="s">
        <v>1465</v>
      </c>
      <c r="H330" t="s">
        <v>25</v>
      </c>
      <c r="I330" t="s">
        <v>42</v>
      </c>
      <c r="J330" t="s">
        <v>26</v>
      </c>
      <c r="K330" t="s">
        <v>650</v>
      </c>
      <c r="L330" s="2">
        <v>37391.056319351141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t="s">
        <v>28</v>
      </c>
      <c r="T330" s="4">
        <f t="shared" si="5"/>
        <v>0</v>
      </c>
    </row>
    <row r="331" spans="1:20" x14ac:dyDescent="0.2">
      <c r="A331">
        <v>355</v>
      </c>
      <c r="B331">
        <v>1</v>
      </c>
      <c r="C331" t="s">
        <v>1466</v>
      </c>
      <c r="D331" t="s">
        <v>1467</v>
      </c>
      <c r="E331" t="s">
        <v>1468</v>
      </c>
      <c r="F331" t="s">
        <v>543</v>
      </c>
      <c r="G331" t="s">
        <v>544</v>
      </c>
      <c r="H331" t="s">
        <v>25</v>
      </c>
      <c r="I331" t="s">
        <v>25</v>
      </c>
      <c r="J331" t="s">
        <v>34</v>
      </c>
      <c r="K331" t="s">
        <v>1108</v>
      </c>
      <c r="L331" s="2">
        <v>37391.056319342293</v>
      </c>
      <c r="M331" s="3">
        <v>0.97093382160479769</v>
      </c>
      <c r="N331" s="3">
        <v>0</v>
      </c>
      <c r="O331" s="3">
        <v>2.9066178395226409E-2</v>
      </c>
      <c r="P331" s="3">
        <v>0</v>
      </c>
      <c r="Q331" s="3">
        <v>0</v>
      </c>
      <c r="R331" s="3">
        <v>2.9066178395226409E-2</v>
      </c>
      <c r="S331" t="s">
        <v>28</v>
      </c>
      <c r="T331" s="4">
        <f t="shared" si="5"/>
        <v>102.91</v>
      </c>
    </row>
    <row r="332" spans="1:20" x14ac:dyDescent="0.2">
      <c r="A332">
        <v>356</v>
      </c>
      <c r="B332">
        <v>2</v>
      </c>
      <c r="C332" t="s">
        <v>1469</v>
      </c>
      <c r="D332" t="s">
        <v>1470</v>
      </c>
      <c r="E332" t="s">
        <v>1471</v>
      </c>
      <c r="F332" t="s">
        <v>1472</v>
      </c>
      <c r="G332" t="s">
        <v>1473</v>
      </c>
      <c r="H332" t="s">
        <v>67</v>
      </c>
      <c r="I332" t="s">
        <v>67</v>
      </c>
      <c r="J332" t="s">
        <v>26</v>
      </c>
      <c r="K332" t="s">
        <v>904</v>
      </c>
      <c r="L332" s="2">
        <v>37391.056319342293</v>
      </c>
      <c r="M332" s="3">
        <v>4.4320557740515796E-3</v>
      </c>
      <c r="N332" s="3">
        <v>0</v>
      </c>
      <c r="O332" s="3">
        <v>0.21239494256189689</v>
      </c>
      <c r="P332" s="3">
        <v>2.604802513547717E-2</v>
      </c>
      <c r="Q332" s="3">
        <v>0.75712497652857436</v>
      </c>
      <c r="R332" s="3">
        <v>0.23844296769737411</v>
      </c>
      <c r="S332" t="s">
        <v>69</v>
      </c>
      <c r="T332" s="4">
        <f t="shared" si="5"/>
        <v>50.74</v>
      </c>
    </row>
    <row r="333" spans="1:20" x14ac:dyDescent="0.2">
      <c r="A333">
        <v>357</v>
      </c>
      <c r="B333">
        <v>1</v>
      </c>
      <c r="C333" t="s">
        <v>1474</v>
      </c>
      <c r="D333" t="s">
        <v>1475</v>
      </c>
      <c r="E333" t="s">
        <v>1476</v>
      </c>
      <c r="H333" t="s">
        <v>67</v>
      </c>
      <c r="I333" t="s">
        <v>67</v>
      </c>
      <c r="J333" t="s">
        <v>26</v>
      </c>
      <c r="K333" t="s">
        <v>775</v>
      </c>
      <c r="L333" s="2">
        <v>37391.056319342293</v>
      </c>
      <c r="M333" s="3">
        <v>0</v>
      </c>
      <c r="N333" s="3">
        <v>0</v>
      </c>
      <c r="O333" s="3">
        <v>6.6262851617956683E-2</v>
      </c>
      <c r="P333" s="3">
        <v>0.1184589242623359</v>
      </c>
      <c r="Q333" s="3">
        <v>0.81527822411970741</v>
      </c>
      <c r="R333" s="3">
        <v>0.18472177588029259</v>
      </c>
      <c r="S333" t="s">
        <v>36</v>
      </c>
      <c r="T333" s="4">
        <f t="shared" si="5"/>
        <v>48.79</v>
      </c>
    </row>
    <row r="334" spans="1:20" x14ac:dyDescent="0.2">
      <c r="A334">
        <v>358</v>
      </c>
      <c r="B334">
        <v>1</v>
      </c>
      <c r="C334" t="s">
        <v>1477</v>
      </c>
      <c r="D334" t="s">
        <v>1478</v>
      </c>
      <c r="E334" t="s">
        <v>1011</v>
      </c>
      <c r="F334" t="s">
        <v>1479</v>
      </c>
      <c r="G334" t="s">
        <v>1480</v>
      </c>
      <c r="H334" t="s">
        <v>80</v>
      </c>
      <c r="I334" t="s">
        <v>80</v>
      </c>
      <c r="J334" t="s">
        <v>26</v>
      </c>
      <c r="K334" t="s">
        <v>149</v>
      </c>
      <c r="L334" s="2">
        <v>37391.056319342293</v>
      </c>
      <c r="M334" s="3">
        <v>1.214032221417363E-2</v>
      </c>
      <c r="N334" s="3">
        <v>0</v>
      </c>
      <c r="O334" s="3">
        <v>0.2051371501321802</v>
      </c>
      <c r="P334" s="3">
        <v>5.8468548361318142E-3</v>
      </c>
      <c r="Q334" s="3">
        <v>0.77687567281751435</v>
      </c>
      <c r="R334" s="3">
        <v>0.21098400496831199</v>
      </c>
      <c r="S334" t="s">
        <v>69</v>
      </c>
      <c r="T334" s="4">
        <f t="shared" si="5"/>
        <v>44</v>
      </c>
    </row>
    <row r="335" spans="1:20" x14ac:dyDescent="0.2">
      <c r="A335">
        <v>359</v>
      </c>
      <c r="B335">
        <v>1</v>
      </c>
      <c r="C335" t="s">
        <v>1481</v>
      </c>
      <c r="D335" t="s">
        <v>1482</v>
      </c>
      <c r="E335" t="s">
        <v>1483</v>
      </c>
      <c r="F335" t="s">
        <v>1484</v>
      </c>
      <c r="G335" t="s">
        <v>1485</v>
      </c>
      <c r="H335" t="s">
        <v>67</v>
      </c>
      <c r="I335" t="s">
        <v>67</v>
      </c>
      <c r="J335" t="s">
        <v>34</v>
      </c>
      <c r="K335" t="s">
        <v>149</v>
      </c>
      <c r="L335" s="2">
        <v>37391.056319342293</v>
      </c>
      <c r="M335" s="3">
        <v>0</v>
      </c>
      <c r="N335" s="3">
        <v>0</v>
      </c>
      <c r="O335" s="3">
        <v>0.307027343331155</v>
      </c>
      <c r="P335" s="3">
        <v>0.6169159768007646</v>
      </c>
      <c r="Q335" s="3">
        <v>7.6056679868080401E-2</v>
      </c>
      <c r="R335" s="3">
        <v>0.9239433201319196</v>
      </c>
      <c r="S335" t="s">
        <v>44</v>
      </c>
      <c r="T335" s="4">
        <f t="shared" si="5"/>
        <v>246.48</v>
      </c>
    </row>
    <row r="336" spans="1:20" x14ac:dyDescent="0.2">
      <c r="A336">
        <v>360</v>
      </c>
      <c r="B336">
        <v>1</v>
      </c>
      <c r="C336" t="s">
        <v>1486</v>
      </c>
      <c r="D336" t="s">
        <v>1487</v>
      </c>
      <c r="E336" t="s">
        <v>1488</v>
      </c>
      <c r="F336" t="s">
        <v>410</v>
      </c>
      <c r="G336" t="s">
        <v>411</v>
      </c>
      <c r="H336" t="s">
        <v>25</v>
      </c>
      <c r="I336" t="s">
        <v>25</v>
      </c>
      <c r="J336" t="s">
        <v>26</v>
      </c>
      <c r="K336" t="s">
        <v>1108</v>
      </c>
      <c r="L336" s="2">
        <v>37391.056319342293</v>
      </c>
      <c r="M336" s="3">
        <v>0.85050163719887051</v>
      </c>
      <c r="N336" s="3">
        <v>0</v>
      </c>
      <c r="O336" s="3">
        <v>0.1494983628011376</v>
      </c>
      <c r="P336" s="3">
        <v>0</v>
      </c>
      <c r="Q336" s="3">
        <v>0</v>
      </c>
      <c r="R336" s="3">
        <v>0.1494983628011376</v>
      </c>
      <c r="S336" t="s">
        <v>36</v>
      </c>
      <c r="T336" s="4">
        <f t="shared" si="5"/>
        <v>114.95</v>
      </c>
    </row>
    <row r="337" spans="1:20" x14ac:dyDescent="0.2">
      <c r="A337">
        <v>361</v>
      </c>
      <c r="B337">
        <v>1</v>
      </c>
      <c r="C337" t="s">
        <v>1489</v>
      </c>
      <c r="D337" t="s">
        <v>1490</v>
      </c>
      <c r="E337" t="s">
        <v>1488</v>
      </c>
      <c r="F337" t="s">
        <v>1491</v>
      </c>
      <c r="G337" t="s">
        <v>1492</v>
      </c>
      <c r="H337" t="s">
        <v>25</v>
      </c>
      <c r="I337" t="s">
        <v>25</v>
      </c>
      <c r="J337" t="s">
        <v>26</v>
      </c>
      <c r="K337" t="s">
        <v>1108</v>
      </c>
      <c r="L337" s="2">
        <v>37391.056319342293</v>
      </c>
      <c r="M337" s="3">
        <v>7.542277718255215E-2</v>
      </c>
      <c r="N337" s="3">
        <v>0</v>
      </c>
      <c r="O337" s="3">
        <v>0</v>
      </c>
      <c r="P337" s="3">
        <v>0</v>
      </c>
      <c r="Q337" s="3">
        <v>0.92457722281744781</v>
      </c>
      <c r="R337" s="3">
        <v>0</v>
      </c>
      <c r="S337" t="s">
        <v>28</v>
      </c>
      <c r="T337" s="4">
        <f t="shared" si="5"/>
        <v>7.54</v>
      </c>
    </row>
    <row r="338" spans="1:20" x14ac:dyDescent="0.2">
      <c r="A338">
        <v>362</v>
      </c>
      <c r="B338">
        <v>1</v>
      </c>
      <c r="C338" t="s">
        <v>1493</v>
      </c>
      <c r="D338" t="s">
        <v>1494</v>
      </c>
      <c r="E338" t="s">
        <v>1488</v>
      </c>
      <c r="F338" t="s">
        <v>1495</v>
      </c>
      <c r="G338" t="s">
        <v>1496</v>
      </c>
      <c r="H338" t="s">
        <v>25</v>
      </c>
      <c r="I338" t="s">
        <v>25</v>
      </c>
      <c r="J338" t="s">
        <v>26</v>
      </c>
      <c r="K338" t="s">
        <v>1108</v>
      </c>
      <c r="L338" s="2">
        <v>37391.056319342293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t="s">
        <v>28</v>
      </c>
      <c r="T338" s="4">
        <f t="shared" si="5"/>
        <v>100</v>
      </c>
    </row>
    <row r="339" spans="1:20" x14ac:dyDescent="0.2">
      <c r="A339">
        <v>363</v>
      </c>
      <c r="B339">
        <v>1</v>
      </c>
      <c r="C339" t="s">
        <v>1497</v>
      </c>
      <c r="D339" t="s">
        <v>1498</v>
      </c>
      <c r="E339" t="s">
        <v>1488</v>
      </c>
      <c r="H339" t="s">
        <v>67</v>
      </c>
      <c r="I339" t="s">
        <v>67</v>
      </c>
      <c r="J339" t="s">
        <v>92</v>
      </c>
      <c r="K339" t="s">
        <v>155</v>
      </c>
      <c r="L339" s="2">
        <v>37391.056319342293</v>
      </c>
      <c r="M339" s="3">
        <v>0.13110687814008509</v>
      </c>
      <c r="N339" s="3">
        <v>0</v>
      </c>
      <c r="O339" s="3">
        <v>0.30600840919486177</v>
      </c>
      <c r="P339" s="3">
        <v>0.47266875866157781</v>
      </c>
      <c r="Q339" s="3">
        <v>9.0215954003475263E-2</v>
      </c>
      <c r="R339" s="3">
        <v>0.77867716785643959</v>
      </c>
      <c r="S339" t="s">
        <v>44</v>
      </c>
      <c r="T339" s="4">
        <f t="shared" si="5"/>
        <v>216.11</v>
      </c>
    </row>
    <row r="340" spans="1:20" x14ac:dyDescent="0.2">
      <c r="A340">
        <v>364</v>
      </c>
      <c r="B340">
        <v>1</v>
      </c>
      <c r="C340" t="s">
        <v>1499</v>
      </c>
      <c r="D340" t="s">
        <v>1500</v>
      </c>
      <c r="E340" t="s">
        <v>1501</v>
      </c>
      <c r="F340" t="s">
        <v>1502</v>
      </c>
      <c r="G340" t="s">
        <v>1503</v>
      </c>
      <c r="H340" t="s">
        <v>67</v>
      </c>
      <c r="I340" t="s">
        <v>67</v>
      </c>
      <c r="J340" t="s">
        <v>92</v>
      </c>
      <c r="K340" t="s">
        <v>771</v>
      </c>
      <c r="L340" s="2">
        <v>37391.056319342293</v>
      </c>
      <c r="M340" s="3">
        <v>1.407582442723682E-2</v>
      </c>
      <c r="N340" s="3">
        <v>0</v>
      </c>
      <c r="O340" s="3">
        <v>0.28841361597930187</v>
      </c>
      <c r="P340" s="3">
        <v>0.69669008177906222</v>
      </c>
      <c r="Q340" s="3">
        <v>8.2047781439897882E-4</v>
      </c>
      <c r="R340" s="3">
        <v>0.98510369775836404</v>
      </c>
      <c r="S340" t="s">
        <v>44</v>
      </c>
      <c r="T340" s="4">
        <f t="shared" si="5"/>
        <v>268.10000000000002</v>
      </c>
    </row>
    <row r="341" spans="1:20" x14ac:dyDescent="0.2">
      <c r="A341">
        <v>365</v>
      </c>
      <c r="B341">
        <v>1</v>
      </c>
      <c r="C341" t="s">
        <v>1504</v>
      </c>
      <c r="D341" t="s">
        <v>1505</v>
      </c>
      <c r="E341" t="s">
        <v>1506</v>
      </c>
      <c r="F341" t="s">
        <v>1507</v>
      </c>
      <c r="G341" t="s">
        <v>1508</v>
      </c>
      <c r="H341" t="s">
        <v>25</v>
      </c>
      <c r="I341" t="s">
        <v>25</v>
      </c>
      <c r="J341" t="s">
        <v>26</v>
      </c>
      <c r="K341" t="s">
        <v>50</v>
      </c>
      <c r="L341" s="2">
        <v>37391.056319351141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  <c r="S341" t="s">
        <v>28</v>
      </c>
      <c r="T341" s="4">
        <f t="shared" si="5"/>
        <v>0</v>
      </c>
    </row>
    <row r="342" spans="1:20" x14ac:dyDescent="0.2">
      <c r="A342">
        <v>366</v>
      </c>
      <c r="B342">
        <v>1</v>
      </c>
      <c r="C342" t="s">
        <v>1509</v>
      </c>
      <c r="D342" t="s">
        <v>1510</v>
      </c>
      <c r="E342" t="s">
        <v>1221</v>
      </c>
      <c r="F342" t="s">
        <v>1511</v>
      </c>
      <c r="G342" t="s">
        <v>1512</v>
      </c>
      <c r="H342" t="s">
        <v>25</v>
      </c>
      <c r="I342" t="s">
        <v>25</v>
      </c>
      <c r="J342" t="s">
        <v>26</v>
      </c>
      <c r="K342" t="s">
        <v>50</v>
      </c>
      <c r="L342" s="2">
        <v>37391.056319351141</v>
      </c>
      <c r="M342" s="3">
        <v>0.3721553590227652</v>
      </c>
      <c r="N342" s="3">
        <v>0</v>
      </c>
      <c r="O342" s="3">
        <v>0.2190496135409461</v>
      </c>
      <c r="P342" s="3">
        <v>0.1974463972582472</v>
      </c>
      <c r="Q342" s="3">
        <v>0.21134863017804151</v>
      </c>
      <c r="R342" s="3">
        <v>0.41649601079919329</v>
      </c>
      <c r="S342" t="s">
        <v>125</v>
      </c>
      <c r="T342" s="4">
        <f t="shared" si="5"/>
        <v>140.26</v>
      </c>
    </row>
    <row r="343" spans="1:20" x14ac:dyDescent="0.2">
      <c r="A343">
        <v>367</v>
      </c>
      <c r="B343">
        <v>1</v>
      </c>
      <c r="C343" t="s">
        <v>1513</v>
      </c>
      <c r="D343" t="s">
        <v>1514</v>
      </c>
      <c r="E343" t="s">
        <v>1515</v>
      </c>
      <c r="H343" t="s">
        <v>67</v>
      </c>
      <c r="I343" t="s">
        <v>67</v>
      </c>
      <c r="J343" t="s">
        <v>26</v>
      </c>
      <c r="K343" t="s">
        <v>679</v>
      </c>
      <c r="L343" s="2">
        <v>37391.056319342293</v>
      </c>
      <c r="M343" s="3">
        <v>0</v>
      </c>
      <c r="N343" s="3">
        <v>0</v>
      </c>
      <c r="O343" s="3">
        <v>0.33344944194955828</v>
      </c>
      <c r="P343" s="3">
        <v>0.60334344808745244</v>
      </c>
      <c r="Q343" s="3">
        <v>6.3207109962989172E-2</v>
      </c>
      <c r="R343" s="3">
        <v>0.93679289003701072</v>
      </c>
      <c r="S343" t="s">
        <v>44</v>
      </c>
      <c r="T343" s="4">
        <f t="shared" si="5"/>
        <v>247.69</v>
      </c>
    </row>
    <row r="344" spans="1:20" x14ac:dyDescent="0.2">
      <c r="A344">
        <v>368</v>
      </c>
      <c r="B344">
        <v>2</v>
      </c>
      <c r="C344" t="s">
        <v>1516</v>
      </c>
      <c r="D344" t="s">
        <v>1517</v>
      </c>
      <c r="E344" t="s">
        <v>1518</v>
      </c>
      <c r="F344" t="s">
        <v>1519</v>
      </c>
      <c r="G344" t="s">
        <v>1093</v>
      </c>
      <c r="H344" t="s">
        <v>25</v>
      </c>
      <c r="I344" t="s">
        <v>25</v>
      </c>
      <c r="J344" t="s">
        <v>26</v>
      </c>
      <c r="K344" t="s">
        <v>155</v>
      </c>
      <c r="L344" s="2">
        <v>74782.112638684586</v>
      </c>
      <c r="M344" s="3">
        <v>0.91618250387550126</v>
      </c>
      <c r="N344" s="3">
        <v>0</v>
      </c>
      <c r="O344" s="3">
        <v>7.6233942402507984E-2</v>
      </c>
      <c r="P344" s="3">
        <v>0</v>
      </c>
      <c r="Q344" s="3">
        <v>7.5835537219907092E-3</v>
      </c>
      <c r="R344" s="3">
        <v>7.6233942402507984E-2</v>
      </c>
      <c r="S344" t="s">
        <v>28</v>
      </c>
      <c r="T344" s="4">
        <f t="shared" si="5"/>
        <v>106.87</v>
      </c>
    </row>
    <row r="345" spans="1:20" x14ac:dyDescent="0.2">
      <c r="A345">
        <v>369</v>
      </c>
      <c r="B345">
        <v>1</v>
      </c>
      <c r="C345" t="s">
        <v>1520</v>
      </c>
      <c r="D345" t="s">
        <v>1521</v>
      </c>
      <c r="E345" t="s">
        <v>1518</v>
      </c>
      <c r="F345" t="s">
        <v>55</v>
      </c>
      <c r="H345" t="s">
        <v>25</v>
      </c>
      <c r="I345" t="s">
        <v>25</v>
      </c>
      <c r="J345" t="s">
        <v>26</v>
      </c>
      <c r="K345" t="s">
        <v>1108</v>
      </c>
      <c r="L345" s="2">
        <v>37391.056319342293</v>
      </c>
      <c r="M345" s="3">
        <v>0.9773980145854495</v>
      </c>
      <c r="N345" s="3">
        <v>0</v>
      </c>
      <c r="O345" s="3">
        <v>2.2601985414526932E-2</v>
      </c>
      <c r="P345" s="3">
        <v>0</v>
      </c>
      <c r="Q345" s="3">
        <v>2.3536728122053319E-14</v>
      </c>
      <c r="R345" s="3">
        <v>2.2601985414526932E-2</v>
      </c>
      <c r="S345" t="s">
        <v>28</v>
      </c>
      <c r="T345" s="4">
        <f t="shared" si="5"/>
        <v>102.26</v>
      </c>
    </row>
    <row r="346" spans="1:20" x14ac:dyDescent="0.2">
      <c r="A346">
        <v>370</v>
      </c>
      <c r="B346">
        <v>1</v>
      </c>
      <c r="C346" t="s">
        <v>1522</v>
      </c>
      <c r="D346" t="s">
        <v>1523</v>
      </c>
      <c r="E346" t="s">
        <v>1518</v>
      </c>
      <c r="F346" t="s">
        <v>1524</v>
      </c>
      <c r="G346" t="s">
        <v>1525</v>
      </c>
      <c r="H346" t="s">
        <v>25</v>
      </c>
      <c r="I346" t="s">
        <v>25</v>
      </c>
      <c r="J346" t="s">
        <v>26</v>
      </c>
      <c r="K346" t="s">
        <v>1108</v>
      </c>
      <c r="L346" s="2">
        <v>37391.056319342293</v>
      </c>
      <c r="M346" s="3">
        <v>1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t="s">
        <v>28</v>
      </c>
      <c r="T346" s="4">
        <f t="shared" si="5"/>
        <v>100</v>
      </c>
    </row>
    <row r="347" spans="1:20" x14ac:dyDescent="0.2">
      <c r="A347">
        <v>371</v>
      </c>
      <c r="B347">
        <v>1</v>
      </c>
      <c r="C347" t="s">
        <v>1526</v>
      </c>
      <c r="D347" t="s">
        <v>1527</v>
      </c>
      <c r="E347" t="s">
        <v>1518</v>
      </c>
      <c r="F347" t="s">
        <v>1528</v>
      </c>
      <c r="G347" t="s">
        <v>1529</v>
      </c>
      <c r="H347" t="s">
        <v>25</v>
      </c>
      <c r="I347" t="s">
        <v>25</v>
      </c>
      <c r="J347" t="s">
        <v>34</v>
      </c>
      <c r="K347" t="s">
        <v>1108</v>
      </c>
      <c r="L347" s="2">
        <v>37391.056319342293</v>
      </c>
      <c r="M347" s="3">
        <v>0.80207426345514365</v>
      </c>
      <c r="N347" s="3">
        <v>0</v>
      </c>
      <c r="O347" s="3">
        <v>0.1967917797646323</v>
      </c>
      <c r="P347" s="3">
        <v>1.1339567802435601E-3</v>
      </c>
      <c r="Q347" s="3">
        <v>0</v>
      </c>
      <c r="R347" s="3">
        <v>0.19792573654487591</v>
      </c>
      <c r="S347" t="s">
        <v>36</v>
      </c>
      <c r="T347" s="4">
        <f t="shared" si="5"/>
        <v>119.91</v>
      </c>
    </row>
    <row r="348" spans="1:20" x14ac:dyDescent="0.2">
      <c r="A348">
        <v>372</v>
      </c>
      <c r="B348">
        <v>1</v>
      </c>
      <c r="C348" t="s">
        <v>1530</v>
      </c>
      <c r="D348" t="s">
        <v>1531</v>
      </c>
      <c r="E348" t="s">
        <v>1518</v>
      </c>
      <c r="F348" t="s">
        <v>1532</v>
      </c>
      <c r="G348" t="s">
        <v>1533</v>
      </c>
      <c r="H348" t="s">
        <v>25</v>
      </c>
      <c r="I348" t="s">
        <v>25</v>
      </c>
      <c r="J348" t="s">
        <v>26</v>
      </c>
      <c r="K348" t="s">
        <v>1108</v>
      </c>
      <c r="L348" s="2">
        <v>37391.056319342293</v>
      </c>
      <c r="M348" s="3">
        <v>0.96983516838648409</v>
      </c>
      <c r="N348" s="3">
        <v>0</v>
      </c>
      <c r="O348" s="3">
        <v>2.144688320441044E-2</v>
      </c>
      <c r="P348" s="3">
        <v>3.9901343045210874E-3</v>
      </c>
      <c r="Q348" s="3">
        <v>4.727814104584338E-3</v>
      </c>
      <c r="R348" s="3">
        <v>2.5437017508931532E-2</v>
      </c>
      <c r="S348" t="s">
        <v>28</v>
      </c>
      <c r="T348" s="4">
        <f t="shared" si="5"/>
        <v>102.47</v>
      </c>
    </row>
    <row r="349" spans="1:20" x14ac:dyDescent="0.2">
      <c r="A349">
        <v>373</v>
      </c>
      <c r="B349">
        <v>2</v>
      </c>
      <c r="C349" t="s">
        <v>1534</v>
      </c>
      <c r="D349" t="s">
        <v>1535</v>
      </c>
      <c r="E349" t="s">
        <v>1536</v>
      </c>
      <c r="F349" t="s">
        <v>1537</v>
      </c>
      <c r="G349" t="s">
        <v>1538</v>
      </c>
      <c r="H349" t="s">
        <v>67</v>
      </c>
      <c r="I349" t="s">
        <v>67</v>
      </c>
      <c r="J349" t="s">
        <v>34</v>
      </c>
      <c r="K349" t="s">
        <v>585</v>
      </c>
      <c r="L349" s="2">
        <v>74782.112638684586</v>
      </c>
      <c r="M349" s="3">
        <v>0.37380160485317532</v>
      </c>
      <c r="N349" s="3">
        <v>0</v>
      </c>
      <c r="O349" s="3">
        <v>0.1042871880009079</v>
      </c>
      <c r="P349" s="3">
        <v>3.8469090803220793E-2</v>
      </c>
      <c r="Q349" s="3">
        <v>0.48344211634269613</v>
      </c>
      <c r="R349" s="3">
        <v>0.14275627880412869</v>
      </c>
      <c r="S349" t="s">
        <v>36</v>
      </c>
      <c r="T349" s="4">
        <f t="shared" si="5"/>
        <v>69.78</v>
      </c>
    </row>
    <row r="350" spans="1:20" x14ac:dyDescent="0.2">
      <c r="A350">
        <v>374</v>
      </c>
      <c r="B350">
        <v>2</v>
      </c>
      <c r="C350" t="s">
        <v>1539</v>
      </c>
      <c r="D350" t="s">
        <v>1540</v>
      </c>
      <c r="E350" t="s">
        <v>1541</v>
      </c>
      <c r="F350" t="s">
        <v>1542</v>
      </c>
      <c r="G350" t="s">
        <v>1543</v>
      </c>
      <c r="H350" t="s">
        <v>25</v>
      </c>
      <c r="I350" t="s">
        <v>25</v>
      </c>
      <c r="J350" t="s">
        <v>34</v>
      </c>
      <c r="K350" t="s">
        <v>161</v>
      </c>
      <c r="L350" s="2">
        <v>74782.112638684586</v>
      </c>
      <c r="M350" s="3">
        <v>0.88850239064588921</v>
      </c>
      <c r="N350" s="3">
        <v>0</v>
      </c>
      <c r="O350" s="3">
        <v>8.8033674553841784E-2</v>
      </c>
      <c r="P350" s="3">
        <v>0</v>
      </c>
      <c r="Q350" s="3">
        <v>2.3463934800268978E-2</v>
      </c>
      <c r="R350" s="3">
        <v>8.8033674553841784E-2</v>
      </c>
      <c r="S350" t="s">
        <v>28</v>
      </c>
      <c r="T350" s="4">
        <f t="shared" si="5"/>
        <v>106.46</v>
      </c>
    </row>
    <row r="351" spans="1:20" x14ac:dyDescent="0.2">
      <c r="A351">
        <v>375</v>
      </c>
      <c r="B351">
        <v>1</v>
      </c>
      <c r="C351" t="s">
        <v>1544</v>
      </c>
      <c r="D351" t="s">
        <v>1545</v>
      </c>
      <c r="E351" t="s">
        <v>1078</v>
      </c>
      <c r="F351" t="s">
        <v>1546</v>
      </c>
      <c r="G351" t="s">
        <v>1547</v>
      </c>
      <c r="H351" t="s">
        <v>67</v>
      </c>
      <c r="I351" t="s">
        <v>67</v>
      </c>
      <c r="J351" t="s">
        <v>34</v>
      </c>
      <c r="K351" t="s">
        <v>230</v>
      </c>
      <c r="L351" s="2">
        <v>37391.056319342293</v>
      </c>
      <c r="M351" s="3">
        <v>8.6859383042789978E-2</v>
      </c>
      <c r="N351" s="3">
        <v>0</v>
      </c>
      <c r="O351" s="3">
        <v>0.1097124220341377</v>
      </c>
      <c r="P351" s="3">
        <v>3.069995898599219E-2</v>
      </c>
      <c r="Q351" s="3">
        <v>0.77272823593708018</v>
      </c>
      <c r="R351" s="3">
        <v>0.1404123810201299</v>
      </c>
      <c r="S351" t="s">
        <v>36</v>
      </c>
      <c r="T351" s="4">
        <f t="shared" si="5"/>
        <v>39.840000000000003</v>
      </c>
    </row>
    <row r="352" spans="1:20" x14ac:dyDescent="0.2">
      <c r="A352">
        <v>376</v>
      </c>
      <c r="B352">
        <v>1</v>
      </c>
      <c r="C352" t="s">
        <v>1548</v>
      </c>
      <c r="D352" t="s">
        <v>1549</v>
      </c>
      <c r="E352" t="s">
        <v>1550</v>
      </c>
      <c r="H352" t="s">
        <v>25</v>
      </c>
      <c r="I352" t="s">
        <v>25</v>
      </c>
      <c r="J352" t="s">
        <v>34</v>
      </c>
      <c r="K352" t="s">
        <v>1108</v>
      </c>
      <c r="L352" s="2">
        <v>37391.056319342293</v>
      </c>
      <c r="M352" s="3">
        <v>0.48510649022285118</v>
      </c>
      <c r="N352" s="3">
        <v>0</v>
      </c>
      <c r="O352" s="3">
        <v>0.38752070263080363</v>
      </c>
      <c r="P352" s="3">
        <v>0</v>
      </c>
      <c r="Q352" s="3">
        <v>0.12737280714634511</v>
      </c>
      <c r="R352" s="3">
        <v>0.38752070263080363</v>
      </c>
      <c r="S352" t="s">
        <v>69</v>
      </c>
      <c r="T352" s="4">
        <f t="shared" si="5"/>
        <v>126.01</v>
      </c>
    </row>
    <row r="353" spans="1:20" x14ac:dyDescent="0.2">
      <c r="A353">
        <v>377</v>
      </c>
      <c r="B353">
        <v>1</v>
      </c>
      <c r="C353" t="s">
        <v>1551</v>
      </c>
      <c r="D353" t="s">
        <v>1552</v>
      </c>
      <c r="E353" t="s">
        <v>1553</v>
      </c>
      <c r="F353" t="s">
        <v>1554</v>
      </c>
      <c r="G353" t="s">
        <v>1555</v>
      </c>
      <c r="H353" t="s">
        <v>25</v>
      </c>
      <c r="I353" t="s">
        <v>25</v>
      </c>
      <c r="J353" t="s">
        <v>26</v>
      </c>
      <c r="K353" t="s">
        <v>62</v>
      </c>
      <c r="L353" s="2">
        <v>37391.056319342293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t="s">
        <v>28</v>
      </c>
      <c r="T353" s="4">
        <f t="shared" si="5"/>
        <v>100</v>
      </c>
    </row>
    <row r="354" spans="1:20" x14ac:dyDescent="0.2">
      <c r="A354">
        <v>378</v>
      </c>
      <c r="B354">
        <v>2</v>
      </c>
      <c r="C354" t="s">
        <v>1556</v>
      </c>
      <c r="D354" t="s">
        <v>1557</v>
      </c>
      <c r="E354" t="s">
        <v>1558</v>
      </c>
      <c r="F354" t="s">
        <v>1559</v>
      </c>
      <c r="G354" t="s">
        <v>1560</v>
      </c>
      <c r="H354" t="s">
        <v>25</v>
      </c>
      <c r="I354" t="s">
        <v>25</v>
      </c>
      <c r="J354" t="s">
        <v>26</v>
      </c>
      <c r="K354" t="s">
        <v>43</v>
      </c>
      <c r="L354" s="2">
        <v>74782.112638684586</v>
      </c>
      <c r="M354" s="3">
        <v>0.92950291879830793</v>
      </c>
      <c r="N354" s="3">
        <v>0</v>
      </c>
      <c r="O354" s="3">
        <v>4.8943132739908857E-2</v>
      </c>
      <c r="P354" s="3">
        <v>0</v>
      </c>
      <c r="Q354" s="3">
        <v>2.155394846178316E-2</v>
      </c>
      <c r="R354" s="3">
        <v>4.8943132739908857E-2</v>
      </c>
      <c r="S354" t="s">
        <v>28</v>
      </c>
      <c r="T354" s="4">
        <f t="shared" si="5"/>
        <v>102.74</v>
      </c>
    </row>
    <row r="355" spans="1:20" x14ac:dyDescent="0.2">
      <c r="A355">
        <v>379</v>
      </c>
      <c r="B355">
        <v>1</v>
      </c>
      <c r="C355" t="s">
        <v>1561</v>
      </c>
      <c r="D355" t="s">
        <v>1562</v>
      </c>
      <c r="E355" t="s">
        <v>1563</v>
      </c>
      <c r="H355" t="s">
        <v>25</v>
      </c>
      <c r="I355" t="s">
        <v>25</v>
      </c>
      <c r="J355" t="s">
        <v>34</v>
      </c>
      <c r="K355" t="s">
        <v>705</v>
      </c>
      <c r="L355" s="2">
        <v>37391.056319342293</v>
      </c>
      <c r="M355" s="3">
        <v>0</v>
      </c>
      <c r="N355" s="3">
        <v>0</v>
      </c>
      <c r="O355" s="3">
        <v>0.37571278794307289</v>
      </c>
      <c r="P355" s="3">
        <v>0.54813792840632625</v>
      </c>
      <c r="Q355" s="3">
        <v>7.6149283650600808E-2</v>
      </c>
      <c r="R355" s="3">
        <v>0.92385071634939919</v>
      </c>
      <c r="S355" t="s">
        <v>44</v>
      </c>
      <c r="T355" s="4">
        <f t="shared" si="5"/>
        <v>239.58</v>
      </c>
    </row>
    <row r="356" spans="1:20" x14ac:dyDescent="0.2">
      <c r="A356">
        <v>380</v>
      </c>
      <c r="B356">
        <v>1</v>
      </c>
      <c r="C356" t="s">
        <v>1564</v>
      </c>
      <c r="D356" t="s">
        <v>1565</v>
      </c>
      <c r="E356" t="s">
        <v>1566</v>
      </c>
      <c r="H356" t="s">
        <v>25</v>
      </c>
      <c r="I356" t="s">
        <v>25</v>
      </c>
      <c r="J356" t="s">
        <v>34</v>
      </c>
      <c r="K356" t="s">
        <v>621</v>
      </c>
      <c r="L356" s="2">
        <v>37391.056319342293</v>
      </c>
      <c r="M356" s="3">
        <v>0.35572003681048692</v>
      </c>
      <c r="N356" s="3">
        <v>0</v>
      </c>
      <c r="O356" s="3">
        <v>0.142514071344161</v>
      </c>
      <c r="P356" s="3">
        <v>6.236134059938169E-3</v>
      </c>
      <c r="Q356" s="3">
        <v>0.49552975778541408</v>
      </c>
      <c r="R356" s="3">
        <v>0.1487502054040992</v>
      </c>
      <c r="S356" t="s">
        <v>36</v>
      </c>
      <c r="T356" s="4">
        <f t="shared" si="5"/>
        <v>65.95</v>
      </c>
    </row>
    <row r="357" spans="1:20" x14ac:dyDescent="0.2">
      <c r="A357">
        <v>381</v>
      </c>
      <c r="B357">
        <v>1</v>
      </c>
      <c r="C357" t="s">
        <v>1567</v>
      </c>
      <c r="D357" t="s">
        <v>1568</v>
      </c>
      <c r="E357" t="s">
        <v>1569</v>
      </c>
      <c r="F357" t="s">
        <v>1570</v>
      </c>
      <c r="G357" t="s">
        <v>1571</v>
      </c>
      <c r="H357" t="s">
        <v>67</v>
      </c>
      <c r="I357" t="s">
        <v>67</v>
      </c>
      <c r="J357" t="s">
        <v>26</v>
      </c>
      <c r="K357" t="s">
        <v>187</v>
      </c>
      <c r="L357" s="2">
        <v>37391.056319342293</v>
      </c>
      <c r="M357" s="3">
        <v>0</v>
      </c>
      <c r="N357" s="3">
        <v>0</v>
      </c>
      <c r="O357" s="3">
        <v>0.30074392738065558</v>
      </c>
      <c r="P357" s="3">
        <v>0.16198594656909551</v>
      </c>
      <c r="Q357" s="3">
        <v>0.53727012605024882</v>
      </c>
      <c r="R357" s="3">
        <v>0.46272987394975112</v>
      </c>
      <c r="S357" t="s">
        <v>125</v>
      </c>
      <c r="T357" s="4">
        <f t="shared" si="5"/>
        <v>108.74</v>
      </c>
    </row>
    <row r="358" spans="1:20" x14ac:dyDescent="0.2">
      <c r="A358">
        <v>382</v>
      </c>
      <c r="B358">
        <v>6</v>
      </c>
      <c r="C358" t="s">
        <v>1572</v>
      </c>
      <c r="D358" t="s">
        <v>1573</v>
      </c>
      <c r="E358" t="s">
        <v>474</v>
      </c>
      <c r="F358" t="s">
        <v>1011</v>
      </c>
      <c r="G358" t="s">
        <v>1012</v>
      </c>
      <c r="H358" t="s">
        <v>25</v>
      </c>
      <c r="I358" t="s">
        <v>25</v>
      </c>
      <c r="J358" t="s">
        <v>92</v>
      </c>
      <c r="K358" t="s">
        <v>621</v>
      </c>
      <c r="L358" s="2">
        <v>224346.33791605369</v>
      </c>
      <c r="M358" s="3">
        <v>0.63028657077572026</v>
      </c>
      <c r="N358" s="3">
        <v>0</v>
      </c>
      <c r="O358" s="3">
        <v>0.20313144369743699</v>
      </c>
      <c r="P358" s="3">
        <v>4.006259512334652E-3</v>
      </c>
      <c r="Q358" s="3">
        <v>0.1625757260145082</v>
      </c>
      <c r="R358" s="3">
        <v>0.20713770320977171</v>
      </c>
      <c r="S358" t="s">
        <v>69</v>
      </c>
      <c r="T358" s="4">
        <f t="shared" si="5"/>
        <v>104.86</v>
      </c>
    </row>
    <row r="359" spans="1:20" x14ac:dyDescent="0.2">
      <c r="A359">
        <v>383</v>
      </c>
      <c r="B359">
        <v>1</v>
      </c>
      <c r="C359" t="s">
        <v>1574</v>
      </c>
      <c r="D359" t="s">
        <v>1575</v>
      </c>
      <c r="E359" t="s">
        <v>1576</v>
      </c>
      <c r="H359" t="s">
        <v>25</v>
      </c>
      <c r="I359" t="s">
        <v>25</v>
      </c>
      <c r="J359" t="s">
        <v>34</v>
      </c>
      <c r="K359" t="s">
        <v>878</v>
      </c>
      <c r="L359" s="2">
        <v>37391.056319342293</v>
      </c>
      <c r="M359" s="3">
        <v>0.31765302165168829</v>
      </c>
      <c r="N359" s="3">
        <v>0</v>
      </c>
      <c r="O359" s="3">
        <v>0.38681364666898937</v>
      </c>
      <c r="P359" s="3">
        <v>0.15299395483830611</v>
      </c>
      <c r="Q359" s="3">
        <v>0.14253937684101611</v>
      </c>
      <c r="R359" s="3">
        <v>0.53980760150729545</v>
      </c>
      <c r="S359" t="s">
        <v>125</v>
      </c>
      <c r="T359" s="4">
        <f t="shared" si="5"/>
        <v>155.03</v>
      </c>
    </row>
    <row r="360" spans="1:20" x14ac:dyDescent="0.2">
      <c r="A360">
        <v>384</v>
      </c>
      <c r="B360">
        <v>1</v>
      </c>
      <c r="C360" t="s">
        <v>1577</v>
      </c>
      <c r="D360" t="s">
        <v>1578</v>
      </c>
      <c r="E360" t="s">
        <v>1579</v>
      </c>
      <c r="F360" t="s">
        <v>1580</v>
      </c>
      <c r="G360" t="s">
        <v>1581</v>
      </c>
      <c r="H360" t="s">
        <v>80</v>
      </c>
      <c r="I360" t="s">
        <v>296</v>
      </c>
      <c r="J360" t="s">
        <v>1582</v>
      </c>
      <c r="K360" t="s">
        <v>118</v>
      </c>
      <c r="L360" s="2">
        <v>37391.056319342293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t="s">
        <v>28</v>
      </c>
      <c r="T360" s="4">
        <f t="shared" si="5"/>
        <v>100</v>
      </c>
    </row>
    <row r="361" spans="1:20" x14ac:dyDescent="0.2">
      <c r="A361">
        <v>385</v>
      </c>
      <c r="B361">
        <v>1</v>
      </c>
      <c r="C361" t="s">
        <v>1583</v>
      </c>
      <c r="D361" t="s">
        <v>1584</v>
      </c>
      <c r="E361" t="s">
        <v>547</v>
      </c>
      <c r="F361" t="s">
        <v>1585</v>
      </c>
      <c r="G361" t="s">
        <v>1586</v>
      </c>
      <c r="H361" t="s">
        <v>25</v>
      </c>
      <c r="I361" t="s">
        <v>25</v>
      </c>
      <c r="J361" t="s">
        <v>26</v>
      </c>
      <c r="K361" t="s">
        <v>86</v>
      </c>
      <c r="L361" s="2">
        <v>37391.056319342293</v>
      </c>
      <c r="M361" s="3">
        <v>7.9108325636847987E-4</v>
      </c>
      <c r="N361" s="3">
        <v>0</v>
      </c>
      <c r="O361" s="3">
        <v>0.16201131715776931</v>
      </c>
      <c r="P361" s="3">
        <v>0</v>
      </c>
      <c r="Q361" s="3">
        <v>0.83719759958586226</v>
      </c>
      <c r="R361" s="3">
        <v>0.16201131715776931</v>
      </c>
      <c r="S361" t="s">
        <v>36</v>
      </c>
      <c r="T361" s="4">
        <f t="shared" si="5"/>
        <v>32.479999999999997</v>
      </c>
    </row>
    <row r="362" spans="1:20" x14ac:dyDescent="0.2">
      <c r="A362">
        <v>386</v>
      </c>
      <c r="B362">
        <v>1</v>
      </c>
      <c r="C362" t="s">
        <v>1587</v>
      </c>
      <c r="D362" t="s">
        <v>1588</v>
      </c>
      <c r="E362" t="s">
        <v>547</v>
      </c>
      <c r="H362" t="s">
        <v>25</v>
      </c>
      <c r="I362" t="s">
        <v>25</v>
      </c>
      <c r="J362" t="s">
        <v>26</v>
      </c>
      <c r="K362" t="s">
        <v>86</v>
      </c>
      <c r="L362" s="2">
        <v>37391.056319342293</v>
      </c>
      <c r="M362" s="3">
        <v>0</v>
      </c>
      <c r="N362" s="3">
        <v>0</v>
      </c>
      <c r="O362" s="3">
        <v>0.35286354156896921</v>
      </c>
      <c r="P362" s="3">
        <v>0.64713645843113454</v>
      </c>
      <c r="Q362" s="3">
        <v>0</v>
      </c>
      <c r="R362" s="3">
        <v>1.0000000000001039</v>
      </c>
      <c r="S362" t="s">
        <v>44</v>
      </c>
      <c r="T362" s="4">
        <f t="shared" si="5"/>
        <v>264.70999999999998</v>
      </c>
    </row>
    <row r="363" spans="1:20" x14ac:dyDescent="0.2">
      <c r="A363">
        <v>387</v>
      </c>
      <c r="B363">
        <v>1</v>
      </c>
      <c r="C363" t="s">
        <v>1589</v>
      </c>
      <c r="D363" t="s">
        <v>1590</v>
      </c>
      <c r="E363" t="s">
        <v>1591</v>
      </c>
      <c r="H363" t="s">
        <v>67</v>
      </c>
      <c r="I363" t="s">
        <v>67</v>
      </c>
      <c r="J363" t="s">
        <v>26</v>
      </c>
      <c r="K363" t="s">
        <v>667</v>
      </c>
      <c r="L363" s="2">
        <v>37391.056319342293</v>
      </c>
      <c r="M363" s="3">
        <v>0</v>
      </c>
      <c r="N363" s="3">
        <v>0</v>
      </c>
      <c r="O363" s="3">
        <v>0.15630629666334711</v>
      </c>
      <c r="P363" s="3">
        <v>1.515263976841227E-2</v>
      </c>
      <c r="Q363" s="3">
        <v>0.82854106356824064</v>
      </c>
      <c r="R363" s="3">
        <v>0.17145893643175941</v>
      </c>
      <c r="S363" t="s">
        <v>36</v>
      </c>
      <c r="T363" s="4">
        <f t="shared" si="5"/>
        <v>35.81</v>
      </c>
    </row>
    <row r="364" spans="1:20" x14ac:dyDescent="0.2">
      <c r="A364">
        <v>388</v>
      </c>
      <c r="B364">
        <v>1</v>
      </c>
      <c r="C364" t="s">
        <v>1592</v>
      </c>
      <c r="D364" t="s">
        <v>1593</v>
      </c>
      <c r="E364" t="s">
        <v>1265</v>
      </c>
      <c r="F364" t="s">
        <v>1594</v>
      </c>
      <c r="G364" t="s">
        <v>1595</v>
      </c>
      <c r="H364" t="s">
        <v>25</v>
      </c>
      <c r="I364" t="s">
        <v>25</v>
      </c>
      <c r="J364" t="s">
        <v>26</v>
      </c>
      <c r="K364" t="s">
        <v>43</v>
      </c>
      <c r="L364" s="2">
        <v>37391.056319342293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t="s">
        <v>28</v>
      </c>
      <c r="T364" s="4">
        <f t="shared" si="5"/>
        <v>100</v>
      </c>
    </row>
    <row r="365" spans="1:20" x14ac:dyDescent="0.2">
      <c r="A365">
        <v>389</v>
      </c>
      <c r="B365">
        <v>1</v>
      </c>
      <c r="C365" t="s">
        <v>1596</v>
      </c>
      <c r="D365" t="s">
        <v>1597</v>
      </c>
      <c r="E365" t="s">
        <v>924</v>
      </c>
      <c r="H365" t="s">
        <v>260</v>
      </c>
      <c r="I365" t="s">
        <v>260</v>
      </c>
      <c r="J365" t="s">
        <v>92</v>
      </c>
      <c r="K365" t="s">
        <v>1598</v>
      </c>
      <c r="L365" s="2">
        <v>37391.056319342293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0</v>
      </c>
      <c r="S365" t="s">
        <v>28</v>
      </c>
      <c r="T365" s="4">
        <f t="shared" si="5"/>
        <v>0</v>
      </c>
    </row>
    <row r="366" spans="1:20" x14ac:dyDescent="0.2">
      <c r="A366">
        <v>390</v>
      </c>
      <c r="B366">
        <v>44</v>
      </c>
      <c r="C366" t="s">
        <v>1599</v>
      </c>
      <c r="D366" t="s">
        <v>1600</v>
      </c>
      <c r="E366" t="s">
        <v>441</v>
      </c>
      <c r="F366" t="s">
        <v>1601</v>
      </c>
      <c r="H366" t="s">
        <v>336</v>
      </c>
      <c r="I366" t="s">
        <v>336</v>
      </c>
      <c r="J366" t="s">
        <v>92</v>
      </c>
      <c r="K366" t="s">
        <v>1602</v>
      </c>
      <c r="L366" s="2">
        <v>1645206.478051061</v>
      </c>
      <c r="M366" s="3">
        <v>0</v>
      </c>
      <c r="N366" s="3">
        <v>0</v>
      </c>
      <c r="O366" s="3">
        <v>0.23783492708290341</v>
      </c>
      <c r="P366" s="3">
        <v>0</v>
      </c>
      <c r="Q366" s="3">
        <v>0.76216507291709656</v>
      </c>
      <c r="R366" s="3">
        <v>0.23783492708290341</v>
      </c>
      <c r="S366" t="s">
        <v>69</v>
      </c>
      <c r="T366" s="4">
        <f t="shared" si="5"/>
        <v>47.57</v>
      </c>
    </row>
    <row r="367" spans="1:20" x14ac:dyDescent="0.2">
      <c r="A367">
        <v>392</v>
      </c>
      <c r="B367">
        <v>1</v>
      </c>
      <c r="C367" t="s">
        <v>1603</v>
      </c>
      <c r="D367" t="s">
        <v>1604</v>
      </c>
      <c r="E367" t="s">
        <v>1436</v>
      </c>
      <c r="H367" t="s">
        <v>67</v>
      </c>
      <c r="I367" t="s">
        <v>67</v>
      </c>
      <c r="J367" t="s">
        <v>34</v>
      </c>
      <c r="K367" t="s">
        <v>1605</v>
      </c>
      <c r="L367" s="2">
        <v>37391.056319342293</v>
      </c>
      <c r="M367" s="3">
        <v>0</v>
      </c>
      <c r="N367" s="3">
        <v>0</v>
      </c>
      <c r="O367" s="3">
        <v>0.38664695836470031</v>
      </c>
      <c r="P367" s="3">
        <v>0.61335304163549009</v>
      </c>
      <c r="Q367" s="3">
        <v>0</v>
      </c>
      <c r="R367" s="3">
        <v>1.000000000000191</v>
      </c>
      <c r="S367" t="s">
        <v>44</v>
      </c>
      <c r="T367" s="4">
        <f t="shared" si="5"/>
        <v>261.33999999999997</v>
      </c>
    </row>
    <row r="368" spans="1:20" x14ac:dyDescent="0.2">
      <c r="A368">
        <v>393</v>
      </c>
      <c r="B368">
        <v>1</v>
      </c>
      <c r="C368" t="s">
        <v>1606</v>
      </c>
      <c r="D368" t="s">
        <v>1607</v>
      </c>
      <c r="E368" t="s">
        <v>1608</v>
      </c>
      <c r="F368" t="s">
        <v>1609</v>
      </c>
      <c r="G368" t="s">
        <v>1610</v>
      </c>
      <c r="H368" t="s">
        <v>25</v>
      </c>
      <c r="I368" t="s">
        <v>25</v>
      </c>
      <c r="J368" t="s">
        <v>92</v>
      </c>
      <c r="K368" t="s">
        <v>1108</v>
      </c>
      <c r="L368" s="2">
        <v>37391.056319342293</v>
      </c>
      <c r="M368" s="3">
        <v>0.57648005961505022</v>
      </c>
      <c r="N368" s="3">
        <v>0</v>
      </c>
      <c r="O368" s="3">
        <v>0.25012007078262832</v>
      </c>
      <c r="P368" s="3">
        <v>0.15893832823434231</v>
      </c>
      <c r="Q368" s="3">
        <v>1.446154136797928E-2</v>
      </c>
      <c r="R368" s="3">
        <v>0.40905839901697061</v>
      </c>
      <c r="S368" t="s">
        <v>125</v>
      </c>
      <c r="T368" s="4">
        <f t="shared" si="5"/>
        <v>155.35</v>
      </c>
    </row>
    <row r="369" spans="1:20" x14ac:dyDescent="0.2">
      <c r="A369">
        <v>394</v>
      </c>
      <c r="B369">
        <v>19</v>
      </c>
      <c r="C369" t="s">
        <v>1611</v>
      </c>
      <c r="D369" t="s">
        <v>1612</v>
      </c>
      <c r="E369" t="s">
        <v>1613</v>
      </c>
      <c r="F369" t="s">
        <v>1614</v>
      </c>
      <c r="G369" t="s">
        <v>1615</v>
      </c>
      <c r="H369" t="s">
        <v>67</v>
      </c>
      <c r="I369" t="s">
        <v>67</v>
      </c>
      <c r="J369" t="s">
        <v>92</v>
      </c>
      <c r="K369" t="s">
        <v>56</v>
      </c>
      <c r="L369" s="2">
        <v>710430.07006750372</v>
      </c>
      <c r="M369" s="3">
        <v>0</v>
      </c>
      <c r="N369" s="3">
        <v>0</v>
      </c>
      <c r="O369" s="3">
        <v>0.27875842980243598</v>
      </c>
      <c r="P369" s="3">
        <v>1.4005291512356801E-2</v>
      </c>
      <c r="Q369" s="3">
        <v>0.707236278685207</v>
      </c>
      <c r="R369" s="3">
        <v>0.29276372131479278</v>
      </c>
      <c r="S369" t="s">
        <v>69</v>
      </c>
      <c r="T369" s="4">
        <f t="shared" si="5"/>
        <v>59.95</v>
      </c>
    </row>
    <row r="370" spans="1:20" x14ac:dyDescent="0.2">
      <c r="A370">
        <v>396</v>
      </c>
      <c r="B370">
        <v>14</v>
      </c>
      <c r="C370" t="s">
        <v>1616</v>
      </c>
      <c r="D370" t="s">
        <v>1617</v>
      </c>
      <c r="E370" t="s">
        <v>1618</v>
      </c>
      <c r="H370" t="s">
        <v>25</v>
      </c>
      <c r="I370" t="s">
        <v>25</v>
      </c>
      <c r="J370" t="s">
        <v>26</v>
      </c>
      <c r="K370" t="s">
        <v>1619</v>
      </c>
      <c r="L370" s="2">
        <v>486083.73215156479</v>
      </c>
      <c r="M370" s="3">
        <v>0</v>
      </c>
      <c r="N370" s="3">
        <v>0</v>
      </c>
      <c r="O370" s="3">
        <v>0.24694898353400541</v>
      </c>
      <c r="P370" s="3">
        <v>0.49157008031082128</v>
      </c>
      <c r="Q370" s="3">
        <v>0.26148093615517343</v>
      </c>
      <c r="R370" s="3">
        <v>0.73851906384482668</v>
      </c>
      <c r="S370" t="s">
        <v>44</v>
      </c>
      <c r="T370" s="4">
        <f t="shared" si="5"/>
        <v>196.86</v>
      </c>
    </row>
    <row r="371" spans="1:20" x14ac:dyDescent="0.2">
      <c r="A371">
        <v>398</v>
      </c>
      <c r="B371">
        <v>8</v>
      </c>
      <c r="C371" t="s">
        <v>1620</v>
      </c>
      <c r="D371" t="s">
        <v>1621</v>
      </c>
      <c r="E371" t="s">
        <v>1622</v>
      </c>
      <c r="H371" t="s">
        <v>25</v>
      </c>
      <c r="I371" t="s">
        <v>25</v>
      </c>
      <c r="J371" t="s">
        <v>92</v>
      </c>
      <c r="K371" t="s">
        <v>1605</v>
      </c>
      <c r="L371" s="2">
        <v>299128.45055473829</v>
      </c>
      <c r="M371" s="3">
        <v>0.11037934217483079</v>
      </c>
      <c r="N371" s="3">
        <v>0</v>
      </c>
      <c r="O371" s="3">
        <v>0.16199687233258869</v>
      </c>
      <c r="P371" s="3">
        <v>2.5035965893260591E-2</v>
      </c>
      <c r="Q371" s="3">
        <v>0.70258781959931993</v>
      </c>
      <c r="R371" s="3">
        <v>0.18703283822584929</v>
      </c>
      <c r="S371" t="s">
        <v>36</v>
      </c>
      <c r="T371" s="4">
        <f t="shared" si="5"/>
        <v>50.95</v>
      </c>
    </row>
    <row r="372" spans="1:20" x14ac:dyDescent="0.2">
      <c r="A372">
        <v>399</v>
      </c>
      <c r="B372">
        <v>1</v>
      </c>
      <c r="C372" t="s">
        <v>1623</v>
      </c>
      <c r="D372" t="s">
        <v>1624</v>
      </c>
      <c r="E372" t="s">
        <v>1625</v>
      </c>
      <c r="F372" t="s">
        <v>1626</v>
      </c>
      <c r="G372" t="s">
        <v>1627</v>
      </c>
      <c r="H372" t="s">
        <v>25</v>
      </c>
      <c r="I372" t="s">
        <v>25</v>
      </c>
      <c r="J372" t="s">
        <v>92</v>
      </c>
      <c r="K372" t="s">
        <v>750</v>
      </c>
      <c r="L372" s="2">
        <v>37391.056319351141</v>
      </c>
      <c r="M372" s="3">
        <v>9.2670840011356281E-2</v>
      </c>
      <c r="N372" s="3">
        <v>0</v>
      </c>
      <c r="O372" s="3">
        <v>0.23568039488202119</v>
      </c>
      <c r="P372" s="3">
        <v>0.24884133629631411</v>
      </c>
      <c r="Q372" s="3">
        <v>0.42280742881030842</v>
      </c>
      <c r="R372" s="3">
        <v>0.4845217311783353</v>
      </c>
      <c r="S372" t="s">
        <v>125</v>
      </c>
      <c r="T372" s="4">
        <f t="shared" si="5"/>
        <v>131.06</v>
      </c>
    </row>
    <row r="373" spans="1:20" x14ac:dyDescent="0.2">
      <c r="A373">
        <v>400</v>
      </c>
      <c r="B373">
        <v>1</v>
      </c>
      <c r="C373" t="s">
        <v>1628</v>
      </c>
      <c r="D373" t="s">
        <v>1629</v>
      </c>
      <c r="E373" t="s">
        <v>1625</v>
      </c>
      <c r="F373" t="s">
        <v>1630</v>
      </c>
      <c r="G373" t="s">
        <v>1631</v>
      </c>
      <c r="H373" t="s">
        <v>25</v>
      </c>
      <c r="I373" t="s">
        <v>25</v>
      </c>
      <c r="J373" t="s">
        <v>34</v>
      </c>
      <c r="K373" t="s">
        <v>750</v>
      </c>
      <c r="L373" s="2">
        <v>37391.056319351141</v>
      </c>
      <c r="M373" s="3">
        <v>0.18390830260038329</v>
      </c>
      <c r="N373" s="3">
        <v>0</v>
      </c>
      <c r="O373" s="3">
        <v>0.19605939492187069</v>
      </c>
      <c r="P373" s="3">
        <v>0</v>
      </c>
      <c r="Q373" s="3">
        <v>0.62003230247774599</v>
      </c>
      <c r="R373" s="3">
        <v>0.19605939492187069</v>
      </c>
      <c r="S373" t="s">
        <v>36</v>
      </c>
      <c r="T373" s="4">
        <f t="shared" si="5"/>
        <v>57.6</v>
      </c>
    </row>
    <row r="374" spans="1:20" x14ac:dyDescent="0.2">
      <c r="A374">
        <v>401</v>
      </c>
      <c r="B374">
        <v>1</v>
      </c>
      <c r="C374" t="s">
        <v>1632</v>
      </c>
      <c r="D374" t="s">
        <v>1633</v>
      </c>
      <c r="E374" t="s">
        <v>1634</v>
      </c>
      <c r="F374" t="s">
        <v>1635</v>
      </c>
      <c r="G374" t="s">
        <v>551</v>
      </c>
      <c r="H374" t="s">
        <v>25</v>
      </c>
      <c r="I374" t="s">
        <v>25</v>
      </c>
      <c r="J374" t="s">
        <v>26</v>
      </c>
      <c r="K374" t="s">
        <v>130</v>
      </c>
      <c r="L374" s="2">
        <v>37391.056319351141</v>
      </c>
      <c r="M374" s="3">
        <v>0</v>
      </c>
      <c r="N374" s="3">
        <v>0</v>
      </c>
      <c r="O374" s="3">
        <v>0</v>
      </c>
      <c r="P374" s="3">
        <v>0</v>
      </c>
      <c r="Q374" s="3">
        <v>1</v>
      </c>
      <c r="R374" s="3">
        <v>0</v>
      </c>
      <c r="S374" t="s">
        <v>28</v>
      </c>
      <c r="T374" s="4">
        <f t="shared" si="5"/>
        <v>0</v>
      </c>
    </row>
    <row r="375" spans="1:20" x14ac:dyDescent="0.2">
      <c r="A375">
        <v>402</v>
      </c>
      <c r="B375">
        <v>19</v>
      </c>
      <c r="C375" t="s">
        <v>1636</v>
      </c>
      <c r="D375" t="s">
        <v>1637</v>
      </c>
      <c r="E375" t="s">
        <v>1625</v>
      </c>
      <c r="F375" t="s">
        <v>1638</v>
      </c>
      <c r="G375" t="s">
        <v>1639</v>
      </c>
      <c r="H375" t="s">
        <v>67</v>
      </c>
      <c r="I375" t="s">
        <v>67</v>
      </c>
      <c r="J375" t="s">
        <v>92</v>
      </c>
      <c r="K375" t="s">
        <v>266</v>
      </c>
      <c r="L375" s="2">
        <v>710430.07006767183</v>
      </c>
      <c r="M375" s="3">
        <v>5.0774935683333751E-2</v>
      </c>
      <c r="N375" s="3">
        <v>0</v>
      </c>
      <c r="O375" s="3">
        <v>0.11238479495817311</v>
      </c>
      <c r="P375" s="3">
        <v>0</v>
      </c>
      <c r="Q375" s="3">
        <v>0.83684026935849309</v>
      </c>
      <c r="R375" s="3">
        <v>0.11238479495817311</v>
      </c>
      <c r="S375" t="s">
        <v>36</v>
      </c>
      <c r="T375" s="4">
        <f t="shared" si="5"/>
        <v>27.55</v>
      </c>
    </row>
    <row r="376" spans="1:20" x14ac:dyDescent="0.2">
      <c r="A376">
        <v>405</v>
      </c>
      <c r="B376">
        <v>1</v>
      </c>
      <c r="C376" t="s">
        <v>1640</v>
      </c>
      <c r="D376" t="s">
        <v>1641</v>
      </c>
      <c r="E376" t="s">
        <v>937</v>
      </c>
      <c r="F376" t="s">
        <v>1642</v>
      </c>
      <c r="G376" t="s">
        <v>1643</v>
      </c>
      <c r="H376" t="s">
        <v>25</v>
      </c>
      <c r="I376" t="s">
        <v>25</v>
      </c>
      <c r="J376" t="s">
        <v>26</v>
      </c>
      <c r="K376" t="s">
        <v>27</v>
      </c>
      <c r="L376" s="2">
        <v>37391.056319351141</v>
      </c>
      <c r="M376" s="3">
        <v>0.72641620126914397</v>
      </c>
      <c r="N376" s="3">
        <v>0</v>
      </c>
      <c r="O376" s="3">
        <v>0.24733256306447829</v>
      </c>
      <c r="P376" s="3">
        <v>0</v>
      </c>
      <c r="Q376" s="3">
        <v>2.625123566637777E-2</v>
      </c>
      <c r="R376" s="3">
        <v>0.24733256306447829</v>
      </c>
      <c r="S376" t="s">
        <v>69</v>
      </c>
      <c r="T376" s="4">
        <f t="shared" si="5"/>
        <v>122.11</v>
      </c>
    </row>
    <row r="377" spans="1:20" x14ac:dyDescent="0.2">
      <c r="A377">
        <v>406</v>
      </c>
      <c r="B377">
        <v>1</v>
      </c>
      <c r="C377" t="s">
        <v>1644</v>
      </c>
      <c r="D377" t="s">
        <v>1645</v>
      </c>
      <c r="E377" t="s">
        <v>1646</v>
      </c>
      <c r="F377" t="s">
        <v>1647</v>
      </c>
      <c r="G377" t="s">
        <v>1648</v>
      </c>
      <c r="H377" t="s">
        <v>25</v>
      </c>
      <c r="I377" t="s">
        <v>25</v>
      </c>
      <c r="J377" t="s">
        <v>34</v>
      </c>
      <c r="K377" t="s">
        <v>210</v>
      </c>
      <c r="L377" s="2">
        <v>37391.056319351141</v>
      </c>
      <c r="M377" s="3">
        <v>0.9481610772617195</v>
      </c>
      <c r="N377" s="3">
        <v>0</v>
      </c>
      <c r="O377" s="3">
        <v>5.1838922738280523E-2</v>
      </c>
      <c r="P377" s="3">
        <v>0</v>
      </c>
      <c r="Q377" s="3">
        <v>0</v>
      </c>
      <c r="R377" s="3">
        <v>5.1838922738280523E-2</v>
      </c>
      <c r="S377" t="s">
        <v>28</v>
      </c>
      <c r="T377" s="4">
        <f t="shared" si="5"/>
        <v>105.18</v>
      </c>
    </row>
    <row r="378" spans="1:20" x14ac:dyDescent="0.2">
      <c r="A378">
        <v>407</v>
      </c>
      <c r="B378">
        <v>1</v>
      </c>
      <c r="C378" t="s">
        <v>1649</v>
      </c>
      <c r="D378" t="s">
        <v>1650</v>
      </c>
      <c r="E378" t="s">
        <v>1400</v>
      </c>
      <c r="F378" t="s">
        <v>1651</v>
      </c>
      <c r="G378" t="s">
        <v>1652</v>
      </c>
      <c r="H378" t="s">
        <v>25</v>
      </c>
      <c r="I378" t="s">
        <v>25</v>
      </c>
      <c r="J378" t="s">
        <v>92</v>
      </c>
      <c r="K378" t="s">
        <v>167</v>
      </c>
      <c r="L378" s="2">
        <v>37391.056319351141</v>
      </c>
      <c r="M378" s="3">
        <v>0.5670950363826367</v>
      </c>
      <c r="N378" s="3">
        <v>0</v>
      </c>
      <c r="O378" s="3">
        <v>4.5212452494411248E-2</v>
      </c>
      <c r="P378" s="3">
        <v>0</v>
      </c>
      <c r="Q378" s="3">
        <v>0.38769251112295211</v>
      </c>
      <c r="R378" s="3">
        <v>4.5212452494411248E-2</v>
      </c>
      <c r="S378" t="s">
        <v>28</v>
      </c>
      <c r="T378" s="4">
        <f t="shared" si="5"/>
        <v>65.75</v>
      </c>
    </row>
    <row r="379" spans="1:20" x14ac:dyDescent="0.2">
      <c r="A379">
        <v>408</v>
      </c>
      <c r="B379">
        <v>1</v>
      </c>
      <c r="C379" t="s">
        <v>1653</v>
      </c>
      <c r="D379" t="s">
        <v>1654</v>
      </c>
      <c r="E379" t="s">
        <v>953</v>
      </c>
      <c r="F379" t="s">
        <v>991</v>
      </c>
      <c r="G379" t="s">
        <v>1655</v>
      </c>
      <c r="H379" t="s">
        <v>67</v>
      </c>
      <c r="I379" t="s">
        <v>67</v>
      </c>
      <c r="J379" t="s">
        <v>34</v>
      </c>
      <c r="K379" t="s">
        <v>210</v>
      </c>
      <c r="L379" s="2">
        <v>37391.056319351141</v>
      </c>
      <c r="M379" s="3">
        <v>0</v>
      </c>
      <c r="N379" s="3">
        <v>0</v>
      </c>
      <c r="O379" s="3">
        <v>0</v>
      </c>
      <c r="P379" s="3">
        <v>0</v>
      </c>
      <c r="Q379" s="3">
        <v>1</v>
      </c>
      <c r="R379" s="3">
        <v>0</v>
      </c>
      <c r="S379" t="s">
        <v>28</v>
      </c>
      <c r="T379" s="4">
        <f t="shared" si="5"/>
        <v>0</v>
      </c>
    </row>
    <row r="380" spans="1:20" x14ac:dyDescent="0.2">
      <c r="A380">
        <v>409</v>
      </c>
      <c r="B380">
        <v>1</v>
      </c>
      <c r="C380" t="s">
        <v>1656</v>
      </c>
      <c r="D380" t="s">
        <v>1657</v>
      </c>
      <c r="E380" t="s">
        <v>984</v>
      </c>
      <c r="F380" t="s">
        <v>1658</v>
      </c>
      <c r="G380" t="s">
        <v>1659</v>
      </c>
      <c r="H380" t="s">
        <v>67</v>
      </c>
      <c r="I380" t="s">
        <v>67</v>
      </c>
      <c r="J380" t="s">
        <v>26</v>
      </c>
      <c r="K380" t="s">
        <v>193</v>
      </c>
      <c r="L380" s="2">
        <v>37391.056319351141</v>
      </c>
      <c r="M380" s="3">
        <v>0</v>
      </c>
      <c r="N380" s="3">
        <v>0</v>
      </c>
      <c r="O380" s="3">
        <v>9.4496895730731376E-2</v>
      </c>
      <c r="P380" s="3">
        <v>0</v>
      </c>
      <c r="Q380" s="3">
        <v>0.90550310426926861</v>
      </c>
      <c r="R380" s="3">
        <v>9.4496895730731376E-2</v>
      </c>
      <c r="S380" t="s">
        <v>28</v>
      </c>
      <c r="T380" s="4">
        <f t="shared" si="5"/>
        <v>18.899999999999999</v>
      </c>
    </row>
    <row r="381" spans="1:20" x14ac:dyDescent="0.2">
      <c r="A381">
        <v>410</v>
      </c>
      <c r="B381">
        <v>1</v>
      </c>
      <c r="C381" t="s">
        <v>1660</v>
      </c>
      <c r="D381" t="s">
        <v>1661</v>
      </c>
      <c r="E381" t="s">
        <v>1662</v>
      </c>
      <c r="F381" t="s">
        <v>1663</v>
      </c>
      <c r="G381" t="s">
        <v>1664</v>
      </c>
      <c r="H381" t="s">
        <v>25</v>
      </c>
      <c r="I381" t="s">
        <v>25</v>
      </c>
      <c r="J381" t="s">
        <v>34</v>
      </c>
      <c r="K381" t="s">
        <v>1665</v>
      </c>
      <c r="L381" s="2">
        <v>37391.056319351141</v>
      </c>
      <c r="M381" s="3">
        <v>0.47127628281835587</v>
      </c>
      <c r="N381" s="3">
        <v>0</v>
      </c>
      <c r="O381" s="3">
        <v>0.36089658857587892</v>
      </c>
      <c r="P381" s="3">
        <v>7.8703264461298411E-2</v>
      </c>
      <c r="Q381" s="3">
        <v>8.9123864144466824E-2</v>
      </c>
      <c r="R381" s="3">
        <v>0.4395998530371773</v>
      </c>
      <c r="S381" t="s">
        <v>125</v>
      </c>
      <c r="T381" s="4">
        <f t="shared" si="5"/>
        <v>142.91999999999999</v>
      </c>
    </row>
    <row r="382" spans="1:20" x14ac:dyDescent="0.2">
      <c r="A382">
        <v>412</v>
      </c>
      <c r="B382">
        <v>1</v>
      </c>
      <c r="C382" t="s">
        <v>1666</v>
      </c>
      <c r="D382" t="s">
        <v>1667</v>
      </c>
      <c r="E382" t="s">
        <v>1288</v>
      </c>
      <c r="F382" t="s">
        <v>1668</v>
      </c>
      <c r="G382" t="s">
        <v>1669</v>
      </c>
      <c r="H382" t="s">
        <v>25</v>
      </c>
      <c r="I382" t="s">
        <v>25</v>
      </c>
      <c r="J382" t="s">
        <v>26</v>
      </c>
      <c r="K382" t="s">
        <v>650</v>
      </c>
      <c r="L382" s="2">
        <v>37391.056319342293</v>
      </c>
      <c r="M382" s="3">
        <v>0</v>
      </c>
      <c r="N382" s="3">
        <v>0</v>
      </c>
      <c r="O382" s="3">
        <v>0.16863819734145599</v>
      </c>
      <c r="P382" s="3">
        <v>0.83136180265867676</v>
      </c>
      <c r="Q382" s="3">
        <v>0</v>
      </c>
      <c r="R382" s="3">
        <v>1.000000000000133</v>
      </c>
      <c r="S382" t="s">
        <v>44</v>
      </c>
      <c r="T382" s="4">
        <f t="shared" si="5"/>
        <v>283.14</v>
      </c>
    </row>
    <row r="383" spans="1:20" x14ac:dyDescent="0.2">
      <c r="A383">
        <v>413</v>
      </c>
      <c r="B383">
        <v>4</v>
      </c>
      <c r="C383" t="s">
        <v>1670</v>
      </c>
      <c r="D383" t="s">
        <v>1671</v>
      </c>
      <c r="E383" t="s">
        <v>1672</v>
      </c>
      <c r="F383" t="s">
        <v>1673</v>
      </c>
      <c r="G383" t="s">
        <v>1674</v>
      </c>
      <c r="H383" t="s">
        <v>67</v>
      </c>
      <c r="I383" t="s">
        <v>67</v>
      </c>
      <c r="J383" t="s">
        <v>34</v>
      </c>
      <c r="K383" t="s">
        <v>1362</v>
      </c>
      <c r="L383" s="2">
        <v>149564.2252773692</v>
      </c>
      <c r="M383" s="3">
        <v>0.5063733317149226</v>
      </c>
      <c r="N383" s="3">
        <v>0</v>
      </c>
      <c r="O383" s="3">
        <v>0.21736791721793811</v>
      </c>
      <c r="P383" s="3">
        <v>7.7472218212954538E-2</v>
      </c>
      <c r="Q383" s="3">
        <v>0.19878653285418471</v>
      </c>
      <c r="R383" s="3">
        <v>0.29484013543089271</v>
      </c>
      <c r="S383" t="s">
        <v>69</v>
      </c>
      <c r="T383" s="4">
        <f t="shared" si="5"/>
        <v>117.35</v>
      </c>
    </row>
    <row r="384" spans="1:20" x14ac:dyDescent="0.2">
      <c r="A384">
        <v>416</v>
      </c>
      <c r="B384">
        <v>4</v>
      </c>
      <c r="C384" t="s">
        <v>1675</v>
      </c>
      <c r="D384" t="s">
        <v>1676</v>
      </c>
      <c r="E384" t="s">
        <v>39</v>
      </c>
      <c r="F384" t="s">
        <v>1677</v>
      </c>
      <c r="G384" t="s">
        <v>1678</v>
      </c>
      <c r="H384" t="s">
        <v>67</v>
      </c>
      <c r="I384" t="s">
        <v>67</v>
      </c>
      <c r="J384" t="s">
        <v>26</v>
      </c>
      <c r="K384" t="s">
        <v>1679</v>
      </c>
      <c r="L384" s="2">
        <v>149564.22527740459</v>
      </c>
      <c r="M384" s="3">
        <v>0</v>
      </c>
      <c r="N384" s="3">
        <v>0</v>
      </c>
      <c r="O384" s="3">
        <v>0.40704216438859259</v>
      </c>
      <c r="P384" s="3">
        <v>0.59295783561140769</v>
      </c>
      <c r="Q384" s="3">
        <v>0</v>
      </c>
      <c r="R384" s="3">
        <v>1</v>
      </c>
      <c r="S384" t="s">
        <v>44</v>
      </c>
      <c r="T384" s="4">
        <f t="shared" si="5"/>
        <v>259.3</v>
      </c>
    </row>
    <row r="385" spans="1:20" x14ac:dyDescent="0.2">
      <c r="A385">
        <v>417</v>
      </c>
      <c r="B385">
        <v>1</v>
      </c>
      <c r="C385" t="s">
        <v>1680</v>
      </c>
      <c r="D385" t="s">
        <v>1681</v>
      </c>
      <c r="E385" t="s">
        <v>39</v>
      </c>
      <c r="H385" t="s">
        <v>67</v>
      </c>
      <c r="I385" t="s">
        <v>67</v>
      </c>
      <c r="J385" t="s">
        <v>26</v>
      </c>
      <c r="K385" t="s">
        <v>363</v>
      </c>
      <c r="L385" s="2">
        <v>37391.056319351141</v>
      </c>
      <c r="M385" s="3">
        <v>0.84342430806626434</v>
      </c>
      <c r="N385" s="3">
        <v>0</v>
      </c>
      <c r="O385" s="3">
        <v>8.0450191933187462E-2</v>
      </c>
      <c r="P385" s="3">
        <v>0</v>
      </c>
      <c r="Q385" s="3">
        <v>7.6125500000548185E-2</v>
      </c>
      <c r="R385" s="3">
        <v>8.0450191933187462E-2</v>
      </c>
      <c r="S385" t="s">
        <v>28</v>
      </c>
      <c r="T385" s="4">
        <f t="shared" si="5"/>
        <v>100.43</v>
      </c>
    </row>
    <row r="386" spans="1:20" x14ac:dyDescent="0.2">
      <c r="A386">
        <v>418</v>
      </c>
      <c r="B386">
        <v>1</v>
      </c>
      <c r="C386" t="s">
        <v>1682</v>
      </c>
      <c r="D386" t="s">
        <v>1683</v>
      </c>
      <c r="E386" t="s">
        <v>47</v>
      </c>
      <c r="F386" t="s">
        <v>171</v>
      </c>
      <c r="G386" t="s">
        <v>172</v>
      </c>
      <c r="H386" t="s">
        <v>80</v>
      </c>
      <c r="I386" t="s">
        <v>80</v>
      </c>
      <c r="J386" t="s">
        <v>26</v>
      </c>
      <c r="K386" t="s">
        <v>155</v>
      </c>
      <c r="L386" s="2">
        <v>37391.056319351141</v>
      </c>
      <c r="M386" s="3">
        <v>0</v>
      </c>
      <c r="N386" s="3">
        <v>0</v>
      </c>
      <c r="O386" s="3">
        <v>0</v>
      </c>
      <c r="P386" s="3">
        <v>2.2390271177885591E-3</v>
      </c>
      <c r="Q386" s="3">
        <v>0.99776097288221144</v>
      </c>
      <c r="R386" s="3">
        <v>2.2390271177885591E-3</v>
      </c>
      <c r="S386" t="s">
        <v>28</v>
      </c>
      <c r="T386" s="4">
        <f t="shared" ref="T386:T440" si="6">ROUND((M386*100*1)+(O386*100*2)+(P386*100*3),2)</f>
        <v>0.67</v>
      </c>
    </row>
    <row r="387" spans="1:20" x14ac:dyDescent="0.2">
      <c r="A387">
        <v>419</v>
      </c>
      <c r="B387">
        <v>13</v>
      </c>
      <c r="C387" t="s">
        <v>1684</v>
      </c>
      <c r="D387" t="s">
        <v>1685</v>
      </c>
      <c r="E387" t="s">
        <v>1686</v>
      </c>
      <c r="H387" t="s">
        <v>67</v>
      </c>
      <c r="I387" t="s">
        <v>67</v>
      </c>
      <c r="J387" t="s">
        <v>34</v>
      </c>
      <c r="K387" t="s">
        <v>204</v>
      </c>
      <c r="L387" s="2">
        <v>486083.73215156479</v>
      </c>
      <c r="M387" s="3">
        <v>0</v>
      </c>
      <c r="N387" s="3">
        <v>0</v>
      </c>
      <c r="O387" s="3">
        <v>0</v>
      </c>
      <c r="P387" s="3">
        <v>2.2390271177885591E-3</v>
      </c>
      <c r="Q387" s="3">
        <v>0.99776097288221122</v>
      </c>
      <c r="R387" s="3">
        <v>2.2390271177885591E-3</v>
      </c>
      <c r="S387" t="s">
        <v>28</v>
      </c>
      <c r="T387" s="4">
        <f t="shared" si="6"/>
        <v>0.67</v>
      </c>
    </row>
    <row r="388" spans="1:20" x14ac:dyDescent="0.2">
      <c r="A388">
        <v>420</v>
      </c>
      <c r="B388">
        <v>6</v>
      </c>
      <c r="C388" t="s">
        <v>1687</v>
      </c>
      <c r="D388" t="s">
        <v>1688</v>
      </c>
      <c r="E388" t="s">
        <v>1686</v>
      </c>
      <c r="H388" t="s">
        <v>67</v>
      </c>
      <c r="I388" t="s">
        <v>67</v>
      </c>
      <c r="J388" t="s">
        <v>34</v>
      </c>
      <c r="K388" t="s">
        <v>86</v>
      </c>
      <c r="L388" s="2">
        <v>224346.33791605369</v>
      </c>
      <c r="M388" s="3">
        <v>0</v>
      </c>
      <c r="N388" s="3">
        <v>0</v>
      </c>
      <c r="O388" s="3">
        <v>0.39344284159068771</v>
      </c>
      <c r="P388" s="3">
        <v>0.38833002311838749</v>
      </c>
      <c r="Q388" s="3">
        <v>0.21822713529092491</v>
      </c>
      <c r="R388" s="3">
        <v>0.78177286470907525</v>
      </c>
      <c r="S388" t="s">
        <v>44</v>
      </c>
      <c r="T388" s="4">
        <f t="shared" si="6"/>
        <v>195.19</v>
      </c>
    </row>
    <row r="389" spans="1:20" x14ac:dyDescent="0.2">
      <c r="A389">
        <v>421</v>
      </c>
      <c r="B389">
        <v>2</v>
      </c>
      <c r="C389" t="s">
        <v>1689</v>
      </c>
      <c r="D389" t="s">
        <v>1690</v>
      </c>
      <c r="E389" t="s">
        <v>1451</v>
      </c>
      <c r="F389" t="s">
        <v>186</v>
      </c>
      <c r="G389" t="s">
        <v>160</v>
      </c>
      <c r="H389" t="s">
        <v>67</v>
      </c>
      <c r="I389" t="s">
        <v>67</v>
      </c>
      <c r="J389" t="s">
        <v>26</v>
      </c>
      <c r="K389" t="s">
        <v>626</v>
      </c>
      <c r="L389" s="2">
        <v>74782.112638684586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t="s">
        <v>28</v>
      </c>
      <c r="T389" s="4">
        <f t="shared" si="6"/>
        <v>100</v>
      </c>
    </row>
    <row r="390" spans="1:20" x14ac:dyDescent="0.2">
      <c r="A390">
        <v>422</v>
      </c>
      <c r="B390">
        <v>1</v>
      </c>
      <c r="C390" t="s">
        <v>1691</v>
      </c>
      <c r="D390" t="s">
        <v>1692</v>
      </c>
      <c r="E390" t="s">
        <v>801</v>
      </c>
      <c r="F390" t="s">
        <v>1693</v>
      </c>
      <c r="G390" t="s">
        <v>1694</v>
      </c>
      <c r="H390" t="s">
        <v>25</v>
      </c>
      <c r="I390" t="s">
        <v>25</v>
      </c>
      <c r="J390" t="s">
        <v>92</v>
      </c>
      <c r="K390" t="s">
        <v>86</v>
      </c>
      <c r="L390" s="2">
        <v>37391.056319342293</v>
      </c>
      <c r="M390" s="3">
        <v>0</v>
      </c>
      <c r="N390" s="3">
        <v>0</v>
      </c>
      <c r="O390" s="3">
        <v>0.2037746639609658</v>
      </c>
      <c r="P390" s="3">
        <v>0</v>
      </c>
      <c r="Q390" s="3">
        <v>0.79622533603903423</v>
      </c>
      <c r="R390" s="3">
        <v>0.2037746639609658</v>
      </c>
      <c r="S390" t="s">
        <v>69</v>
      </c>
      <c r="T390" s="4">
        <f t="shared" si="6"/>
        <v>40.75</v>
      </c>
    </row>
    <row r="391" spans="1:20" x14ac:dyDescent="0.2">
      <c r="A391">
        <v>423</v>
      </c>
      <c r="B391">
        <v>1</v>
      </c>
      <c r="C391" t="s">
        <v>1695</v>
      </c>
      <c r="D391" t="s">
        <v>1696</v>
      </c>
      <c r="E391" t="s">
        <v>801</v>
      </c>
      <c r="F391" t="s">
        <v>1697</v>
      </c>
      <c r="G391" t="s">
        <v>1698</v>
      </c>
      <c r="H391" t="s">
        <v>25</v>
      </c>
      <c r="I391" t="s">
        <v>25</v>
      </c>
      <c r="J391" t="s">
        <v>34</v>
      </c>
      <c r="K391" t="s">
        <v>86</v>
      </c>
      <c r="L391" s="2">
        <v>37391.056319342293</v>
      </c>
      <c r="M391" s="3">
        <v>0</v>
      </c>
      <c r="N391" s="3">
        <v>0</v>
      </c>
      <c r="O391" s="3">
        <v>0.16013620587024499</v>
      </c>
      <c r="P391" s="3">
        <v>8.7021729533117459E-2</v>
      </c>
      <c r="Q391" s="3">
        <v>0.75284206459663761</v>
      </c>
      <c r="R391" s="3">
        <v>0.24715793540336239</v>
      </c>
      <c r="S391" t="s">
        <v>69</v>
      </c>
      <c r="T391" s="4">
        <f t="shared" si="6"/>
        <v>58.13</v>
      </c>
    </row>
    <row r="392" spans="1:20" x14ac:dyDescent="0.2">
      <c r="A392">
        <v>424</v>
      </c>
      <c r="B392">
        <v>1</v>
      </c>
      <c r="C392" t="s">
        <v>1699</v>
      </c>
      <c r="D392" t="s">
        <v>1700</v>
      </c>
      <c r="E392" t="s">
        <v>158</v>
      </c>
      <c r="F392" t="s">
        <v>1701</v>
      </c>
      <c r="G392" t="s">
        <v>1702</v>
      </c>
      <c r="H392" t="s">
        <v>25</v>
      </c>
      <c r="I392" t="s">
        <v>25</v>
      </c>
      <c r="J392" t="s">
        <v>34</v>
      </c>
      <c r="K392" t="s">
        <v>161</v>
      </c>
      <c r="L392" s="2">
        <v>37391.056319342293</v>
      </c>
      <c r="M392" s="3">
        <v>0.88724587836416247</v>
      </c>
      <c r="N392" s="3">
        <v>0</v>
      </c>
      <c r="O392" s="3">
        <v>1.1028379410100439E-2</v>
      </c>
      <c r="P392" s="3">
        <v>9.2689938682230216E-2</v>
      </c>
      <c r="Q392" s="3">
        <v>9.0358035435068595E-3</v>
      </c>
      <c r="R392" s="3">
        <v>0.1037183180923307</v>
      </c>
      <c r="S392" t="s">
        <v>36</v>
      </c>
      <c r="T392" s="4">
        <f t="shared" si="6"/>
        <v>118.74</v>
      </c>
    </row>
    <row r="393" spans="1:20" x14ac:dyDescent="0.2">
      <c r="A393">
        <v>425</v>
      </c>
      <c r="B393">
        <v>14</v>
      </c>
      <c r="C393" t="s">
        <v>1703</v>
      </c>
      <c r="D393" t="s">
        <v>1704</v>
      </c>
      <c r="E393" t="s">
        <v>1705</v>
      </c>
      <c r="F393" t="s">
        <v>1706</v>
      </c>
      <c r="H393" t="s">
        <v>67</v>
      </c>
      <c r="I393" t="s">
        <v>67</v>
      </c>
      <c r="J393" t="s">
        <v>26</v>
      </c>
      <c r="K393" t="s">
        <v>266</v>
      </c>
      <c r="L393" s="2">
        <v>523474.78847079212</v>
      </c>
      <c r="M393" s="3">
        <v>0</v>
      </c>
      <c r="N393" s="3">
        <v>1</v>
      </c>
      <c r="O393" s="3">
        <v>0</v>
      </c>
      <c r="P393" s="3">
        <v>0</v>
      </c>
      <c r="Q393" s="3">
        <v>0</v>
      </c>
      <c r="R393" s="3">
        <v>0</v>
      </c>
      <c r="S393" t="s">
        <v>28</v>
      </c>
      <c r="T393" s="4">
        <f t="shared" si="6"/>
        <v>0</v>
      </c>
    </row>
    <row r="394" spans="1:20" x14ac:dyDescent="0.2">
      <c r="A394">
        <v>426</v>
      </c>
      <c r="B394">
        <v>61</v>
      </c>
      <c r="C394" t="s">
        <v>1707</v>
      </c>
      <c r="D394" t="s">
        <v>1708</v>
      </c>
      <c r="E394" t="s">
        <v>1705</v>
      </c>
      <c r="F394" t="s">
        <v>1709</v>
      </c>
      <c r="G394" t="s">
        <v>1710</v>
      </c>
      <c r="H394" t="s">
        <v>67</v>
      </c>
      <c r="I394" t="s">
        <v>67</v>
      </c>
      <c r="J394" t="s">
        <v>92</v>
      </c>
      <c r="K394" t="s">
        <v>240</v>
      </c>
      <c r="L394" s="2">
        <v>2280854.4354798798</v>
      </c>
      <c r="M394" s="3">
        <v>0</v>
      </c>
      <c r="N394" s="3">
        <v>0</v>
      </c>
      <c r="O394" s="3">
        <v>0.46373007215171252</v>
      </c>
      <c r="P394" s="3">
        <v>0.188045176056648</v>
      </c>
      <c r="Q394" s="3">
        <v>0.34822475179163942</v>
      </c>
      <c r="R394" s="3">
        <v>0.65177524820836052</v>
      </c>
      <c r="S394" t="s">
        <v>44</v>
      </c>
      <c r="T394" s="4">
        <f t="shared" si="6"/>
        <v>149.16</v>
      </c>
    </row>
    <row r="395" spans="1:20" x14ac:dyDescent="0.2">
      <c r="A395">
        <v>427</v>
      </c>
      <c r="B395">
        <v>2</v>
      </c>
      <c r="C395" t="s">
        <v>1711</v>
      </c>
      <c r="D395" t="s">
        <v>1712</v>
      </c>
      <c r="E395" t="s">
        <v>612</v>
      </c>
      <c r="F395" t="s">
        <v>1713</v>
      </c>
      <c r="G395" t="s">
        <v>1714</v>
      </c>
      <c r="H395" t="s">
        <v>67</v>
      </c>
      <c r="I395" t="s">
        <v>67</v>
      </c>
      <c r="J395" t="s">
        <v>92</v>
      </c>
      <c r="K395" t="s">
        <v>56</v>
      </c>
      <c r="L395" s="2">
        <v>74782.112638702281</v>
      </c>
      <c r="M395" s="3">
        <v>0</v>
      </c>
      <c r="N395" s="3">
        <v>0</v>
      </c>
      <c r="O395" s="3">
        <v>0.55435013534417343</v>
      </c>
      <c r="P395" s="3">
        <v>0.24284776236603181</v>
      </c>
      <c r="Q395" s="3">
        <v>0.20280210228979481</v>
      </c>
      <c r="R395" s="3">
        <v>0.79719789771020522</v>
      </c>
      <c r="S395" t="s">
        <v>44</v>
      </c>
      <c r="T395" s="4">
        <f t="shared" si="6"/>
        <v>183.72</v>
      </c>
    </row>
    <row r="396" spans="1:20" x14ac:dyDescent="0.2">
      <c r="A396">
        <v>428</v>
      </c>
      <c r="B396">
        <v>1</v>
      </c>
      <c r="C396" t="s">
        <v>1715</v>
      </c>
      <c r="D396" t="s">
        <v>1716</v>
      </c>
      <c r="E396" t="s">
        <v>612</v>
      </c>
      <c r="H396" t="s">
        <v>67</v>
      </c>
      <c r="I396" t="s">
        <v>67</v>
      </c>
      <c r="J396" t="s">
        <v>34</v>
      </c>
      <c r="K396" t="s">
        <v>635</v>
      </c>
      <c r="L396" s="2">
        <v>37391.056319351141</v>
      </c>
      <c r="M396" s="3">
        <v>0.12858541989617769</v>
      </c>
      <c r="N396" s="3">
        <v>0</v>
      </c>
      <c r="O396" s="3">
        <v>0.35946357111425559</v>
      </c>
      <c r="P396" s="3">
        <v>0.27313385059434231</v>
      </c>
      <c r="Q396" s="3">
        <v>0.23881715839522441</v>
      </c>
      <c r="R396" s="3">
        <v>0.6325974217085979</v>
      </c>
      <c r="S396" t="s">
        <v>44</v>
      </c>
      <c r="T396" s="4">
        <f t="shared" si="6"/>
        <v>166.69</v>
      </c>
    </row>
    <row r="397" spans="1:20" x14ac:dyDescent="0.2">
      <c r="A397">
        <v>429</v>
      </c>
      <c r="B397">
        <v>1</v>
      </c>
      <c r="C397" t="s">
        <v>1717</v>
      </c>
      <c r="D397" t="s">
        <v>1718</v>
      </c>
      <c r="E397" t="s">
        <v>291</v>
      </c>
      <c r="F397" t="s">
        <v>1719</v>
      </c>
      <c r="G397" t="s">
        <v>1720</v>
      </c>
      <c r="H397" t="s">
        <v>67</v>
      </c>
      <c r="I397" t="s">
        <v>67</v>
      </c>
      <c r="J397" t="s">
        <v>92</v>
      </c>
      <c r="K397" t="s">
        <v>187</v>
      </c>
      <c r="L397" s="2">
        <v>37391.056319351141</v>
      </c>
      <c r="M397" s="3">
        <v>0</v>
      </c>
      <c r="N397" s="3">
        <v>0</v>
      </c>
      <c r="O397" s="3">
        <v>0.22420384635808849</v>
      </c>
      <c r="P397" s="3">
        <v>0.66607282896424191</v>
      </c>
      <c r="Q397" s="3">
        <v>0.1097233246776695</v>
      </c>
      <c r="R397" s="3">
        <v>0.89027667532233035</v>
      </c>
      <c r="S397" t="s">
        <v>44</v>
      </c>
      <c r="T397" s="4">
        <f t="shared" si="6"/>
        <v>244.66</v>
      </c>
    </row>
    <row r="398" spans="1:20" x14ac:dyDescent="0.2">
      <c r="A398">
        <v>430</v>
      </c>
      <c r="B398">
        <v>2</v>
      </c>
      <c r="C398" t="s">
        <v>1721</v>
      </c>
      <c r="D398" t="s">
        <v>1722</v>
      </c>
      <c r="E398" t="s">
        <v>1723</v>
      </c>
      <c r="F398" t="s">
        <v>1724</v>
      </c>
      <c r="G398" t="s">
        <v>1725</v>
      </c>
      <c r="H398" t="s">
        <v>67</v>
      </c>
      <c r="I398" t="s">
        <v>67</v>
      </c>
      <c r="J398" t="s">
        <v>92</v>
      </c>
      <c r="K398" t="s">
        <v>130</v>
      </c>
      <c r="L398" s="2">
        <v>74782.112638702281</v>
      </c>
      <c r="M398" s="3">
        <v>0.92436782924781846</v>
      </c>
      <c r="N398" s="3">
        <v>0</v>
      </c>
      <c r="O398" s="3">
        <v>0</v>
      </c>
      <c r="P398" s="3">
        <v>0</v>
      </c>
      <c r="Q398" s="3">
        <v>7.5632170752181538E-2</v>
      </c>
      <c r="R398" s="3">
        <v>0</v>
      </c>
      <c r="S398" t="s">
        <v>28</v>
      </c>
      <c r="T398" s="4">
        <f t="shared" si="6"/>
        <v>92.44</v>
      </c>
    </row>
    <row r="399" spans="1:20" x14ac:dyDescent="0.2">
      <c r="A399">
        <v>431</v>
      </c>
      <c r="B399">
        <v>2</v>
      </c>
      <c r="C399" t="s">
        <v>1726</v>
      </c>
      <c r="D399" t="s">
        <v>1727</v>
      </c>
      <c r="E399" t="s">
        <v>1728</v>
      </c>
      <c r="F399" t="s">
        <v>1729</v>
      </c>
      <c r="G399" t="s">
        <v>1730</v>
      </c>
      <c r="H399" t="s">
        <v>67</v>
      </c>
      <c r="I399" t="s">
        <v>67</v>
      </c>
      <c r="J399" t="s">
        <v>92</v>
      </c>
      <c r="K399" t="s">
        <v>1731</v>
      </c>
      <c r="L399" s="2">
        <v>74782.112638702281</v>
      </c>
      <c r="M399" s="3">
        <v>0.94842104825022921</v>
      </c>
      <c r="N399" s="3">
        <v>0</v>
      </c>
      <c r="O399" s="3">
        <v>0</v>
      </c>
      <c r="P399" s="3">
        <v>0</v>
      </c>
      <c r="Q399" s="3">
        <v>5.1578951749770792E-2</v>
      </c>
      <c r="R399" s="3">
        <v>0</v>
      </c>
      <c r="S399" t="s">
        <v>28</v>
      </c>
      <c r="T399" s="4">
        <f t="shared" si="6"/>
        <v>94.84</v>
      </c>
    </row>
    <row r="400" spans="1:20" x14ac:dyDescent="0.2">
      <c r="A400">
        <v>432</v>
      </c>
      <c r="B400">
        <v>1</v>
      </c>
      <c r="C400" t="s">
        <v>1732</v>
      </c>
      <c r="D400" t="s">
        <v>1733</v>
      </c>
      <c r="E400" t="s">
        <v>1625</v>
      </c>
      <c r="F400" t="s">
        <v>1734</v>
      </c>
      <c r="G400" t="s">
        <v>1735</v>
      </c>
      <c r="H400" t="s">
        <v>25</v>
      </c>
      <c r="I400" t="s">
        <v>25</v>
      </c>
      <c r="J400" t="s">
        <v>92</v>
      </c>
      <c r="K400" t="s">
        <v>750</v>
      </c>
      <c r="L400" s="2">
        <v>37391.056319351141</v>
      </c>
      <c r="M400" s="3">
        <v>0.3030379475860317</v>
      </c>
      <c r="N400" s="3">
        <v>0</v>
      </c>
      <c r="O400" s="3">
        <v>0.42302178443622579</v>
      </c>
      <c r="P400" s="3">
        <v>2.404763944272879E-2</v>
      </c>
      <c r="Q400" s="3">
        <v>0.24989262853501371</v>
      </c>
      <c r="R400" s="3">
        <v>0.4470694238789546</v>
      </c>
      <c r="S400" t="s">
        <v>125</v>
      </c>
      <c r="T400" s="4">
        <f t="shared" si="6"/>
        <v>122.12</v>
      </c>
    </row>
    <row r="401" spans="1:20" x14ac:dyDescent="0.2">
      <c r="A401">
        <v>433</v>
      </c>
      <c r="B401">
        <v>1</v>
      </c>
      <c r="C401" t="s">
        <v>1736</v>
      </c>
      <c r="D401" t="s">
        <v>1737</v>
      </c>
      <c r="E401" t="s">
        <v>1625</v>
      </c>
      <c r="F401" t="s">
        <v>1738</v>
      </c>
      <c r="G401" t="s">
        <v>1739</v>
      </c>
      <c r="H401" t="s">
        <v>67</v>
      </c>
      <c r="I401" t="s">
        <v>67</v>
      </c>
      <c r="J401" t="s">
        <v>92</v>
      </c>
      <c r="K401" t="s">
        <v>283</v>
      </c>
      <c r="L401" s="2">
        <v>37391.056319351141</v>
      </c>
      <c r="M401" s="3">
        <v>0</v>
      </c>
      <c r="N401" s="3">
        <v>0</v>
      </c>
      <c r="O401" s="3">
        <v>0.20046945191152879</v>
      </c>
      <c r="P401" s="3">
        <v>0</v>
      </c>
      <c r="Q401" s="3">
        <v>0.79953054808847124</v>
      </c>
      <c r="R401" s="3">
        <v>0.20046945191152879</v>
      </c>
      <c r="S401" t="s">
        <v>69</v>
      </c>
      <c r="T401" s="4">
        <f t="shared" si="6"/>
        <v>40.090000000000003</v>
      </c>
    </row>
    <row r="402" spans="1:20" x14ac:dyDescent="0.2">
      <c r="A402">
        <v>434</v>
      </c>
      <c r="B402">
        <v>1</v>
      </c>
      <c r="C402" t="s">
        <v>1740</v>
      </c>
      <c r="D402" t="s">
        <v>1741</v>
      </c>
      <c r="E402" t="s">
        <v>1625</v>
      </c>
      <c r="F402" t="s">
        <v>1742</v>
      </c>
      <c r="G402" t="s">
        <v>1743</v>
      </c>
      <c r="H402" t="s">
        <v>67</v>
      </c>
      <c r="I402" t="s">
        <v>67</v>
      </c>
      <c r="J402" t="s">
        <v>34</v>
      </c>
      <c r="K402" t="s">
        <v>750</v>
      </c>
      <c r="L402" s="2">
        <v>37391.056319351141</v>
      </c>
      <c r="M402" s="3">
        <v>0</v>
      </c>
      <c r="N402" s="3">
        <v>0</v>
      </c>
      <c r="O402" s="3">
        <v>1.6974931829674422E-2</v>
      </c>
      <c r="P402" s="3">
        <v>0</v>
      </c>
      <c r="Q402" s="3">
        <v>0.98302506817032564</v>
      </c>
      <c r="R402" s="3">
        <v>1.6974931829674422E-2</v>
      </c>
      <c r="S402" t="s">
        <v>28</v>
      </c>
      <c r="T402" s="4">
        <f t="shared" si="6"/>
        <v>3.39</v>
      </c>
    </row>
    <row r="403" spans="1:20" x14ac:dyDescent="0.2">
      <c r="A403">
        <v>435</v>
      </c>
      <c r="B403">
        <v>1</v>
      </c>
      <c r="C403" t="s">
        <v>1744</v>
      </c>
      <c r="D403" t="s">
        <v>1745</v>
      </c>
      <c r="E403" t="s">
        <v>928</v>
      </c>
      <c r="F403" t="s">
        <v>1746</v>
      </c>
      <c r="G403" t="s">
        <v>1747</v>
      </c>
      <c r="H403" t="s">
        <v>25</v>
      </c>
      <c r="I403" t="s">
        <v>25</v>
      </c>
      <c r="J403" t="s">
        <v>26</v>
      </c>
      <c r="K403" t="s">
        <v>904</v>
      </c>
      <c r="L403" s="2">
        <v>37391.056319351141</v>
      </c>
      <c r="M403" s="3">
        <v>0</v>
      </c>
      <c r="N403" s="3">
        <v>0</v>
      </c>
      <c r="O403" s="3">
        <v>0.10514956629929501</v>
      </c>
      <c r="P403" s="3">
        <v>0</v>
      </c>
      <c r="Q403" s="3">
        <v>0.89485043370070494</v>
      </c>
      <c r="R403" s="3">
        <v>0.10514956629929501</v>
      </c>
      <c r="S403" t="s">
        <v>36</v>
      </c>
      <c r="T403" s="4">
        <f t="shared" si="6"/>
        <v>21.03</v>
      </c>
    </row>
    <row r="404" spans="1:20" x14ac:dyDescent="0.2">
      <c r="A404">
        <v>436</v>
      </c>
      <c r="B404">
        <v>1</v>
      </c>
      <c r="C404" t="s">
        <v>1748</v>
      </c>
      <c r="D404" t="s">
        <v>1749</v>
      </c>
      <c r="E404" t="s">
        <v>109</v>
      </c>
      <c r="F404" t="s">
        <v>1750</v>
      </c>
      <c r="G404" t="s">
        <v>1751</v>
      </c>
      <c r="H404" t="s">
        <v>25</v>
      </c>
      <c r="I404" t="s">
        <v>1752</v>
      </c>
      <c r="J404" t="s">
        <v>26</v>
      </c>
      <c r="K404" t="s">
        <v>27</v>
      </c>
      <c r="L404" s="2">
        <v>37391.056319351141</v>
      </c>
      <c r="M404" s="3">
        <v>0.78182344287238137</v>
      </c>
      <c r="N404" s="3">
        <v>0</v>
      </c>
      <c r="O404" s="3">
        <v>0</v>
      </c>
      <c r="P404" s="3">
        <v>0</v>
      </c>
      <c r="Q404" s="3">
        <v>0.2181765571276186</v>
      </c>
      <c r="R404" s="3">
        <v>0</v>
      </c>
      <c r="S404" t="s">
        <v>28</v>
      </c>
      <c r="T404" s="4">
        <f t="shared" si="6"/>
        <v>78.180000000000007</v>
      </c>
    </row>
    <row r="405" spans="1:20" x14ac:dyDescent="0.2">
      <c r="A405">
        <v>437</v>
      </c>
      <c r="B405">
        <v>6</v>
      </c>
      <c r="C405" t="s">
        <v>1753</v>
      </c>
      <c r="D405" t="s">
        <v>1754</v>
      </c>
      <c r="E405" t="s">
        <v>1054</v>
      </c>
      <c r="F405" t="s">
        <v>1755</v>
      </c>
      <c r="G405" t="s">
        <v>1756</v>
      </c>
      <c r="H405" t="s">
        <v>67</v>
      </c>
      <c r="I405" t="s">
        <v>67</v>
      </c>
      <c r="J405" t="s">
        <v>26</v>
      </c>
      <c r="K405" t="s">
        <v>1057</v>
      </c>
      <c r="L405" s="2">
        <v>224346.3379161068</v>
      </c>
      <c r="M405" s="3">
        <v>0.85667081717926397</v>
      </c>
      <c r="N405" s="3">
        <v>0</v>
      </c>
      <c r="O405" s="3">
        <v>0.14332918282082721</v>
      </c>
      <c r="P405" s="3">
        <v>0</v>
      </c>
      <c r="Q405" s="3">
        <v>0</v>
      </c>
      <c r="R405" s="3">
        <v>0.14332918282082721</v>
      </c>
      <c r="S405" t="s">
        <v>36</v>
      </c>
      <c r="T405" s="4">
        <f t="shared" si="6"/>
        <v>114.33</v>
      </c>
    </row>
    <row r="406" spans="1:20" x14ac:dyDescent="0.2">
      <c r="A406">
        <v>438</v>
      </c>
      <c r="B406">
        <v>1</v>
      </c>
      <c r="C406" t="s">
        <v>1757</v>
      </c>
      <c r="D406" t="s">
        <v>1758</v>
      </c>
      <c r="E406" t="s">
        <v>1054</v>
      </c>
      <c r="F406" t="s">
        <v>1759</v>
      </c>
      <c r="G406" t="s">
        <v>1760</v>
      </c>
      <c r="H406" t="s">
        <v>25</v>
      </c>
      <c r="I406" t="s">
        <v>25</v>
      </c>
      <c r="J406" t="s">
        <v>92</v>
      </c>
      <c r="K406" t="s">
        <v>43</v>
      </c>
      <c r="L406" s="2">
        <v>37391.056319351141</v>
      </c>
      <c r="M406" s="3">
        <v>1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t="s">
        <v>28</v>
      </c>
      <c r="T406" s="4">
        <f t="shared" si="6"/>
        <v>100</v>
      </c>
    </row>
    <row r="407" spans="1:20" x14ac:dyDescent="0.2">
      <c r="A407">
        <v>439</v>
      </c>
      <c r="B407">
        <v>1</v>
      </c>
      <c r="C407" t="s">
        <v>1761</v>
      </c>
      <c r="D407" t="s">
        <v>1762</v>
      </c>
      <c r="E407" t="s">
        <v>77</v>
      </c>
      <c r="F407" t="s">
        <v>1763</v>
      </c>
      <c r="G407" t="s">
        <v>1764</v>
      </c>
      <c r="H407" t="s">
        <v>80</v>
      </c>
      <c r="I407" t="s">
        <v>1765</v>
      </c>
      <c r="J407" t="s">
        <v>92</v>
      </c>
      <c r="K407" t="s">
        <v>118</v>
      </c>
      <c r="L407" s="2">
        <v>37391.056319351141</v>
      </c>
      <c r="M407" s="3">
        <v>0.85269485520557642</v>
      </c>
      <c r="N407" s="3">
        <v>0</v>
      </c>
      <c r="O407" s="3">
        <v>0.12439739065465361</v>
      </c>
      <c r="P407" s="3">
        <v>1.6099648271767301E-2</v>
      </c>
      <c r="Q407" s="3">
        <v>6.808105868002734E-3</v>
      </c>
      <c r="R407" s="3">
        <v>0.1404970389264209</v>
      </c>
      <c r="S407" t="s">
        <v>36</v>
      </c>
      <c r="T407" s="4">
        <f t="shared" si="6"/>
        <v>114.98</v>
      </c>
    </row>
    <row r="408" spans="1:20" x14ac:dyDescent="0.2">
      <c r="A408">
        <v>440</v>
      </c>
      <c r="B408">
        <v>1</v>
      </c>
      <c r="C408" t="s">
        <v>1766</v>
      </c>
      <c r="D408" t="s">
        <v>1767</v>
      </c>
      <c r="E408" t="s">
        <v>39</v>
      </c>
      <c r="H408" t="s">
        <v>67</v>
      </c>
      <c r="I408" t="s">
        <v>67</v>
      </c>
      <c r="J408" t="s">
        <v>26</v>
      </c>
      <c r="K408" t="s">
        <v>1768</v>
      </c>
      <c r="L408" s="2">
        <v>37391.056319351141</v>
      </c>
      <c r="M408" s="3">
        <v>0</v>
      </c>
      <c r="N408" s="3">
        <v>0</v>
      </c>
      <c r="O408" s="3">
        <v>0.44708890118961542</v>
      </c>
      <c r="P408" s="3">
        <v>0.55291109881030442</v>
      </c>
      <c r="Q408" s="3">
        <v>8.0380146982861334E-14</v>
      </c>
      <c r="R408" s="3">
        <v>0.99999999999991984</v>
      </c>
      <c r="S408" t="s">
        <v>44</v>
      </c>
      <c r="T408" s="4">
        <f t="shared" si="6"/>
        <v>255.29</v>
      </c>
    </row>
    <row r="409" spans="1:20" x14ac:dyDescent="0.2">
      <c r="A409">
        <v>441</v>
      </c>
      <c r="B409">
        <v>1</v>
      </c>
      <c r="C409" t="s">
        <v>1769</v>
      </c>
      <c r="D409" t="s">
        <v>1770</v>
      </c>
      <c r="E409" t="s">
        <v>39</v>
      </c>
      <c r="H409" t="s">
        <v>67</v>
      </c>
      <c r="I409" t="s">
        <v>67</v>
      </c>
      <c r="J409" t="s">
        <v>34</v>
      </c>
      <c r="K409" t="s">
        <v>1108</v>
      </c>
      <c r="L409" s="2">
        <v>37391.056319351141</v>
      </c>
      <c r="M409" s="3">
        <v>0</v>
      </c>
      <c r="N409" s="3">
        <v>0</v>
      </c>
      <c r="O409" s="3">
        <v>0.46055657728925942</v>
      </c>
      <c r="P409" s="3">
        <v>0.53944342271113355</v>
      </c>
      <c r="Q409" s="3">
        <v>0</v>
      </c>
      <c r="R409" s="3">
        <v>1.000000000000393</v>
      </c>
      <c r="S409" t="s">
        <v>44</v>
      </c>
      <c r="T409" s="4">
        <f t="shared" si="6"/>
        <v>253.94</v>
      </c>
    </row>
    <row r="410" spans="1:20" x14ac:dyDescent="0.2">
      <c r="A410">
        <v>442</v>
      </c>
      <c r="B410">
        <v>5</v>
      </c>
      <c r="C410" t="s">
        <v>1771</v>
      </c>
      <c r="D410" t="s">
        <v>1772</v>
      </c>
      <c r="E410" t="s">
        <v>39</v>
      </c>
      <c r="H410" t="s">
        <v>67</v>
      </c>
      <c r="I410" t="s">
        <v>67</v>
      </c>
      <c r="J410" t="s">
        <v>26</v>
      </c>
      <c r="K410" t="s">
        <v>1108</v>
      </c>
      <c r="L410" s="2">
        <v>186955.2815967557</v>
      </c>
      <c r="M410" s="3">
        <v>0</v>
      </c>
      <c r="N410" s="3">
        <v>0</v>
      </c>
      <c r="O410" s="3">
        <v>0.44659504968530228</v>
      </c>
      <c r="P410" s="3">
        <v>0.46770957140405051</v>
      </c>
      <c r="Q410" s="3">
        <v>8.569537891064738E-2</v>
      </c>
      <c r="R410" s="3">
        <v>0.91430462108935273</v>
      </c>
      <c r="S410" t="s">
        <v>44</v>
      </c>
      <c r="T410" s="4">
        <f t="shared" si="6"/>
        <v>229.63</v>
      </c>
    </row>
    <row r="411" spans="1:20" x14ac:dyDescent="0.2">
      <c r="A411">
        <v>443</v>
      </c>
      <c r="B411">
        <v>4</v>
      </c>
      <c r="C411" t="s">
        <v>1773</v>
      </c>
      <c r="D411" t="s">
        <v>1774</v>
      </c>
      <c r="E411" t="s">
        <v>39</v>
      </c>
      <c r="H411" t="s">
        <v>67</v>
      </c>
      <c r="I411" t="s">
        <v>67</v>
      </c>
      <c r="J411" t="s">
        <v>26</v>
      </c>
      <c r="K411" t="s">
        <v>1775</v>
      </c>
      <c r="L411" s="2">
        <v>149564.22527740459</v>
      </c>
      <c r="M411" s="3">
        <v>0</v>
      </c>
      <c r="N411" s="3">
        <v>0</v>
      </c>
      <c r="O411" s="3">
        <v>0.43539717788700499</v>
      </c>
      <c r="P411" s="3">
        <v>0.56460282211314172</v>
      </c>
      <c r="Q411" s="3">
        <v>0</v>
      </c>
      <c r="R411" s="3">
        <v>1.000000000000147</v>
      </c>
      <c r="S411" t="s">
        <v>44</v>
      </c>
      <c r="T411" s="4">
        <f t="shared" si="6"/>
        <v>256.45999999999998</v>
      </c>
    </row>
    <row r="412" spans="1:20" x14ac:dyDescent="0.2">
      <c r="A412">
        <v>444</v>
      </c>
      <c r="B412">
        <v>1</v>
      </c>
      <c r="C412" t="s">
        <v>1776</v>
      </c>
      <c r="D412" t="s">
        <v>1777</v>
      </c>
      <c r="E412" t="s">
        <v>39</v>
      </c>
      <c r="H412" t="s">
        <v>80</v>
      </c>
      <c r="I412" t="s">
        <v>793</v>
      </c>
      <c r="J412" t="s">
        <v>26</v>
      </c>
      <c r="K412" t="s">
        <v>635</v>
      </c>
      <c r="L412" s="2">
        <v>37391.056319351141</v>
      </c>
      <c r="M412" s="3">
        <v>0</v>
      </c>
      <c r="N412" s="3">
        <v>0</v>
      </c>
      <c r="O412" s="3">
        <v>0.42669735469995118</v>
      </c>
      <c r="P412" s="3">
        <v>0.57330264530022323</v>
      </c>
      <c r="Q412" s="3">
        <v>0</v>
      </c>
      <c r="R412" s="3">
        <v>1.000000000000175</v>
      </c>
      <c r="S412" t="s">
        <v>44</v>
      </c>
      <c r="T412" s="4">
        <f t="shared" si="6"/>
        <v>257.33</v>
      </c>
    </row>
    <row r="413" spans="1:20" x14ac:dyDescent="0.2">
      <c r="A413">
        <v>445</v>
      </c>
      <c r="B413">
        <v>6</v>
      </c>
      <c r="C413" t="s">
        <v>1778</v>
      </c>
      <c r="D413" t="s">
        <v>1779</v>
      </c>
      <c r="E413" t="s">
        <v>39</v>
      </c>
      <c r="H413" t="s">
        <v>67</v>
      </c>
      <c r="I413" t="s">
        <v>67</v>
      </c>
      <c r="J413" t="s">
        <v>26</v>
      </c>
      <c r="K413" t="s">
        <v>635</v>
      </c>
      <c r="L413" s="2">
        <v>224346.3379161068</v>
      </c>
      <c r="M413" s="3">
        <v>0</v>
      </c>
      <c r="N413" s="3">
        <v>0</v>
      </c>
      <c r="O413" s="3">
        <v>0.45218757648645341</v>
      </c>
      <c r="P413" s="3">
        <v>0.54781242351340553</v>
      </c>
      <c r="Q413" s="3">
        <v>1.4895492247054189E-13</v>
      </c>
      <c r="R413" s="3">
        <v>0.99999999999985889</v>
      </c>
      <c r="S413" t="s">
        <v>44</v>
      </c>
      <c r="T413" s="4">
        <f t="shared" si="6"/>
        <v>254.78</v>
      </c>
    </row>
    <row r="414" spans="1:20" x14ac:dyDescent="0.2">
      <c r="A414">
        <v>446</v>
      </c>
      <c r="B414">
        <v>1</v>
      </c>
      <c r="C414" t="s">
        <v>1780</v>
      </c>
      <c r="D414" t="s">
        <v>1781</v>
      </c>
      <c r="E414" t="s">
        <v>39</v>
      </c>
      <c r="H414" t="s">
        <v>67</v>
      </c>
      <c r="I414" t="s">
        <v>67</v>
      </c>
      <c r="J414" t="s">
        <v>34</v>
      </c>
      <c r="K414" t="s">
        <v>187</v>
      </c>
      <c r="L414" s="2">
        <v>37391.056319351141</v>
      </c>
      <c r="M414" s="3">
        <v>0</v>
      </c>
      <c r="N414" s="3">
        <v>0</v>
      </c>
      <c r="O414" s="3">
        <v>0.53498448743634841</v>
      </c>
      <c r="P414" s="3">
        <v>0.46501551256387352</v>
      </c>
      <c r="Q414" s="3">
        <v>0</v>
      </c>
      <c r="R414" s="3">
        <v>1.000000000000222</v>
      </c>
      <c r="S414" t="s">
        <v>44</v>
      </c>
      <c r="T414" s="4">
        <f t="shared" si="6"/>
        <v>246.5</v>
      </c>
    </row>
    <row r="415" spans="1:20" x14ac:dyDescent="0.2">
      <c r="A415">
        <v>447</v>
      </c>
      <c r="B415">
        <v>1</v>
      </c>
      <c r="C415" t="s">
        <v>1782</v>
      </c>
      <c r="D415" t="s">
        <v>1783</v>
      </c>
      <c r="E415" t="s">
        <v>1686</v>
      </c>
      <c r="F415" t="s">
        <v>1784</v>
      </c>
      <c r="G415" t="s">
        <v>1785</v>
      </c>
      <c r="H415" t="s">
        <v>80</v>
      </c>
      <c r="I415" t="s">
        <v>296</v>
      </c>
      <c r="J415" t="s">
        <v>34</v>
      </c>
      <c r="K415" t="s">
        <v>27</v>
      </c>
      <c r="L415" s="2">
        <v>37391.056319342293</v>
      </c>
      <c r="M415" s="3">
        <v>0.61702861620208294</v>
      </c>
      <c r="N415" s="3">
        <v>0</v>
      </c>
      <c r="O415" s="3">
        <v>0.1168538959741017</v>
      </c>
      <c r="P415" s="3">
        <v>0</v>
      </c>
      <c r="Q415" s="3">
        <v>0.26611748782381539</v>
      </c>
      <c r="R415" s="3">
        <v>0.1168538959741017</v>
      </c>
      <c r="S415" t="s">
        <v>36</v>
      </c>
      <c r="T415" s="4">
        <f t="shared" si="6"/>
        <v>85.07</v>
      </c>
    </row>
    <row r="416" spans="1:20" x14ac:dyDescent="0.2">
      <c r="A416">
        <v>448</v>
      </c>
      <c r="B416">
        <v>1</v>
      </c>
      <c r="C416" t="s">
        <v>1786</v>
      </c>
      <c r="D416" t="s">
        <v>1787</v>
      </c>
      <c r="E416" t="s">
        <v>1788</v>
      </c>
      <c r="F416" t="s">
        <v>1789</v>
      </c>
      <c r="G416" t="s">
        <v>1790</v>
      </c>
      <c r="H416" t="s">
        <v>80</v>
      </c>
      <c r="I416" t="s">
        <v>80</v>
      </c>
      <c r="J416" t="s">
        <v>34</v>
      </c>
      <c r="K416" t="s">
        <v>561</v>
      </c>
      <c r="L416" s="2">
        <v>37391.056319342293</v>
      </c>
      <c r="M416" s="3">
        <v>0</v>
      </c>
      <c r="N416" s="3">
        <v>0</v>
      </c>
      <c r="O416" s="3">
        <v>0.41234521635569699</v>
      </c>
      <c r="P416" s="3">
        <v>0.58765478364449453</v>
      </c>
      <c r="Q416" s="3">
        <v>0</v>
      </c>
      <c r="R416" s="3">
        <v>1.000000000000191</v>
      </c>
      <c r="S416" t="s">
        <v>44</v>
      </c>
      <c r="T416" s="4">
        <f t="shared" si="6"/>
        <v>258.77</v>
      </c>
    </row>
    <row r="417" spans="1:20" x14ac:dyDescent="0.2">
      <c r="A417">
        <v>449</v>
      </c>
      <c r="B417">
        <v>1</v>
      </c>
      <c r="C417" t="s">
        <v>1791</v>
      </c>
      <c r="D417" t="s">
        <v>1792</v>
      </c>
      <c r="E417" t="s">
        <v>801</v>
      </c>
      <c r="F417" t="s">
        <v>1793</v>
      </c>
      <c r="G417" t="s">
        <v>1794</v>
      </c>
      <c r="H417" t="s">
        <v>25</v>
      </c>
      <c r="I417" t="s">
        <v>25</v>
      </c>
      <c r="J417" t="s">
        <v>92</v>
      </c>
      <c r="K417" t="s">
        <v>86</v>
      </c>
      <c r="L417" s="2">
        <v>37391.056319342293</v>
      </c>
      <c r="M417" s="3">
        <v>0</v>
      </c>
      <c r="N417" s="3">
        <v>0</v>
      </c>
      <c r="O417" s="3">
        <v>0.23083180125949521</v>
      </c>
      <c r="P417" s="3">
        <v>2.5639107265666389E-2</v>
      </c>
      <c r="Q417" s="3">
        <v>0.74352909147483848</v>
      </c>
      <c r="R417" s="3">
        <v>0.25647090852516158</v>
      </c>
      <c r="S417" t="s">
        <v>69</v>
      </c>
      <c r="T417" s="4">
        <f t="shared" si="6"/>
        <v>53.86</v>
      </c>
    </row>
    <row r="418" spans="1:20" x14ac:dyDescent="0.2">
      <c r="A418">
        <v>450</v>
      </c>
      <c r="B418">
        <v>1</v>
      </c>
      <c r="C418" t="s">
        <v>1795</v>
      </c>
      <c r="D418" t="s">
        <v>1796</v>
      </c>
      <c r="E418" t="s">
        <v>801</v>
      </c>
      <c r="F418" t="s">
        <v>1797</v>
      </c>
      <c r="G418" t="s">
        <v>1798</v>
      </c>
      <c r="H418" t="s">
        <v>336</v>
      </c>
      <c r="I418" t="s">
        <v>336</v>
      </c>
      <c r="J418" t="s">
        <v>92</v>
      </c>
      <c r="K418" t="s">
        <v>891</v>
      </c>
      <c r="L418" s="2">
        <v>37391.056319342293</v>
      </c>
      <c r="M418" s="3">
        <v>0</v>
      </c>
      <c r="N418" s="3">
        <v>0</v>
      </c>
      <c r="O418" s="3">
        <v>0.18420747103584439</v>
      </c>
      <c r="P418" s="3">
        <v>0</v>
      </c>
      <c r="Q418" s="3">
        <v>0.81579252896415555</v>
      </c>
      <c r="R418" s="3">
        <v>0.18420747103584439</v>
      </c>
      <c r="S418" t="s">
        <v>36</v>
      </c>
      <c r="T418" s="4">
        <f t="shared" si="6"/>
        <v>36.840000000000003</v>
      </c>
    </row>
    <row r="419" spans="1:20" x14ac:dyDescent="0.2">
      <c r="A419">
        <v>451</v>
      </c>
      <c r="B419">
        <v>5</v>
      </c>
      <c r="C419" t="s">
        <v>1799</v>
      </c>
      <c r="D419" t="s">
        <v>1800</v>
      </c>
      <c r="E419" t="s">
        <v>830</v>
      </c>
      <c r="F419" t="s">
        <v>1801</v>
      </c>
      <c r="G419" t="s">
        <v>1802</v>
      </c>
      <c r="H419" t="s">
        <v>67</v>
      </c>
      <c r="I419" t="s">
        <v>67</v>
      </c>
      <c r="J419" t="s">
        <v>34</v>
      </c>
      <c r="K419" t="s">
        <v>43</v>
      </c>
      <c r="L419" s="2">
        <v>186955.28159671149</v>
      </c>
      <c r="M419" s="3">
        <v>9.4531009526881375E-3</v>
      </c>
      <c r="N419" s="3">
        <v>0</v>
      </c>
      <c r="O419" s="3">
        <v>0.36458158344051927</v>
      </c>
      <c r="P419" s="3">
        <v>5.5416153462738343E-2</v>
      </c>
      <c r="Q419" s="3">
        <v>0.57054916214405427</v>
      </c>
      <c r="R419" s="3">
        <v>0.41999773690325759</v>
      </c>
      <c r="S419" t="s">
        <v>125</v>
      </c>
      <c r="T419" s="4">
        <f t="shared" si="6"/>
        <v>90.49</v>
      </c>
    </row>
    <row r="420" spans="1:20" x14ac:dyDescent="0.2">
      <c r="A420">
        <v>452</v>
      </c>
      <c r="B420">
        <v>1</v>
      </c>
      <c r="C420" t="s">
        <v>1803</v>
      </c>
      <c r="D420" t="s">
        <v>1804</v>
      </c>
      <c r="E420" t="s">
        <v>830</v>
      </c>
      <c r="F420" t="s">
        <v>1805</v>
      </c>
      <c r="G420" t="s">
        <v>1806</v>
      </c>
      <c r="H420" t="s">
        <v>67</v>
      </c>
      <c r="I420" t="s">
        <v>67</v>
      </c>
      <c r="J420" t="s">
        <v>26</v>
      </c>
      <c r="K420" t="s">
        <v>667</v>
      </c>
      <c r="L420" s="2">
        <v>37391.056319342293</v>
      </c>
      <c r="M420" s="3">
        <v>6.0690291732473843E-14</v>
      </c>
      <c r="N420" s="3">
        <v>0.31050533183834361</v>
      </c>
      <c r="O420" s="3">
        <v>0.19136439475909009</v>
      </c>
      <c r="P420" s="3">
        <v>7.5114708649413345E-2</v>
      </c>
      <c r="Q420" s="3">
        <v>0.42301556475309232</v>
      </c>
      <c r="R420" s="3">
        <v>0.26647910340850339</v>
      </c>
      <c r="S420" t="s">
        <v>69</v>
      </c>
      <c r="T420" s="4">
        <f t="shared" si="6"/>
        <v>60.81</v>
      </c>
    </row>
    <row r="421" spans="1:20" x14ac:dyDescent="0.2">
      <c r="A421">
        <v>455</v>
      </c>
      <c r="B421">
        <v>1</v>
      </c>
      <c r="C421" t="s">
        <v>1807</v>
      </c>
      <c r="D421" t="s">
        <v>1808</v>
      </c>
      <c r="E421" t="s">
        <v>1358</v>
      </c>
      <c r="H421" t="s">
        <v>67</v>
      </c>
      <c r="I421" t="s">
        <v>67</v>
      </c>
      <c r="J421" t="s">
        <v>26</v>
      </c>
      <c r="K421" t="s">
        <v>621</v>
      </c>
      <c r="L421" s="2">
        <v>37391.056319351141</v>
      </c>
      <c r="M421" s="3">
        <v>0.88155332800858832</v>
      </c>
      <c r="N421" s="3">
        <v>0</v>
      </c>
      <c r="O421" s="3">
        <v>0</v>
      </c>
      <c r="P421" s="3">
        <v>0</v>
      </c>
      <c r="Q421" s="3">
        <v>0.11844667199141171</v>
      </c>
      <c r="R421" s="3">
        <v>0</v>
      </c>
      <c r="S421" t="s">
        <v>28</v>
      </c>
      <c r="T421" s="4">
        <f t="shared" si="6"/>
        <v>88.16</v>
      </c>
    </row>
    <row r="422" spans="1:20" x14ac:dyDescent="0.2">
      <c r="A422">
        <v>456</v>
      </c>
      <c r="B422">
        <v>1</v>
      </c>
      <c r="C422" t="s">
        <v>1809</v>
      </c>
      <c r="D422" t="s">
        <v>1810</v>
      </c>
      <c r="E422" t="s">
        <v>109</v>
      </c>
      <c r="F422" t="s">
        <v>1811</v>
      </c>
      <c r="G422" t="s">
        <v>1812</v>
      </c>
      <c r="H422" t="s">
        <v>25</v>
      </c>
      <c r="I422" t="s">
        <v>25</v>
      </c>
      <c r="J422" t="s">
        <v>26</v>
      </c>
      <c r="K422" t="s">
        <v>187</v>
      </c>
      <c r="L422" s="2">
        <v>37391.056319351141</v>
      </c>
      <c r="M422" s="3">
        <v>0.49124380663595141</v>
      </c>
      <c r="N422" s="3">
        <v>0</v>
      </c>
      <c r="O422" s="3">
        <v>0</v>
      </c>
      <c r="P422" s="3">
        <v>0</v>
      </c>
      <c r="Q422" s="3">
        <v>0.50875619336404865</v>
      </c>
      <c r="R422" s="3">
        <v>0</v>
      </c>
      <c r="S422" t="s">
        <v>28</v>
      </c>
      <c r="T422" s="4">
        <f t="shared" si="6"/>
        <v>49.12</v>
      </c>
    </row>
    <row r="423" spans="1:20" x14ac:dyDescent="0.2">
      <c r="A423">
        <v>457</v>
      </c>
      <c r="B423">
        <v>15</v>
      </c>
      <c r="C423" t="s">
        <v>1813</v>
      </c>
      <c r="D423" t="s">
        <v>1814</v>
      </c>
      <c r="E423" t="s">
        <v>1365</v>
      </c>
      <c r="F423" t="s">
        <v>1815</v>
      </c>
      <c r="G423" t="s">
        <v>1816</v>
      </c>
      <c r="H423" t="s">
        <v>67</v>
      </c>
      <c r="I423" t="s">
        <v>67</v>
      </c>
      <c r="J423" t="s">
        <v>26</v>
      </c>
      <c r="K423" t="s">
        <v>1817</v>
      </c>
      <c r="L423" s="2">
        <v>560865.84479026706</v>
      </c>
      <c r="M423" s="3">
        <v>0.87143674301353202</v>
      </c>
      <c r="N423" s="3">
        <v>0</v>
      </c>
      <c r="O423" s="3">
        <v>0.1285632569864881</v>
      </c>
      <c r="P423" s="3">
        <v>0</v>
      </c>
      <c r="Q423" s="3">
        <v>0</v>
      </c>
      <c r="R423" s="3">
        <v>0.1285632569864881</v>
      </c>
      <c r="S423" t="s">
        <v>36</v>
      </c>
      <c r="T423" s="4">
        <f t="shared" si="6"/>
        <v>112.86</v>
      </c>
    </row>
    <row r="424" spans="1:20" x14ac:dyDescent="0.2">
      <c r="A424">
        <v>458</v>
      </c>
      <c r="B424">
        <v>1</v>
      </c>
      <c r="C424" t="s">
        <v>1818</v>
      </c>
      <c r="D424" t="s">
        <v>1819</v>
      </c>
      <c r="E424" t="s">
        <v>1820</v>
      </c>
      <c r="H424" t="s">
        <v>25</v>
      </c>
      <c r="I424" t="s">
        <v>25</v>
      </c>
      <c r="J424" t="s">
        <v>92</v>
      </c>
      <c r="K424" t="s">
        <v>561</v>
      </c>
      <c r="L424" s="2">
        <v>37391.056319351141</v>
      </c>
      <c r="M424" s="3">
        <v>0</v>
      </c>
      <c r="N424" s="3">
        <v>0</v>
      </c>
      <c r="O424" s="3">
        <v>0.35579175095589582</v>
      </c>
      <c r="P424" s="3">
        <v>0.50983652093323328</v>
      </c>
      <c r="Q424" s="3">
        <v>0.13437172811087089</v>
      </c>
      <c r="R424" s="3">
        <v>0.86562827188912905</v>
      </c>
      <c r="S424" t="s">
        <v>44</v>
      </c>
      <c r="T424" s="4">
        <f t="shared" si="6"/>
        <v>224.11</v>
      </c>
    </row>
    <row r="425" spans="1:20" x14ac:dyDescent="0.2">
      <c r="A425">
        <v>459</v>
      </c>
      <c r="B425">
        <v>1</v>
      </c>
      <c r="C425" t="s">
        <v>1821</v>
      </c>
      <c r="D425" t="s">
        <v>1822</v>
      </c>
      <c r="E425" t="s">
        <v>22</v>
      </c>
      <c r="H425" t="s">
        <v>67</v>
      </c>
      <c r="I425" t="s">
        <v>67</v>
      </c>
      <c r="J425" t="s">
        <v>26</v>
      </c>
      <c r="K425" t="s">
        <v>771</v>
      </c>
      <c r="L425" s="2">
        <v>37391.056319351141</v>
      </c>
      <c r="M425" s="3">
        <v>0</v>
      </c>
      <c r="N425" s="3">
        <v>0</v>
      </c>
      <c r="O425" s="3">
        <v>0.1968607823393218</v>
      </c>
      <c r="P425" s="3">
        <v>0.63254214411273735</v>
      </c>
      <c r="Q425" s="3">
        <v>0.17059707354794079</v>
      </c>
      <c r="R425" s="3">
        <v>0.82940292645205915</v>
      </c>
      <c r="S425" t="s">
        <v>44</v>
      </c>
      <c r="T425" s="4">
        <f t="shared" si="6"/>
        <v>229.13</v>
      </c>
    </row>
    <row r="426" spans="1:20" x14ac:dyDescent="0.2">
      <c r="A426">
        <v>460</v>
      </c>
      <c r="B426">
        <v>1</v>
      </c>
      <c r="C426" t="s">
        <v>1823</v>
      </c>
      <c r="D426" t="s">
        <v>1824</v>
      </c>
      <c r="E426" t="s">
        <v>1019</v>
      </c>
      <c r="F426" t="s">
        <v>1825</v>
      </c>
      <c r="G426" t="s">
        <v>1826</v>
      </c>
      <c r="H426" t="s">
        <v>25</v>
      </c>
      <c r="I426" t="s">
        <v>25</v>
      </c>
      <c r="J426" t="s">
        <v>92</v>
      </c>
      <c r="K426" t="s">
        <v>210</v>
      </c>
      <c r="L426" s="2">
        <v>37391.056319351141</v>
      </c>
      <c r="M426" s="3">
        <v>0.84815355143539417</v>
      </c>
      <c r="N426" s="3">
        <v>0</v>
      </c>
      <c r="O426" s="3">
        <v>0.1518464485647151</v>
      </c>
      <c r="P426" s="3">
        <v>0</v>
      </c>
      <c r="Q426" s="3">
        <v>0</v>
      </c>
      <c r="R426" s="3">
        <v>0.1518464485647151</v>
      </c>
      <c r="S426" t="s">
        <v>36</v>
      </c>
      <c r="T426" s="4">
        <f t="shared" si="6"/>
        <v>115.18</v>
      </c>
    </row>
    <row r="427" spans="1:20" x14ac:dyDescent="0.2">
      <c r="A427">
        <v>461</v>
      </c>
      <c r="B427">
        <v>1</v>
      </c>
      <c r="C427" t="s">
        <v>1827</v>
      </c>
      <c r="D427" t="s">
        <v>1828</v>
      </c>
      <c r="E427" t="s">
        <v>39</v>
      </c>
      <c r="H427" t="s">
        <v>67</v>
      </c>
      <c r="I427" t="s">
        <v>67</v>
      </c>
      <c r="J427" t="s">
        <v>34</v>
      </c>
      <c r="K427" t="s">
        <v>1829</v>
      </c>
      <c r="L427" s="2">
        <v>37391.056319351141</v>
      </c>
      <c r="M427" s="3">
        <v>0</v>
      </c>
      <c r="N427" s="3">
        <v>0</v>
      </c>
      <c r="O427" s="3">
        <v>0.41213657182004498</v>
      </c>
      <c r="P427" s="3">
        <v>0.58786342818009796</v>
      </c>
      <c r="Q427" s="3">
        <v>0</v>
      </c>
      <c r="R427" s="3">
        <v>1.000000000000143</v>
      </c>
      <c r="S427" t="s">
        <v>44</v>
      </c>
      <c r="T427" s="4">
        <f t="shared" si="6"/>
        <v>258.79000000000002</v>
      </c>
    </row>
    <row r="428" spans="1:20" x14ac:dyDescent="0.2">
      <c r="A428">
        <v>462</v>
      </c>
      <c r="B428">
        <v>1</v>
      </c>
      <c r="C428" t="s">
        <v>1830</v>
      </c>
      <c r="D428" t="s">
        <v>1831</v>
      </c>
      <c r="E428" t="s">
        <v>333</v>
      </c>
      <c r="H428" t="s">
        <v>67</v>
      </c>
      <c r="I428" t="s">
        <v>67</v>
      </c>
      <c r="J428" t="s">
        <v>92</v>
      </c>
      <c r="K428" t="s">
        <v>621</v>
      </c>
      <c r="L428" s="2">
        <v>37391.056319342293</v>
      </c>
      <c r="M428" s="3">
        <v>0</v>
      </c>
      <c r="N428" s="3">
        <v>0</v>
      </c>
      <c r="O428" s="3">
        <v>0.44732160497416867</v>
      </c>
      <c r="P428" s="3">
        <v>0.55267839502609584</v>
      </c>
      <c r="Q428" s="3">
        <v>0</v>
      </c>
      <c r="R428" s="3">
        <v>1.0000000000002649</v>
      </c>
      <c r="S428" t="s">
        <v>44</v>
      </c>
      <c r="T428" s="4">
        <f t="shared" si="6"/>
        <v>255.27</v>
      </c>
    </row>
    <row r="429" spans="1:20" x14ac:dyDescent="0.2">
      <c r="A429">
        <v>463</v>
      </c>
      <c r="B429">
        <v>2</v>
      </c>
      <c r="C429" t="s">
        <v>1832</v>
      </c>
      <c r="D429" t="s">
        <v>1833</v>
      </c>
      <c r="E429" t="s">
        <v>291</v>
      </c>
      <c r="H429" t="s">
        <v>67</v>
      </c>
      <c r="I429" t="s">
        <v>67</v>
      </c>
      <c r="J429" t="s">
        <v>26</v>
      </c>
      <c r="K429" t="s">
        <v>1817</v>
      </c>
      <c r="L429" s="2">
        <v>74782.112638702281</v>
      </c>
      <c r="M429" s="3">
        <v>0</v>
      </c>
      <c r="N429" s="3">
        <v>0</v>
      </c>
      <c r="O429" s="3">
        <v>0.32646557359107609</v>
      </c>
      <c r="P429" s="3">
        <v>0.67353442640911265</v>
      </c>
      <c r="Q429" s="3">
        <v>0</v>
      </c>
      <c r="R429" s="3">
        <v>1.000000000000189</v>
      </c>
      <c r="S429" t="s">
        <v>44</v>
      </c>
      <c r="T429" s="4">
        <f t="shared" si="6"/>
        <v>267.35000000000002</v>
      </c>
    </row>
    <row r="430" spans="1:20" x14ac:dyDescent="0.2">
      <c r="A430">
        <v>464</v>
      </c>
      <c r="B430">
        <v>1</v>
      </c>
      <c r="C430" t="s">
        <v>1834</v>
      </c>
      <c r="D430" t="s">
        <v>1835</v>
      </c>
      <c r="E430" t="s">
        <v>1476</v>
      </c>
      <c r="H430" t="s">
        <v>25</v>
      </c>
      <c r="I430" t="s">
        <v>25</v>
      </c>
      <c r="J430" t="s">
        <v>92</v>
      </c>
      <c r="K430" t="s">
        <v>775</v>
      </c>
      <c r="L430" s="2">
        <v>37391.056319342293</v>
      </c>
      <c r="M430" s="3">
        <v>0.21024595099127141</v>
      </c>
      <c r="N430" s="3">
        <v>0</v>
      </c>
      <c r="O430" s="3">
        <v>9.9355805312869847E-2</v>
      </c>
      <c r="P430" s="3">
        <v>3.009545537529314E-2</v>
      </c>
      <c r="Q430" s="3">
        <v>0.66030278832056566</v>
      </c>
      <c r="R430" s="3">
        <v>0.12945126068816301</v>
      </c>
      <c r="S430" t="s">
        <v>36</v>
      </c>
      <c r="T430" s="4">
        <f t="shared" si="6"/>
        <v>49.92</v>
      </c>
    </row>
    <row r="431" spans="1:20" x14ac:dyDescent="0.2">
      <c r="A431">
        <v>465</v>
      </c>
      <c r="B431">
        <v>1</v>
      </c>
      <c r="C431" t="s">
        <v>1836</v>
      </c>
      <c r="D431" t="s">
        <v>1837</v>
      </c>
      <c r="E431" t="s">
        <v>474</v>
      </c>
      <c r="F431" t="s">
        <v>1838</v>
      </c>
      <c r="G431" t="s">
        <v>1839</v>
      </c>
      <c r="H431" t="s">
        <v>260</v>
      </c>
      <c r="I431" t="s">
        <v>260</v>
      </c>
      <c r="J431" t="s">
        <v>92</v>
      </c>
      <c r="K431" t="s">
        <v>621</v>
      </c>
      <c r="L431" s="2">
        <v>37391.056319342293</v>
      </c>
      <c r="M431" s="3">
        <v>0</v>
      </c>
      <c r="N431" s="3">
        <v>0</v>
      </c>
      <c r="O431" s="3">
        <v>0.25997990043417202</v>
      </c>
      <c r="P431" s="3">
        <v>0.11550773494340021</v>
      </c>
      <c r="Q431" s="3">
        <v>0.62451236462242776</v>
      </c>
      <c r="R431" s="3">
        <v>0.37548763537757218</v>
      </c>
      <c r="S431" t="s">
        <v>69</v>
      </c>
      <c r="T431" s="4">
        <f t="shared" si="6"/>
        <v>86.65</v>
      </c>
    </row>
    <row r="432" spans="1:20" x14ac:dyDescent="0.2">
      <c r="A432">
        <v>466</v>
      </c>
      <c r="B432">
        <v>1</v>
      </c>
      <c r="C432" t="s">
        <v>1840</v>
      </c>
      <c r="D432" t="s">
        <v>1841</v>
      </c>
      <c r="E432" t="s">
        <v>474</v>
      </c>
      <c r="F432" t="s">
        <v>1842</v>
      </c>
      <c r="G432" t="s">
        <v>1843</v>
      </c>
      <c r="H432" t="s">
        <v>67</v>
      </c>
      <c r="I432" t="s">
        <v>67</v>
      </c>
      <c r="J432" t="s">
        <v>26</v>
      </c>
      <c r="K432" t="s">
        <v>1844</v>
      </c>
      <c r="L432" s="2">
        <v>37391.056319342293</v>
      </c>
      <c r="M432" s="3">
        <v>0</v>
      </c>
      <c r="N432" s="3">
        <v>0</v>
      </c>
      <c r="O432" s="3">
        <v>3.1366129760463268E-2</v>
      </c>
      <c r="P432" s="3">
        <v>0</v>
      </c>
      <c r="Q432" s="3">
        <v>0.96863387023953662</v>
      </c>
      <c r="R432" s="3">
        <v>3.1366129760463268E-2</v>
      </c>
      <c r="S432" t="s">
        <v>28</v>
      </c>
      <c r="T432" s="4">
        <f t="shared" si="6"/>
        <v>6.27</v>
      </c>
    </row>
    <row r="433" spans="1:20" x14ac:dyDescent="0.2">
      <c r="A433">
        <v>467</v>
      </c>
      <c r="B433">
        <v>1</v>
      </c>
      <c r="C433" t="s">
        <v>1845</v>
      </c>
      <c r="D433" t="s">
        <v>1846</v>
      </c>
      <c r="E433" t="s">
        <v>1847</v>
      </c>
      <c r="F433" t="s">
        <v>1563</v>
      </c>
      <c r="G433" t="s">
        <v>1848</v>
      </c>
      <c r="H433" t="s">
        <v>67</v>
      </c>
      <c r="I433" t="s">
        <v>67</v>
      </c>
      <c r="J433" t="s">
        <v>26</v>
      </c>
      <c r="K433" t="s">
        <v>585</v>
      </c>
      <c r="L433" s="2">
        <v>37391.056319351141</v>
      </c>
      <c r="M433" s="3">
        <v>0.4985658292602736</v>
      </c>
      <c r="N433" s="3">
        <v>0</v>
      </c>
      <c r="O433" s="3">
        <v>0.38984081778010199</v>
      </c>
      <c r="P433" s="3">
        <v>0.1114182993832538</v>
      </c>
      <c r="Q433" s="3">
        <v>1.7505357637059851E-4</v>
      </c>
      <c r="R433" s="3">
        <v>0.50125911716335581</v>
      </c>
      <c r="S433" t="s">
        <v>125</v>
      </c>
      <c r="T433" s="4">
        <f t="shared" si="6"/>
        <v>161.25</v>
      </c>
    </row>
    <row r="434" spans="1:20" x14ac:dyDescent="0.2">
      <c r="A434">
        <v>468</v>
      </c>
      <c r="B434">
        <v>3</v>
      </c>
      <c r="C434" t="s">
        <v>1849</v>
      </c>
      <c r="D434" t="s">
        <v>1850</v>
      </c>
      <c r="E434" t="s">
        <v>1618</v>
      </c>
      <c r="H434" t="s">
        <v>67</v>
      </c>
      <c r="I434" t="s">
        <v>67</v>
      </c>
      <c r="J434" t="s">
        <v>34</v>
      </c>
      <c r="K434" t="s">
        <v>1372</v>
      </c>
      <c r="L434" s="2">
        <v>112173.1689580534</v>
      </c>
      <c r="M434" s="3">
        <v>0</v>
      </c>
      <c r="N434" s="3">
        <v>0</v>
      </c>
      <c r="O434" s="3">
        <v>0.5996153575730967</v>
      </c>
      <c r="P434" s="3">
        <v>0.25372862867063462</v>
      </c>
      <c r="Q434" s="3">
        <v>0.14665601375626869</v>
      </c>
      <c r="R434" s="3">
        <v>0.85334398624373131</v>
      </c>
      <c r="S434" t="s">
        <v>44</v>
      </c>
      <c r="T434" s="4">
        <f t="shared" si="6"/>
        <v>196.04</v>
      </c>
    </row>
    <row r="435" spans="1:20" x14ac:dyDescent="0.2">
      <c r="A435">
        <v>469</v>
      </c>
      <c r="B435">
        <v>5</v>
      </c>
      <c r="C435" t="s">
        <v>1851</v>
      </c>
      <c r="D435" t="s">
        <v>1852</v>
      </c>
      <c r="E435" t="s">
        <v>1853</v>
      </c>
      <c r="F435" t="s">
        <v>1854</v>
      </c>
      <c r="G435" t="s">
        <v>1855</v>
      </c>
      <c r="H435" t="s">
        <v>25</v>
      </c>
      <c r="I435" t="s">
        <v>25</v>
      </c>
      <c r="J435" t="s">
        <v>92</v>
      </c>
      <c r="K435" t="s">
        <v>1856</v>
      </c>
      <c r="L435" s="2">
        <v>186955.28159671149</v>
      </c>
      <c r="M435" s="3">
        <v>0</v>
      </c>
      <c r="N435" s="3">
        <v>0</v>
      </c>
      <c r="O435" s="3">
        <v>0.25934851541977028</v>
      </c>
      <c r="P435" s="3">
        <v>0.58026592623880091</v>
      </c>
      <c r="Q435" s="3">
        <v>0.1603855583414289</v>
      </c>
      <c r="R435" s="3">
        <v>0.83961444165857113</v>
      </c>
      <c r="S435" t="s">
        <v>44</v>
      </c>
      <c r="T435" s="4">
        <f t="shared" si="6"/>
        <v>225.95</v>
      </c>
    </row>
    <row r="436" spans="1:20" x14ac:dyDescent="0.2">
      <c r="A436">
        <v>470</v>
      </c>
      <c r="B436">
        <v>1</v>
      </c>
      <c r="C436" t="s">
        <v>1857</v>
      </c>
      <c r="D436" t="s">
        <v>1858</v>
      </c>
      <c r="E436" t="s">
        <v>1859</v>
      </c>
      <c r="F436" t="s">
        <v>1860</v>
      </c>
      <c r="H436" t="s">
        <v>25</v>
      </c>
      <c r="I436" t="s">
        <v>25</v>
      </c>
      <c r="J436" t="s">
        <v>26</v>
      </c>
      <c r="K436" t="s">
        <v>43</v>
      </c>
      <c r="L436" s="2">
        <v>37391.056319342293</v>
      </c>
      <c r="M436" s="3">
        <v>0.26788394239485119</v>
      </c>
      <c r="N436" s="3">
        <v>0</v>
      </c>
      <c r="O436" s="3">
        <v>0.25003762543103941</v>
      </c>
      <c r="P436" s="3">
        <v>0.39681248831492388</v>
      </c>
      <c r="Q436" s="3">
        <v>8.52659438591854E-2</v>
      </c>
      <c r="R436" s="3">
        <v>0.64685011374596324</v>
      </c>
      <c r="S436" t="s">
        <v>44</v>
      </c>
      <c r="T436" s="4">
        <f t="shared" si="6"/>
        <v>195.84</v>
      </c>
    </row>
    <row r="437" spans="1:20" x14ac:dyDescent="0.2">
      <c r="A437">
        <v>471</v>
      </c>
      <c r="B437">
        <v>1</v>
      </c>
      <c r="C437" t="s">
        <v>1861</v>
      </c>
      <c r="D437" t="s">
        <v>1862</v>
      </c>
      <c r="E437" t="s">
        <v>638</v>
      </c>
      <c r="F437" t="s">
        <v>1863</v>
      </c>
      <c r="G437" t="s">
        <v>1864</v>
      </c>
      <c r="H437" t="s">
        <v>67</v>
      </c>
      <c r="I437" t="s">
        <v>67</v>
      </c>
      <c r="J437" t="s">
        <v>26</v>
      </c>
      <c r="K437" t="s">
        <v>277</v>
      </c>
      <c r="L437" s="2">
        <v>37391.056319342293</v>
      </c>
      <c r="M437" s="3">
        <v>0</v>
      </c>
      <c r="N437" s="3">
        <v>0</v>
      </c>
      <c r="O437" s="3">
        <v>0.25559849663602019</v>
      </c>
      <c r="P437" s="3">
        <v>0</v>
      </c>
      <c r="Q437" s="3">
        <v>0.74440150336397981</v>
      </c>
      <c r="R437" s="3">
        <v>0.25559849663602019</v>
      </c>
      <c r="S437" t="s">
        <v>69</v>
      </c>
      <c r="T437" s="4">
        <f t="shared" si="6"/>
        <v>51.12</v>
      </c>
    </row>
    <row r="438" spans="1:20" x14ac:dyDescent="0.2">
      <c r="A438">
        <v>472</v>
      </c>
      <c r="B438">
        <v>1</v>
      </c>
      <c r="C438" t="s">
        <v>1865</v>
      </c>
      <c r="D438" t="s">
        <v>1866</v>
      </c>
      <c r="E438" t="s">
        <v>612</v>
      </c>
      <c r="H438" t="s">
        <v>67</v>
      </c>
      <c r="I438" t="s">
        <v>67</v>
      </c>
      <c r="J438" t="s">
        <v>26</v>
      </c>
      <c r="K438" t="s">
        <v>56</v>
      </c>
      <c r="L438" s="2">
        <v>37391.056319351141</v>
      </c>
      <c r="M438" s="3">
        <v>0.28584046528503332</v>
      </c>
      <c r="N438" s="3">
        <v>0</v>
      </c>
      <c r="O438" s="3">
        <v>0.49286851995783282</v>
      </c>
      <c r="P438" s="3">
        <v>7.7396632239097735E-2</v>
      </c>
      <c r="Q438" s="3">
        <v>0.14389438251803599</v>
      </c>
      <c r="R438" s="3">
        <v>0.57026515219693052</v>
      </c>
      <c r="S438" t="s">
        <v>125</v>
      </c>
      <c r="T438" s="4">
        <f t="shared" si="6"/>
        <v>150.38</v>
      </c>
    </row>
    <row r="439" spans="1:20" x14ac:dyDescent="0.2">
      <c r="A439">
        <v>473</v>
      </c>
      <c r="B439">
        <v>1</v>
      </c>
      <c r="C439" t="s">
        <v>1867</v>
      </c>
      <c r="D439" t="s">
        <v>1868</v>
      </c>
      <c r="E439" t="s">
        <v>1869</v>
      </c>
      <c r="F439" t="s">
        <v>1870</v>
      </c>
      <c r="G439" t="s">
        <v>1871</v>
      </c>
      <c r="H439" t="s">
        <v>25</v>
      </c>
      <c r="I439" t="s">
        <v>25</v>
      </c>
      <c r="J439" t="s">
        <v>92</v>
      </c>
      <c r="K439" t="s">
        <v>266</v>
      </c>
      <c r="L439" s="2">
        <v>37391.056319342293</v>
      </c>
      <c r="M439" s="3">
        <v>0.71600321263565159</v>
      </c>
      <c r="N439" s="3">
        <v>0</v>
      </c>
      <c r="O439" s="3">
        <v>0.27899096914448668</v>
      </c>
      <c r="P439" s="3">
        <v>5.0058182201275451E-3</v>
      </c>
      <c r="Q439" s="3">
        <v>0</v>
      </c>
      <c r="R439" s="3">
        <v>0.2839967873646142</v>
      </c>
      <c r="S439" t="s">
        <v>69</v>
      </c>
      <c r="T439" s="4">
        <f t="shared" si="6"/>
        <v>128.9</v>
      </c>
    </row>
    <row r="440" spans="1:20" x14ac:dyDescent="0.2">
      <c r="A440">
        <v>474</v>
      </c>
      <c r="B440">
        <v>1</v>
      </c>
      <c r="C440" t="s">
        <v>1872</v>
      </c>
      <c r="D440" t="s">
        <v>1873</v>
      </c>
      <c r="E440" t="s">
        <v>513</v>
      </c>
      <c r="H440" t="s">
        <v>25</v>
      </c>
      <c r="I440" t="s">
        <v>25</v>
      </c>
      <c r="J440" t="s">
        <v>26</v>
      </c>
      <c r="K440" t="s">
        <v>705</v>
      </c>
      <c r="L440" s="2">
        <v>37391.056319342293</v>
      </c>
      <c r="M440" s="3">
        <v>0.22672536801575571</v>
      </c>
      <c r="N440" s="3">
        <v>0</v>
      </c>
      <c r="O440" s="3">
        <v>0.13738037976566009</v>
      </c>
      <c r="P440" s="3">
        <v>1.0370396956294339E-2</v>
      </c>
      <c r="Q440" s="3">
        <v>0.62552385526228993</v>
      </c>
      <c r="R440" s="3">
        <v>0.14775077672195441</v>
      </c>
      <c r="S440" t="s">
        <v>36</v>
      </c>
      <c r="T440" s="4">
        <f t="shared" si="6"/>
        <v>53.26</v>
      </c>
    </row>
  </sheetData>
  <autoFilter ref="A1:S440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40" customWidth="1"/>
    <col min="4" max="4" width="10" customWidth="1"/>
    <col min="5" max="5" width="26" customWidth="1"/>
    <col min="6" max="6" width="24" customWidth="1"/>
    <col min="7" max="7" width="27" customWidth="1"/>
    <col min="8" max="8" width="10" customWidth="1"/>
    <col min="9" max="10" width="12" customWidth="1"/>
    <col min="11" max="11" width="10" customWidth="1"/>
    <col min="12" max="12" width="20" customWidth="1"/>
    <col min="13" max="13" width="22" customWidth="1"/>
    <col min="14" max="14" width="16" customWidth="1"/>
    <col min="15" max="15" width="22" customWidth="1"/>
    <col min="16" max="17" width="23" customWidth="1"/>
    <col min="18" max="18" width="22" customWidth="1"/>
    <col min="19" max="19" width="37" customWidth="1"/>
    <col min="20" max="20" width="12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>
        <v>168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s="2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t="s">
        <v>28</v>
      </c>
      <c r="T2" s="4">
        <f t="shared" ref="T2:T65" si="0">ROUND((M2*100*1)+(O2*100*2)+(P2*100*3),2)</f>
        <v>0</v>
      </c>
    </row>
    <row r="3" spans="1:20" x14ac:dyDescent="0.2">
      <c r="A3">
        <v>1</v>
      </c>
      <c r="B3">
        <v>1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25</v>
      </c>
      <c r="I3" t="s">
        <v>25</v>
      </c>
      <c r="J3" t="s">
        <v>34</v>
      </c>
      <c r="K3" t="s">
        <v>35</v>
      </c>
      <c r="L3" s="2">
        <v>400486.02470990678</v>
      </c>
      <c r="M3" s="3">
        <v>8.0930658823294963E-2</v>
      </c>
      <c r="N3" s="3">
        <v>0</v>
      </c>
      <c r="O3" s="3">
        <v>0.2045991742623095</v>
      </c>
      <c r="P3" s="3">
        <v>6.4910581900445657E-2</v>
      </c>
      <c r="Q3" s="3">
        <v>0.64955958501394984</v>
      </c>
      <c r="R3" s="3">
        <v>0.26950975616275519</v>
      </c>
      <c r="S3" t="s">
        <v>69</v>
      </c>
      <c r="T3" s="4">
        <f t="shared" si="0"/>
        <v>68.489999999999995</v>
      </c>
    </row>
    <row r="4" spans="1:20" x14ac:dyDescent="0.2">
      <c r="A4">
        <v>2</v>
      </c>
      <c r="B4">
        <v>1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25</v>
      </c>
      <c r="I4" t="s">
        <v>42</v>
      </c>
      <c r="J4" t="s">
        <v>26</v>
      </c>
      <c r="K4" t="s">
        <v>43</v>
      </c>
      <c r="L4" s="2">
        <v>400486.02470986679</v>
      </c>
      <c r="M4" s="3">
        <v>0</v>
      </c>
      <c r="N4" s="3">
        <v>0</v>
      </c>
      <c r="O4" s="3">
        <v>0.41526003171399661</v>
      </c>
      <c r="P4" s="3">
        <v>0.58473996828608454</v>
      </c>
      <c r="Q4" s="3">
        <v>0</v>
      </c>
      <c r="R4" s="3">
        <v>1.000000000000081</v>
      </c>
      <c r="S4" t="s">
        <v>44</v>
      </c>
      <c r="T4" s="4">
        <f t="shared" si="0"/>
        <v>258.47000000000003</v>
      </c>
    </row>
    <row r="5" spans="1:20" x14ac:dyDescent="0.2">
      <c r="A5">
        <v>3</v>
      </c>
      <c r="B5">
        <v>1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25</v>
      </c>
      <c r="I5" t="s">
        <v>25</v>
      </c>
      <c r="J5" t="s">
        <v>26</v>
      </c>
      <c r="K5" t="s">
        <v>50</v>
      </c>
      <c r="L5" s="2">
        <v>400486.02470986679</v>
      </c>
      <c r="M5" s="3">
        <v>0.29672004209085812</v>
      </c>
      <c r="N5" s="3">
        <v>0</v>
      </c>
      <c r="O5" s="3">
        <v>2.2829178013731289E-2</v>
      </c>
      <c r="P5" s="3">
        <v>0</v>
      </c>
      <c r="Q5" s="3">
        <v>0.68045077989541058</v>
      </c>
      <c r="R5" s="3">
        <v>2.2829178013731289E-2</v>
      </c>
      <c r="S5" t="s">
        <v>28</v>
      </c>
      <c r="T5" s="4">
        <f t="shared" si="0"/>
        <v>34.24</v>
      </c>
    </row>
    <row r="6" spans="1:20" x14ac:dyDescent="0.2">
      <c r="A6">
        <v>4</v>
      </c>
      <c r="B6">
        <v>1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25</v>
      </c>
      <c r="J6" t="s">
        <v>26</v>
      </c>
      <c r="K6" t="s">
        <v>56</v>
      </c>
      <c r="L6" s="2">
        <v>400486.02470986679</v>
      </c>
      <c r="M6" s="3">
        <v>9.6671764251187054E-3</v>
      </c>
      <c r="N6" s="3">
        <v>0</v>
      </c>
      <c r="O6" s="3">
        <v>9.8430588695229471E-2</v>
      </c>
      <c r="P6" s="3">
        <v>0</v>
      </c>
      <c r="Q6" s="3">
        <v>0.89190223487965181</v>
      </c>
      <c r="R6" s="3">
        <v>9.8430588695229471E-2</v>
      </c>
      <c r="S6" t="s">
        <v>28</v>
      </c>
      <c r="T6" s="4">
        <f t="shared" si="0"/>
        <v>20.65</v>
      </c>
    </row>
    <row r="7" spans="1:20" x14ac:dyDescent="0.2">
      <c r="A7">
        <v>5</v>
      </c>
      <c r="B7">
        <v>1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25</v>
      </c>
      <c r="I7" t="s">
        <v>25</v>
      </c>
      <c r="J7" t="s">
        <v>26</v>
      </c>
      <c r="K7" t="s">
        <v>62</v>
      </c>
      <c r="L7" s="2">
        <v>400486.02470986679</v>
      </c>
      <c r="M7" s="3">
        <v>0.38284327237869781</v>
      </c>
      <c r="N7" s="3">
        <v>0</v>
      </c>
      <c r="O7" s="3">
        <v>0.16717522837226939</v>
      </c>
      <c r="P7" s="3">
        <v>0.1253864169128725</v>
      </c>
      <c r="Q7" s="3">
        <v>0.3245950823361603</v>
      </c>
      <c r="R7" s="3">
        <v>0.29256164528514189</v>
      </c>
      <c r="S7" t="s">
        <v>69</v>
      </c>
      <c r="T7" s="4">
        <f t="shared" si="0"/>
        <v>109.34</v>
      </c>
    </row>
    <row r="8" spans="1:20" x14ac:dyDescent="0.2">
      <c r="A8">
        <v>6</v>
      </c>
      <c r="B8">
        <v>4</v>
      </c>
      <c r="C8" t="s">
        <v>63</v>
      </c>
      <c r="D8" t="s">
        <v>64</v>
      </c>
      <c r="E8" t="s">
        <v>59</v>
      </c>
      <c r="F8" t="s">
        <v>65</v>
      </c>
      <c r="G8" t="s">
        <v>66</v>
      </c>
      <c r="H8" t="s">
        <v>67</v>
      </c>
      <c r="I8" t="s">
        <v>67</v>
      </c>
      <c r="J8" t="s">
        <v>26</v>
      </c>
      <c r="K8" t="s">
        <v>68</v>
      </c>
      <c r="L8" s="2">
        <v>1601944.0988394669</v>
      </c>
      <c r="M8" s="3">
        <v>0.69733489833964879</v>
      </c>
      <c r="N8" s="3">
        <v>0</v>
      </c>
      <c r="O8" s="3">
        <v>0.1262732314246186</v>
      </c>
      <c r="P8" s="3">
        <v>4.2233497645705692E-2</v>
      </c>
      <c r="Q8" s="3">
        <v>0.13415837259002669</v>
      </c>
      <c r="R8" s="3">
        <v>0.1685067290703243</v>
      </c>
      <c r="S8" t="s">
        <v>36</v>
      </c>
      <c r="T8" s="4">
        <f t="shared" si="0"/>
        <v>107.66</v>
      </c>
    </row>
    <row r="9" spans="1:20" x14ac:dyDescent="0.2">
      <c r="A9">
        <v>7</v>
      </c>
      <c r="B9">
        <v>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  <c r="I9" t="s">
        <v>25</v>
      </c>
      <c r="J9" t="s">
        <v>26</v>
      </c>
      <c r="K9" t="s">
        <v>62</v>
      </c>
      <c r="L9" s="2">
        <v>400486.02470986679</v>
      </c>
      <c r="M9" s="3">
        <v>0.56240506546278946</v>
      </c>
      <c r="N9" s="3">
        <v>0</v>
      </c>
      <c r="O9" s="3">
        <v>0.1129617820282293</v>
      </c>
      <c r="P9" s="3">
        <v>2.4936621810320138E-3</v>
      </c>
      <c r="Q9" s="3">
        <v>0.32213949032794931</v>
      </c>
      <c r="R9" s="3">
        <v>0.11545544420926129</v>
      </c>
      <c r="S9" t="s">
        <v>36</v>
      </c>
      <c r="T9" s="4">
        <f t="shared" si="0"/>
        <v>79.58</v>
      </c>
    </row>
    <row r="10" spans="1:20" x14ac:dyDescent="0.2">
      <c r="A10">
        <v>8</v>
      </c>
      <c r="B10">
        <v>1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80</v>
      </c>
      <c r="J10" t="s">
        <v>26</v>
      </c>
      <c r="K10" t="s">
        <v>56</v>
      </c>
      <c r="L10" s="2">
        <v>400486.02470986679</v>
      </c>
      <c r="M10" s="3">
        <v>0.72138095062835494</v>
      </c>
      <c r="N10" s="3">
        <v>0</v>
      </c>
      <c r="O10" s="3">
        <v>0.1995608143821494</v>
      </c>
      <c r="P10" s="3">
        <v>7.4919217214031747E-2</v>
      </c>
      <c r="Q10" s="3">
        <v>4.1390177754639934E-3</v>
      </c>
      <c r="R10" s="3">
        <v>0.27448003159618117</v>
      </c>
      <c r="S10" t="s">
        <v>69</v>
      </c>
      <c r="T10" s="4">
        <f t="shared" si="0"/>
        <v>134.53</v>
      </c>
    </row>
    <row r="11" spans="1:20" x14ac:dyDescent="0.2">
      <c r="A11">
        <v>9</v>
      </c>
      <c r="B11">
        <v>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25</v>
      </c>
      <c r="J11" t="s">
        <v>34</v>
      </c>
      <c r="K11" t="s">
        <v>86</v>
      </c>
      <c r="L11" s="2">
        <v>400486.02470986679</v>
      </c>
      <c r="M11" s="3">
        <v>4.5686288144443248E-2</v>
      </c>
      <c r="N11" s="3">
        <v>0</v>
      </c>
      <c r="O11" s="3">
        <v>6.9310474709411762E-2</v>
      </c>
      <c r="P11" s="3">
        <v>0.75660666887149486</v>
      </c>
      <c r="Q11" s="3">
        <v>0.12839656827465001</v>
      </c>
      <c r="R11" s="3">
        <v>0.82591714358090662</v>
      </c>
      <c r="S11" t="s">
        <v>44</v>
      </c>
      <c r="T11" s="4">
        <f t="shared" si="0"/>
        <v>245.41</v>
      </c>
    </row>
    <row r="12" spans="1:20" x14ac:dyDescent="0.2">
      <c r="A12">
        <v>10</v>
      </c>
      <c r="B12">
        <v>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25</v>
      </c>
      <c r="I12" t="s">
        <v>25</v>
      </c>
      <c r="J12" t="s">
        <v>92</v>
      </c>
      <c r="K12" t="s">
        <v>93</v>
      </c>
      <c r="L12" s="2">
        <v>400486.02470986679</v>
      </c>
      <c r="M12" s="3">
        <v>0.40632632416164888</v>
      </c>
      <c r="N12" s="3">
        <v>0</v>
      </c>
      <c r="O12" s="3">
        <v>0.2196779980414543</v>
      </c>
      <c r="P12" s="3">
        <v>0.12480794526418609</v>
      </c>
      <c r="Q12" s="3">
        <v>0.24918773253271059</v>
      </c>
      <c r="R12" s="3">
        <v>0.34448594330564042</v>
      </c>
      <c r="S12" t="s">
        <v>69</v>
      </c>
      <c r="T12" s="4">
        <f t="shared" si="0"/>
        <v>122.01</v>
      </c>
    </row>
    <row r="13" spans="1:20" x14ac:dyDescent="0.2">
      <c r="A13">
        <v>11</v>
      </c>
      <c r="B13">
        <v>1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25</v>
      </c>
      <c r="I13" t="s">
        <v>25</v>
      </c>
      <c r="J13" t="s">
        <v>92</v>
      </c>
      <c r="K13" t="s">
        <v>93</v>
      </c>
      <c r="L13" s="2">
        <v>400486.02470986679</v>
      </c>
      <c r="M13" s="3">
        <v>0.37580615228095082</v>
      </c>
      <c r="N13" s="3">
        <v>0</v>
      </c>
      <c r="O13" s="3">
        <v>0.102589289764365</v>
      </c>
      <c r="P13" s="3">
        <v>6.950266685758647E-3</v>
      </c>
      <c r="Q13" s="3">
        <v>0.51465429126892548</v>
      </c>
      <c r="R13" s="3">
        <v>0.1095395564501236</v>
      </c>
      <c r="S13" t="s">
        <v>36</v>
      </c>
      <c r="T13" s="4">
        <f t="shared" si="0"/>
        <v>60.18</v>
      </c>
    </row>
    <row r="14" spans="1:20" x14ac:dyDescent="0.2">
      <c r="A14">
        <v>12</v>
      </c>
      <c r="B14">
        <v>1</v>
      </c>
      <c r="C14" t="s">
        <v>99</v>
      </c>
      <c r="D14" t="s">
        <v>100</v>
      </c>
      <c r="E14" t="s">
        <v>96</v>
      </c>
      <c r="F14" t="s">
        <v>101</v>
      </c>
      <c r="G14" t="s">
        <v>102</v>
      </c>
      <c r="H14" t="s">
        <v>25</v>
      </c>
      <c r="I14" t="s">
        <v>25</v>
      </c>
      <c r="J14" t="s">
        <v>34</v>
      </c>
      <c r="K14" t="s">
        <v>93</v>
      </c>
      <c r="L14" s="2">
        <v>400486.02470986679</v>
      </c>
      <c r="M14" s="3">
        <v>0.63342964429727344</v>
      </c>
      <c r="N14" s="3">
        <v>0</v>
      </c>
      <c r="O14" s="3">
        <v>0</v>
      </c>
      <c r="P14" s="3">
        <v>0</v>
      </c>
      <c r="Q14" s="3">
        <v>0.36657035570272661</v>
      </c>
      <c r="R14" s="3">
        <v>0</v>
      </c>
      <c r="S14" t="s">
        <v>28</v>
      </c>
      <c r="T14" s="4">
        <f t="shared" si="0"/>
        <v>63.34</v>
      </c>
    </row>
    <row r="15" spans="1:20" x14ac:dyDescent="0.2">
      <c r="A15">
        <v>13</v>
      </c>
      <c r="B15">
        <v>2</v>
      </c>
      <c r="C15" t="s">
        <v>103</v>
      </c>
      <c r="D15" t="s">
        <v>104</v>
      </c>
      <c r="E15" t="s">
        <v>83</v>
      </c>
      <c r="F15" t="s">
        <v>105</v>
      </c>
      <c r="G15" t="s">
        <v>106</v>
      </c>
      <c r="H15" t="s">
        <v>25</v>
      </c>
      <c r="I15" t="s">
        <v>25</v>
      </c>
      <c r="J15" t="s">
        <v>26</v>
      </c>
      <c r="K15" t="s">
        <v>93</v>
      </c>
      <c r="L15" s="2">
        <v>800972.04941973358</v>
      </c>
      <c r="M15" s="3">
        <v>0.59458562226658551</v>
      </c>
      <c r="N15" s="3">
        <v>0</v>
      </c>
      <c r="O15" s="3">
        <v>2.1153350117937519E-2</v>
      </c>
      <c r="P15" s="3">
        <v>8.58737489486683E-4</v>
      </c>
      <c r="Q15" s="3">
        <v>0.38340229012599031</v>
      </c>
      <c r="R15" s="3">
        <v>2.2012087607424201E-2</v>
      </c>
      <c r="S15" t="s">
        <v>28</v>
      </c>
      <c r="T15" s="4">
        <f t="shared" si="0"/>
        <v>63.95</v>
      </c>
    </row>
    <row r="16" spans="1:20" x14ac:dyDescent="0.2">
      <c r="A16">
        <v>14</v>
      </c>
      <c r="B16">
        <v>1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80</v>
      </c>
      <c r="I16" t="s">
        <v>80</v>
      </c>
      <c r="J16" t="s">
        <v>34</v>
      </c>
      <c r="K16" t="s">
        <v>112</v>
      </c>
      <c r="L16" s="2">
        <v>400486.02470986679</v>
      </c>
      <c r="M16" s="3">
        <v>0.5406637197002554</v>
      </c>
      <c r="N16" s="3">
        <v>0</v>
      </c>
      <c r="O16" s="3">
        <v>4.6244756782208463E-2</v>
      </c>
      <c r="P16" s="3">
        <v>4.7276618092803189E-4</v>
      </c>
      <c r="Q16" s="3">
        <v>0.41261875733660802</v>
      </c>
      <c r="R16" s="3">
        <v>4.6717522963136492E-2</v>
      </c>
      <c r="S16" t="s">
        <v>28</v>
      </c>
      <c r="T16" s="4">
        <f t="shared" si="0"/>
        <v>63.46</v>
      </c>
    </row>
    <row r="17" spans="1:20" x14ac:dyDescent="0.2">
      <c r="A17">
        <v>15</v>
      </c>
      <c r="B17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25</v>
      </c>
      <c r="I17" t="s">
        <v>25</v>
      </c>
      <c r="J17" t="s">
        <v>34</v>
      </c>
      <c r="K17" t="s">
        <v>118</v>
      </c>
      <c r="L17" s="2">
        <v>400486.02470986679</v>
      </c>
      <c r="M17" s="3">
        <v>0.86468353751882632</v>
      </c>
      <c r="N17" s="3">
        <v>0</v>
      </c>
      <c r="O17" s="3">
        <v>7.3491026513361174E-2</v>
      </c>
      <c r="P17" s="3">
        <v>8.8824144531537863E-5</v>
      </c>
      <c r="Q17" s="3">
        <v>6.1736611823281051E-2</v>
      </c>
      <c r="R17" s="3">
        <v>7.3579850657892715E-2</v>
      </c>
      <c r="S17" t="s">
        <v>28</v>
      </c>
      <c r="T17" s="4">
        <f t="shared" si="0"/>
        <v>101.19</v>
      </c>
    </row>
    <row r="18" spans="1:20" x14ac:dyDescent="0.2">
      <c r="A18">
        <v>16</v>
      </c>
      <c r="B18">
        <v>1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25</v>
      </c>
      <c r="I18" t="s">
        <v>25</v>
      </c>
      <c r="J18" t="s">
        <v>34</v>
      </c>
      <c r="K18" t="s">
        <v>124</v>
      </c>
      <c r="L18" s="2">
        <v>400486.02470986679</v>
      </c>
      <c r="M18" s="3">
        <v>0</v>
      </c>
      <c r="N18" s="3">
        <v>0</v>
      </c>
      <c r="O18" s="3">
        <v>0.140355662982944</v>
      </c>
      <c r="P18" s="3">
        <v>0.2634525813580928</v>
      </c>
      <c r="Q18" s="3">
        <v>0.59619175565896321</v>
      </c>
      <c r="R18" s="3">
        <v>0.40380824434103679</v>
      </c>
      <c r="S18" t="s">
        <v>125</v>
      </c>
      <c r="T18" s="4">
        <f t="shared" si="0"/>
        <v>107.11</v>
      </c>
    </row>
    <row r="19" spans="1:20" x14ac:dyDescent="0.2">
      <c r="A19">
        <v>17</v>
      </c>
      <c r="B19">
        <v>1</v>
      </c>
      <c r="C19" t="s">
        <v>126</v>
      </c>
      <c r="D19" t="s">
        <v>127</v>
      </c>
      <c r="E19" t="s">
        <v>77</v>
      </c>
      <c r="F19" t="s">
        <v>128</v>
      </c>
      <c r="G19" t="s">
        <v>129</v>
      </c>
      <c r="H19" t="s">
        <v>67</v>
      </c>
      <c r="I19" t="s">
        <v>67</v>
      </c>
      <c r="J19" t="s">
        <v>92</v>
      </c>
      <c r="K19" t="s">
        <v>130</v>
      </c>
      <c r="L19" s="2">
        <v>400486.02470986679</v>
      </c>
      <c r="M19" s="3">
        <v>8.7374423923220618E-3</v>
      </c>
      <c r="N19" s="3">
        <v>0</v>
      </c>
      <c r="O19" s="3">
        <v>0.34571571872461898</v>
      </c>
      <c r="P19" s="3">
        <v>0.45125785352042469</v>
      </c>
      <c r="Q19" s="3">
        <v>0.1942889853626342</v>
      </c>
      <c r="R19" s="3">
        <v>0.79697357224504373</v>
      </c>
      <c r="S19" t="s">
        <v>44</v>
      </c>
      <c r="T19" s="4">
        <f t="shared" si="0"/>
        <v>205.39</v>
      </c>
    </row>
    <row r="20" spans="1:20" x14ac:dyDescent="0.2">
      <c r="A20">
        <v>18</v>
      </c>
      <c r="B20">
        <v>1</v>
      </c>
      <c r="C20" t="s">
        <v>131</v>
      </c>
      <c r="D20" t="s">
        <v>132</v>
      </c>
      <c r="E20" t="s">
        <v>77</v>
      </c>
      <c r="F20" t="s">
        <v>128</v>
      </c>
      <c r="G20" t="s">
        <v>133</v>
      </c>
      <c r="H20" t="s">
        <v>67</v>
      </c>
      <c r="I20" t="s">
        <v>67</v>
      </c>
      <c r="J20" t="s">
        <v>92</v>
      </c>
      <c r="K20" t="s">
        <v>86</v>
      </c>
      <c r="L20" s="2">
        <v>400486.02470986679</v>
      </c>
      <c r="M20" s="3">
        <v>1.0194814274089069E-3</v>
      </c>
      <c r="N20" s="3">
        <v>0</v>
      </c>
      <c r="O20" s="3">
        <v>0.39498136264104289</v>
      </c>
      <c r="P20" s="3">
        <v>0.53627999693907724</v>
      </c>
      <c r="Q20" s="3">
        <v>6.771915899247094E-2</v>
      </c>
      <c r="R20" s="3">
        <v>0.93126135958012013</v>
      </c>
      <c r="S20" t="s">
        <v>44</v>
      </c>
      <c r="T20" s="4">
        <f t="shared" si="0"/>
        <v>239.98</v>
      </c>
    </row>
    <row r="21" spans="1:20" x14ac:dyDescent="0.2">
      <c r="A21">
        <v>19</v>
      </c>
      <c r="B21">
        <v>1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25</v>
      </c>
      <c r="I21" t="s">
        <v>25</v>
      </c>
      <c r="J21" t="s">
        <v>92</v>
      </c>
      <c r="K21" t="s">
        <v>86</v>
      </c>
      <c r="L21" s="2">
        <v>400486.02470986679</v>
      </c>
      <c r="M21" s="3">
        <v>0.9594429830448028</v>
      </c>
      <c r="N21" s="3">
        <v>0</v>
      </c>
      <c r="O21" s="3">
        <v>4.0484719894594741E-2</v>
      </c>
      <c r="P21" s="3">
        <v>7.2297060616432706E-5</v>
      </c>
      <c r="Q21" s="3">
        <v>0</v>
      </c>
      <c r="R21" s="3">
        <v>4.0557016955211182E-2</v>
      </c>
      <c r="S21" t="s">
        <v>28</v>
      </c>
      <c r="T21" s="4">
        <f t="shared" si="0"/>
        <v>104.06</v>
      </c>
    </row>
    <row r="22" spans="1:20" x14ac:dyDescent="0.2">
      <c r="A22">
        <v>20</v>
      </c>
      <c r="B22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67</v>
      </c>
      <c r="I22" t="s">
        <v>67</v>
      </c>
      <c r="J22" t="s">
        <v>26</v>
      </c>
      <c r="K22" t="s">
        <v>93</v>
      </c>
      <c r="L22" s="2">
        <v>400486.02470986679</v>
      </c>
      <c r="M22" s="3">
        <v>0.17311991497159879</v>
      </c>
      <c r="N22" s="3">
        <v>0</v>
      </c>
      <c r="O22" s="3">
        <v>0.30276763812478391</v>
      </c>
      <c r="P22" s="3">
        <v>0.4927688859821977</v>
      </c>
      <c r="Q22" s="3">
        <v>3.1343560921419662E-2</v>
      </c>
      <c r="R22" s="3">
        <v>0.79553652410698161</v>
      </c>
      <c r="S22" t="s">
        <v>44</v>
      </c>
      <c r="T22" s="4">
        <f t="shared" si="0"/>
        <v>225.7</v>
      </c>
    </row>
    <row r="23" spans="1:20" x14ac:dyDescent="0.2">
      <c r="A23">
        <v>21</v>
      </c>
      <c r="B23">
        <v>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67</v>
      </c>
      <c r="I23" t="s">
        <v>67</v>
      </c>
      <c r="J23" t="s">
        <v>34</v>
      </c>
      <c r="K23" t="s">
        <v>149</v>
      </c>
      <c r="L23" s="2">
        <v>0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t="s">
        <v>28</v>
      </c>
      <c r="T23" s="4">
        <f t="shared" si="0"/>
        <v>0</v>
      </c>
    </row>
    <row r="24" spans="1:20" x14ac:dyDescent="0.2">
      <c r="A24">
        <v>22</v>
      </c>
      <c r="B24">
        <v>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25</v>
      </c>
      <c r="I24" t="s">
        <v>25</v>
      </c>
      <c r="J24" t="s">
        <v>26</v>
      </c>
      <c r="K24" t="s">
        <v>155</v>
      </c>
      <c r="L24" s="2">
        <v>400486.02470990678</v>
      </c>
      <c r="M24" s="3">
        <v>0.48050072641203018</v>
      </c>
      <c r="N24" s="3">
        <v>0</v>
      </c>
      <c r="O24" s="3">
        <v>0.10891551006503609</v>
      </c>
      <c r="P24" s="3">
        <v>0.32542814308656748</v>
      </c>
      <c r="Q24" s="3">
        <v>8.5155620436366264E-2</v>
      </c>
      <c r="R24" s="3">
        <v>0.43434365315160361</v>
      </c>
      <c r="S24" t="s">
        <v>125</v>
      </c>
      <c r="T24" s="4">
        <f t="shared" si="0"/>
        <v>167.46</v>
      </c>
    </row>
    <row r="25" spans="1:20" x14ac:dyDescent="0.2">
      <c r="A25">
        <v>23</v>
      </c>
      <c r="B25">
        <v>1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25</v>
      </c>
      <c r="I25" t="s">
        <v>25</v>
      </c>
      <c r="J25" t="s">
        <v>26</v>
      </c>
      <c r="K25" t="s">
        <v>161</v>
      </c>
      <c r="L25" s="2">
        <v>400486.02470990678</v>
      </c>
      <c r="M25" s="3">
        <v>0.346434783796082</v>
      </c>
      <c r="N25" s="3">
        <v>0</v>
      </c>
      <c r="O25" s="3">
        <v>0.18253112108858829</v>
      </c>
      <c r="P25" s="3">
        <v>2.750528522829045E-2</v>
      </c>
      <c r="Q25" s="3">
        <v>0.44352880988703952</v>
      </c>
      <c r="R25" s="3">
        <v>0.21003640631687881</v>
      </c>
      <c r="S25" t="s">
        <v>69</v>
      </c>
      <c r="T25" s="4">
        <f t="shared" si="0"/>
        <v>79.400000000000006</v>
      </c>
    </row>
    <row r="26" spans="1:20" x14ac:dyDescent="0.2">
      <c r="A26">
        <v>24</v>
      </c>
      <c r="B26">
        <v>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25</v>
      </c>
      <c r="I26" t="s">
        <v>25</v>
      </c>
      <c r="J26" t="s">
        <v>92</v>
      </c>
      <c r="K26" t="s">
        <v>167</v>
      </c>
      <c r="L26" s="2">
        <v>400486.02470986679</v>
      </c>
      <c r="M26" s="3">
        <v>0.57530981728044439</v>
      </c>
      <c r="N26" s="3">
        <v>0</v>
      </c>
      <c r="O26" s="3">
        <v>9.4126171370675221E-2</v>
      </c>
      <c r="P26" s="3">
        <v>0</v>
      </c>
      <c r="Q26" s="3">
        <v>0.33056401134888042</v>
      </c>
      <c r="R26" s="3">
        <v>9.4126171370675221E-2</v>
      </c>
      <c r="S26" t="s">
        <v>28</v>
      </c>
      <c r="T26" s="4">
        <f t="shared" si="0"/>
        <v>76.36</v>
      </c>
    </row>
    <row r="27" spans="1:20" x14ac:dyDescent="0.2">
      <c r="A27">
        <v>25</v>
      </c>
      <c r="B27">
        <v>1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25</v>
      </c>
      <c r="I27" t="s">
        <v>25</v>
      </c>
      <c r="J27" t="s">
        <v>34</v>
      </c>
      <c r="K27" t="s">
        <v>167</v>
      </c>
      <c r="L27" s="2">
        <v>400486.02470990678</v>
      </c>
      <c r="M27" s="3">
        <v>0.35476526499335193</v>
      </c>
      <c r="N27" s="3">
        <v>0</v>
      </c>
      <c r="O27" s="3">
        <v>0.1465684974363485</v>
      </c>
      <c r="P27" s="3">
        <v>0.18056667589229811</v>
      </c>
      <c r="Q27" s="3">
        <v>0.31809956167800157</v>
      </c>
      <c r="R27" s="3">
        <v>0.32713517332864661</v>
      </c>
      <c r="S27" t="s">
        <v>69</v>
      </c>
      <c r="T27" s="4">
        <f t="shared" si="0"/>
        <v>118.96</v>
      </c>
    </row>
    <row r="28" spans="1:20" x14ac:dyDescent="0.2">
      <c r="A28">
        <v>26</v>
      </c>
      <c r="B28">
        <v>1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25</v>
      </c>
      <c r="I28" t="s">
        <v>25</v>
      </c>
      <c r="J28" t="s">
        <v>34</v>
      </c>
      <c r="K28" t="s">
        <v>167</v>
      </c>
      <c r="L28" s="2">
        <v>400486.02470990678</v>
      </c>
      <c r="M28" s="3">
        <v>0</v>
      </c>
      <c r="N28" s="3">
        <v>0</v>
      </c>
      <c r="O28" s="3">
        <v>5.6861139326400863E-2</v>
      </c>
      <c r="P28" s="3">
        <v>0</v>
      </c>
      <c r="Q28" s="3">
        <v>0.94313886067359898</v>
      </c>
      <c r="R28" s="3">
        <v>5.6861139326400863E-2</v>
      </c>
      <c r="S28" t="s">
        <v>28</v>
      </c>
      <c r="T28" s="4">
        <f t="shared" si="0"/>
        <v>11.37</v>
      </c>
    </row>
    <row r="29" spans="1:20" x14ac:dyDescent="0.2">
      <c r="A29">
        <v>27</v>
      </c>
      <c r="B29">
        <v>1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25</v>
      </c>
      <c r="I29" t="s">
        <v>25</v>
      </c>
      <c r="J29" t="s">
        <v>34</v>
      </c>
      <c r="K29" t="s">
        <v>167</v>
      </c>
      <c r="L29" s="2">
        <v>400486.02470990678</v>
      </c>
      <c r="M29" s="3">
        <v>0</v>
      </c>
      <c r="N29" s="3">
        <v>0</v>
      </c>
      <c r="O29" s="3">
        <v>8.2747133885983745E-2</v>
      </c>
      <c r="P29" s="3">
        <v>0</v>
      </c>
      <c r="Q29" s="3">
        <v>0.91725286611401624</v>
      </c>
      <c r="R29" s="3">
        <v>8.2747133885983745E-2</v>
      </c>
      <c r="S29" t="s">
        <v>28</v>
      </c>
      <c r="T29" s="4">
        <f t="shared" si="0"/>
        <v>16.55</v>
      </c>
    </row>
    <row r="30" spans="1:20" x14ac:dyDescent="0.2">
      <c r="A30">
        <v>28</v>
      </c>
      <c r="B30">
        <v>1</v>
      </c>
      <c r="C30" t="s">
        <v>183</v>
      </c>
      <c r="D30" t="s">
        <v>184</v>
      </c>
      <c r="E30" t="s">
        <v>185</v>
      </c>
      <c r="F30" t="s">
        <v>186</v>
      </c>
      <c r="G30" t="s">
        <v>160</v>
      </c>
      <c r="H30" t="s">
        <v>25</v>
      </c>
      <c r="I30" t="s">
        <v>25</v>
      </c>
      <c r="J30" t="s">
        <v>34</v>
      </c>
      <c r="K30" t="s">
        <v>187</v>
      </c>
      <c r="L30" s="2">
        <v>400486.02470990678</v>
      </c>
      <c r="M30" s="3">
        <v>0.92793255464857272</v>
      </c>
      <c r="N30" s="3">
        <v>0</v>
      </c>
      <c r="O30" s="3">
        <v>7.2067445351488207E-2</v>
      </c>
      <c r="P30" s="3">
        <v>0</v>
      </c>
      <c r="Q30" s="3">
        <v>0</v>
      </c>
      <c r="R30" s="3">
        <v>7.2067445351488207E-2</v>
      </c>
      <c r="S30" t="s">
        <v>28</v>
      </c>
      <c r="T30" s="4">
        <f t="shared" si="0"/>
        <v>107.21</v>
      </c>
    </row>
    <row r="31" spans="1:20" x14ac:dyDescent="0.2">
      <c r="A31">
        <v>29</v>
      </c>
      <c r="B31">
        <v>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25</v>
      </c>
      <c r="I31" t="s">
        <v>25</v>
      </c>
      <c r="J31" t="s">
        <v>92</v>
      </c>
      <c r="K31" t="s">
        <v>193</v>
      </c>
      <c r="L31" s="2">
        <v>400486.02470990678</v>
      </c>
      <c r="M31" s="3">
        <v>0.95569720860625618</v>
      </c>
      <c r="N31" s="3">
        <v>0</v>
      </c>
      <c r="O31" s="3">
        <v>4.193210955650177E-2</v>
      </c>
      <c r="P31" s="3">
        <v>0</v>
      </c>
      <c r="Q31" s="3">
        <v>2.370681837242095E-3</v>
      </c>
      <c r="R31" s="3">
        <v>4.193210955650177E-2</v>
      </c>
      <c r="S31" t="s">
        <v>28</v>
      </c>
      <c r="T31" s="4">
        <f t="shared" si="0"/>
        <v>103.96</v>
      </c>
    </row>
    <row r="32" spans="1:20" x14ac:dyDescent="0.2">
      <c r="A32">
        <v>30</v>
      </c>
      <c r="B32">
        <v>1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25</v>
      </c>
      <c r="I32" t="s">
        <v>25</v>
      </c>
      <c r="J32" t="s">
        <v>34</v>
      </c>
      <c r="K32" t="s">
        <v>193</v>
      </c>
      <c r="L32" s="2">
        <v>400486.02470990678</v>
      </c>
      <c r="M32" s="3">
        <v>3.0221334189754211E-2</v>
      </c>
      <c r="N32" s="3">
        <v>0</v>
      </c>
      <c r="O32" s="3">
        <v>0.1372290535798846</v>
      </c>
      <c r="P32" s="3">
        <v>0</v>
      </c>
      <c r="Q32" s="3">
        <v>0.83254961223036117</v>
      </c>
      <c r="R32" s="3">
        <v>0.1372290535798846</v>
      </c>
      <c r="S32" t="s">
        <v>36</v>
      </c>
      <c r="T32" s="4">
        <f t="shared" si="0"/>
        <v>30.47</v>
      </c>
    </row>
    <row r="33" spans="1:20" x14ac:dyDescent="0.2">
      <c r="A33">
        <v>31</v>
      </c>
      <c r="B33">
        <v>1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67</v>
      </c>
      <c r="I33" t="s">
        <v>67</v>
      </c>
      <c r="J33" t="s">
        <v>34</v>
      </c>
      <c r="K33" t="s">
        <v>204</v>
      </c>
      <c r="L33" s="2">
        <v>400486.02470990678</v>
      </c>
      <c r="M33" s="3">
        <v>0.79569554972705603</v>
      </c>
      <c r="N33" s="3">
        <v>0</v>
      </c>
      <c r="O33" s="3">
        <v>0.1271182245323674</v>
      </c>
      <c r="P33" s="3">
        <v>7.7186225740566244E-2</v>
      </c>
      <c r="Q33" s="3">
        <v>1.0325074129013961E-14</v>
      </c>
      <c r="R33" s="3">
        <v>0.20430445027293359</v>
      </c>
      <c r="S33" t="s">
        <v>69</v>
      </c>
      <c r="T33" s="4">
        <f t="shared" si="0"/>
        <v>128.15</v>
      </c>
    </row>
    <row r="34" spans="1:20" x14ac:dyDescent="0.2">
      <c r="A34">
        <v>32</v>
      </c>
      <c r="B34">
        <v>1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  <c r="H34" t="s">
        <v>25</v>
      </c>
      <c r="I34" t="s">
        <v>25</v>
      </c>
      <c r="J34" t="s">
        <v>34</v>
      </c>
      <c r="K34" t="s">
        <v>210</v>
      </c>
      <c r="L34" s="2">
        <v>400486.02470990678</v>
      </c>
      <c r="M34" s="3">
        <v>0.36613456059026128</v>
      </c>
      <c r="N34" s="3">
        <v>0</v>
      </c>
      <c r="O34" s="3">
        <v>9.7991811725466768E-2</v>
      </c>
      <c r="P34" s="3">
        <v>8.335297255327044E-4</v>
      </c>
      <c r="Q34" s="3">
        <v>0.53504009795873919</v>
      </c>
      <c r="R34" s="3">
        <v>9.8825341450999471E-2</v>
      </c>
      <c r="S34" t="s">
        <v>28</v>
      </c>
      <c r="T34" s="4">
        <f t="shared" si="0"/>
        <v>56.46</v>
      </c>
    </row>
    <row r="35" spans="1:20" x14ac:dyDescent="0.2">
      <c r="A35">
        <v>33</v>
      </c>
      <c r="B35">
        <v>1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25</v>
      </c>
      <c r="I35" t="s">
        <v>25</v>
      </c>
      <c r="J35" t="s">
        <v>34</v>
      </c>
      <c r="K35" t="s">
        <v>27</v>
      </c>
      <c r="L35" s="2">
        <v>400486.02470990678</v>
      </c>
      <c r="M35" s="3">
        <v>0.91194809387692366</v>
      </c>
      <c r="N35" s="3">
        <v>0</v>
      </c>
      <c r="O35" s="3">
        <v>8.8051906123120208E-2</v>
      </c>
      <c r="P35" s="3">
        <v>0</v>
      </c>
      <c r="Q35" s="3">
        <v>0</v>
      </c>
      <c r="R35" s="3">
        <v>8.8051906123120208E-2</v>
      </c>
      <c r="S35" t="s">
        <v>28</v>
      </c>
      <c r="T35" s="4">
        <f t="shared" si="0"/>
        <v>108.81</v>
      </c>
    </row>
    <row r="36" spans="1:20" x14ac:dyDescent="0.2">
      <c r="A36">
        <v>34</v>
      </c>
      <c r="B36">
        <v>1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67</v>
      </c>
      <c r="I36" t="s">
        <v>67</v>
      </c>
      <c r="J36" t="s">
        <v>92</v>
      </c>
      <c r="K36" t="s">
        <v>130</v>
      </c>
      <c r="L36" s="2">
        <v>400486.02470986679</v>
      </c>
      <c r="M36" s="3">
        <v>0.39657727173225388</v>
      </c>
      <c r="N36" s="3">
        <v>0</v>
      </c>
      <c r="O36" s="3">
        <v>8.1316701589184318E-2</v>
      </c>
      <c r="P36" s="3">
        <v>1.685871610912985E-2</v>
      </c>
      <c r="Q36" s="3">
        <v>0.50524731056943173</v>
      </c>
      <c r="R36" s="3">
        <v>9.8175417698314171E-2</v>
      </c>
      <c r="S36" t="s">
        <v>28</v>
      </c>
      <c r="T36" s="4">
        <f t="shared" si="0"/>
        <v>60.98</v>
      </c>
    </row>
    <row r="37" spans="1:20" x14ac:dyDescent="0.2">
      <c r="A37">
        <v>35</v>
      </c>
      <c r="B37">
        <v>2</v>
      </c>
      <c r="C37" t="s">
        <v>221</v>
      </c>
      <c r="D37" t="s">
        <v>222</v>
      </c>
      <c r="E37" t="s">
        <v>175</v>
      </c>
      <c r="F37" t="s">
        <v>223</v>
      </c>
      <c r="G37" t="s">
        <v>224</v>
      </c>
      <c r="H37" t="s">
        <v>67</v>
      </c>
      <c r="I37" t="s">
        <v>67</v>
      </c>
      <c r="J37" t="s">
        <v>92</v>
      </c>
      <c r="K37" t="s">
        <v>27</v>
      </c>
      <c r="L37" s="2">
        <v>800972.04941981356</v>
      </c>
      <c r="M37" s="3">
        <v>0</v>
      </c>
      <c r="N37" s="3">
        <v>0</v>
      </c>
      <c r="O37" s="3">
        <v>0.1302125190428208</v>
      </c>
      <c r="P37" s="3">
        <v>0</v>
      </c>
      <c r="Q37" s="3">
        <v>0.86978748095717906</v>
      </c>
      <c r="R37" s="3">
        <v>0.1302125190428208</v>
      </c>
      <c r="S37" t="s">
        <v>36</v>
      </c>
      <c r="T37" s="4">
        <f t="shared" si="0"/>
        <v>26.04</v>
      </c>
    </row>
    <row r="38" spans="1:20" x14ac:dyDescent="0.2">
      <c r="A38">
        <v>36</v>
      </c>
      <c r="B38">
        <v>2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67</v>
      </c>
      <c r="I38" t="s">
        <v>67</v>
      </c>
      <c r="J38" t="s">
        <v>34</v>
      </c>
      <c r="K38" t="s">
        <v>230</v>
      </c>
      <c r="L38" s="2">
        <v>800972.04941981356</v>
      </c>
      <c r="M38" s="3">
        <v>3.9461984905231971E-2</v>
      </c>
      <c r="N38" s="3">
        <v>0</v>
      </c>
      <c r="O38" s="3">
        <v>0.21399085741212739</v>
      </c>
      <c r="P38" s="3">
        <v>0.1204036048217116</v>
      </c>
      <c r="Q38" s="3">
        <v>0.62614355286092915</v>
      </c>
      <c r="R38" s="3">
        <v>0.33439446223383901</v>
      </c>
      <c r="S38" t="s">
        <v>69</v>
      </c>
      <c r="T38" s="4">
        <f t="shared" si="0"/>
        <v>82.87</v>
      </c>
    </row>
    <row r="39" spans="1:20" x14ac:dyDescent="0.2">
      <c r="A39">
        <v>37</v>
      </c>
      <c r="B39">
        <v>2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67</v>
      </c>
      <c r="I39" t="s">
        <v>67</v>
      </c>
      <c r="J39" t="s">
        <v>34</v>
      </c>
      <c r="K39" t="s">
        <v>204</v>
      </c>
      <c r="L39" s="2">
        <v>800972.04941981356</v>
      </c>
      <c r="M39" s="3">
        <v>0.79376015126453836</v>
      </c>
      <c r="N39" s="3">
        <v>0</v>
      </c>
      <c r="O39" s="3">
        <v>0.15667180891820379</v>
      </c>
      <c r="P39" s="3">
        <v>4.9545042802843837E-2</v>
      </c>
      <c r="Q39" s="3">
        <v>2.299701441388358E-5</v>
      </c>
      <c r="R39" s="3">
        <v>0.20621685172104759</v>
      </c>
      <c r="S39" t="s">
        <v>69</v>
      </c>
      <c r="T39" s="4">
        <f t="shared" si="0"/>
        <v>125.57</v>
      </c>
    </row>
    <row r="40" spans="1:20" x14ac:dyDescent="0.2">
      <c r="A40">
        <v>38</v>
      </c>
      <c r="B40">
        <v>1</v>
      </c>
      <c r="C40" t="s">
        <v>236</v>
      </c>
      <c r="D40" t="s">
        <v>237</v>
      </c>
      <c r="E40" t="s">
        <v>207</v>
      </c>
      <c r="F40" t="s">
        <v>238</v>
      </c>
      <c r="G40" t="s">
        <v>239</v>
      </c>
      <c r="H40" t="s">
        <v>67</v>
      </c>
      <c r="I40" t="s">
        <v>67</v>
      </c>
      <c r="J40" t="s">
        <v>34</v>
      </c>
      <c r="K40" t="s">
        <v>240</v>
      </c>
      <c r="L40" s="2">
        <v>400486.02470990678</v>
      </c>
      <c r="M40" s="3">
        <v>0.91378725339652855</v>
      </c>
      <c r="N40" s="3">
        <v>0</v>
      </c>
      <c r="O40" s="3">
        <v>8.399766734630254E-2</v>
      </c>
      <c r="P40" s="3">
        <v>2.215079257214642E-3</v>
      </c>
      <c r="Q40" s="3">
        <v>0</v>
      </c>
      <c r="R40" s="3">
        <v>8.6212746603517187E-2</v>
      </c>
      <c r="S40" t="s">
        <v>28</v>
      </c>
      <c r="T40" s="4">
        <f t="shared" si="0"/>
        <v>108.84</v>
      </c>
    </row>
    <row r="41" spans="1:20" x14ac:dyDescent="0.2">
      <c r="A41">
        <v>39</v>
      </c>
      <c r="B41">
        <v>1</v>
      </c>
      <c r="C41" t="s">
        <v>241</v>
      </c>
      <c r="D41" t="s">
        <v>242</v>
      </c>
      <c r="E41" t="s">
        <v>243</v>
      </c>
      <c r="F41" t="s">
        <v>186</v>
      </c>
      <c r="G41" t="s">
        <v>160</v>
      </c>
      <c r="H41" t="s">
        <v>25</v>
      </c>
      <c r="I41" t="s">
        <v>25</v>
      </c>
      <c r="J41" t="s">
        <v>34</v>
      </c>
      <c r="K41" t="s">
        <v>240</v>
      </c>
      <c r="L41" s="2">
        <v>400486.02470990678</v>
      </c>
      <c r="M41" s="3">
        <v>0.86256493861885608</v>
      </c>
      <c r="N41" s="3">
        <v>0</v>
      </c>
      <c r="O41" s="3">
        <v>0.13743506138117961</v>
      </c>
      <c r="P41" s="3">
        <v>0</v>
      </c>
      <c r="Q41" s="3">
        <v>0</v>
      </c>
      <c r="R41" s="3">
        <v>0.13743506138117961</v>
      </c>
      <c r="S41" t="s">
        <v>36</v>
      </c>
      <c r="T41" s="4">
        <f t="shared" si="0"/>
        <v>113.74</v>
      </c>
    </row>
    <row r="42" spans="1:20" x14ac:dyDescent="0.2">
      <c r="A42">
        <v>40</v>
      </c>
      <c r="B42">
        <v>1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25</v>
      </c>
      <c r="I42" t="s">
        <v>25</v>
      </c>
      <c r="J42" t="s">
        <v>34</v>
      </c>
      <c r="K42" t="s">
        <v>249</v>
      </c>
      <c r="L42" s="2">
        <v>400486.02470990678</v>
      </c>
      <c r="M42" s="3">
        <v>0.85305427453559945</v>
      </c>
      <c r="N42" s="3">
        <v>0</v>
      </c>
      <c r="O42" s="3">
        <v>0.14694572546448381</v>
      </c>
      <c r="P42" s="3">
        <v>0</v>
      </c>
      <c r="Q42" s="3">
        <v>0</v>
      </c>
      <c r="R42" s="3">
        <v>0.14694572546448381</v>
      </c>
      <c r="S42" t="s">
        <v>36</v>
      </c>
      <c r="T42" s="4">
        <f t="shared" si="0"/>
        <v>114.69</v>
      </c>
    </row>
    <row r="43" spans="1:20" x14ac:dyDescent="0.2">
      <c r="A43">
        <v>41</v>
      </c>
      <c r="B43">
        <v>1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67</v>
      </c>
      <c r="I43" t="s">
        <v>67</v>
      </c>
      <c r="J43" t="s">
        <v>26</v>
      </c>
      <c r="K43" t="s">
        <v>249</v>
      </c>
      <c r="L43" s="2">
        <v>400486.02470990678</v>
      </c>
      <c r="M43" s="3">
        <v>0.22847444179392579</v>
      </c>
      <c r="N43" s="3">
        <v>0</v>
      </c>
      <c r="O43" s="3">
        <v>0.14618571709968031</v>
      </c>
      <c r="P43" s="3">
        <v>3.7281880586735289E-2</v>
      </c>
      <c r="Q43" s="3">
        <v>0.58805796051965864</v>
      </c>
      <c r="R43" s="3">
        <v>0.1834675976864156</v>
      </c>
      <c r="S43" t="s">
        <v>36</v>
      </c>
      <c r="T43" s="4">
        <f t="shared" si="0"/>
        <v>63.27</v>
      </c>
    </row>
    <row r="44" spans="1:20" x14ac:dyDescent="0.2">
      <c r="A44">
        <v>42</v>
      </c>
      <c r="B44">
        <v>1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260</v>
      </c>
      <c r="J44" t="s">
        <v>34</v>
      </c>
      <c r="K44" t="s">
        <v>249</v>
      </c>
      <c r="L44" s="2">
        <v>400486.02470990678</v>
      </c>
      <c r="M44" s="3">
        <v>0.1188428784883518</v>
      </c>
      <c r="N44" s="3">
        <v>0</v>
      </c>
      <c r="O44" s="3">
        <v>0.19663318513612879</v>
      </c>
      <c r="P44" s="3">
        <v>0.66086087391309223</v>
      </c>
      <c r="Q44" s="3">
        <v>2.366306246242722E-2</v>
      </c>
      <c r="R44" s="3">
        <v>0.85749405904922105</v>
      </c>
      <c r="S44" t="s">
        <v>44</v>
      </c>
      <c r="T44" s="4">
        <f t="shared" si="0"/>
        <v>249.47</v>
      </c>
    </row>
    <row r="45" spans="1:20" x14ac:dyDescent="0.2">
      <c r="A45">
        <v>43</v>
      </c>
      <c r="B45">
        <v>1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25</v>
      </c>
      <c r="I45" t="s">
        <v>25</v>
      </c>
      <c r="J45" t="s">
        <v>26</v>
      </c>
      <c r="K45" t="s">
        <v>266</v>
      </c>
      <c r="L45" s="2">
        <v>400486.02470990678</v>
      </c>
      <c r="M45" s="3">
        <v>1.603642315683735E-2</v>
      </c>
      <c r="N45" s="3">
        <v>0</v>
      </c>
      <c r="O45" s="3">
        <v>6.5978011941319067E-2</v>
      </c>
      <c r="P45" s="3">
        <v>0</v>
      </c>
      <c r="Q45" s="3">
        <v>0.91798556490184358</v>
      </c>
      <c r="R45" s="3">
        <v>6.5978011941319067E-2</v>
      </c>
      <c r="S45" t="s">
        <v>28</v>
      </c>
      <c r="T45" s="4">
        <f t="shared" si="0"/>
        <v>14.8</v>
      </c>
    </row>
    <row r="46" spans="1:20" x14ac:dyDescent="0.2">
      <c r="A46">
        <v>44</v>
      </c>
      <c r="B46">
        <v>1</v>
      </c>
      <c r="C46" t="s">
        <v>267</v>
      </c>
      <c r="D46" t="s">
        <v>268</v>
      </c>
      <c r="E46" t="s">
        <v>252</v>
      </c>
      <c r="F46" t="s">
        <v>269</v>
      </c>
      <c r="G46" t="s">
        <v>270</v>
      </c>
      <c r="H46" t="s">
        <v>25</v>
      </c>
      <c r="I46" t="s">
        <v>25</v>
      </c>
      <c r="J46" t="s">
        <v>34</v>
      </c>
      <c r="K46" t="s">
        <v>271</v>
      </c>
      <c r="L46" s="2">
        <v>400486.02470990678</v>
      </c>
      <c r="M46" s="3">
        <v>0.32062015255404419</v>
      </c>
      <c r="N46" s="3">
        <v>0</v>
      </c>
      <c r="O46" s="3">
        <v>4.8155769549766463E-2</v>
      </c>
      <c r="P46" s="3">
        <v>0</v>
      </c>
      <c r="Q46" s="3">
        <v>0.63122407789618928</v>
      </c>
      <c r="R46" s="3">
        <v>4.8155769549766463E-2</v>
      </c>
      <c r="S46" t="s">
        <v>28</v>
      </c>
      <c r="T46" s="4">
        <f t="shared" si="0"/>
        <v>41.69</v>
      </c>
    </row>
    <row r="47" spans="1:20" x14ac:dyDescent="0.2">
      <c r="A47">
        <v>45</v>
      </c>
      <c r="B47">
        <v>1</v>
      </c>
      <c r="C47" t="s">
        <v>272</v>
      </c>
      <c r="D47" t="s">
        <v>273</v>
      </c>
      <c r="E47" t="s">
        <v>274</v>
      </c>
      <c r="F47" t="s">
        <v>275</v>
      </c>
      <c r="G47" t="s">
        <v>276</v>
      </c>
      <c r="H47" t="s">
        <v>25</v>
      </c>
      <c r="I47" t="s">
        <v>25</v>
      </c>
      <c r="J47" t="s">
        <v>34</v>
      </c>
      <c r="K47" t="s">
        <v>277</v>
      </c>
      <c r="L47" s="2">
        <v>400486.02470990678</v>
      </c>
      <c r="M47" s="3">
        <v>0.46913126444469022</v>
      </c>
      <c r="N47" s="3">
        <v>0</v>
      </c>
      <c r="O47" s="3">
        <v>2.4796888831084631E-2</v>
      </c>
      <c r="P47" s="3">
        <v>5.0607786430514239E-3</v>
      </c>
      <c r="Q47" s="3">
        <v>0.50101106808117368</v>
      </c>
      <c r="R47" s="3">
        <v>2.9857667474136051E-2</v>
      </c>
      <c r="S47" t="s">
        <v>28</v>
      </c>
      <c r="T47" s="4">
        <f t="shared" si="0"/>
        <v>53.39</v>
      </c>
    </row>
    <row r="48" spans="1:20" x14ac:dyDescent="0.2">
      <c r="A48">
        <v>46</v>
      </c>
      <c r="B48">
        <v>1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25</v>
      </c>
      <c r="I48" t="s">
        <v>25</v>
      </c>
      <c r="J48" t="s">
        <v>26</v>
      </c>
      <c r="K48" t="s">
        <v>283</v>
      </c>
      <c r="L48" s="2">
        <v>400486.02470990678</v>
      </c>
      <c r="M48" s="3">
        <v>0.66350129773833533</v>
      </c>
      <c r="N48" s="3">
        <v>0</v>
      </c>
      <c r="O48" s="3">
        <v>0.16097494221757661</v>
      </c>
      <c r="P48" s="3">
        <v>3.027018952653034E-2</v>
      </c>
      <c r="Q48" s="3">
        <v>0.14525357051755769</v>
      </c>
      <c r="R48" s="3">
        <v>0.19124513174410701</v>
      </c>
      <c r="S48" t="s">
        <v>36</v>
      </c>
      <c r="T48" s="4">
        <f t="shared" si="0"/>
        <v>107.63</v>
      </c>
    </row>
    <row r="49" spans="1:20" x14ac:dyDescent="0.2">
      <c r="A49">
        <v>47</v>
      </c>
      <c r="B49">
        <v>2</v>
      </c>
      <c r="C49" t="s">
        <v>284</v>
      </c>
      <c r="D49" t="s">
        <v>285</v>
      </c>
      <c r="E49" t="s">
        <v>286</v>
      </c>
      <c r="F49" t="s">
        <v>287</v>
      </c>
      <c r="G49" t="s">
        <v>288</v>
      </c>
      <c r="H49" t="s">
        <v>25</v>
      </c>
      <c r="I49" t="s">
        <v>25</v>
      </c>
      <c r="J49" t="s">
        <v>92</v>
      </c>
      <c r="K49" t="s">
        <v>86</v>
      </c>
      <c r="L49" s="2">
        <v>800972.04941981356</v>
      </c>
      <c r="M49" s="3">
        <v>5.3899204267271621E-2</v>
      </c>
      <c r="N49" s="3">
        <v>0</v>
      </c>
      <c r="O49" s="3">
        <v>0.21485513952808341</v>
      </c>
      <c r="P49" s="3">
        <v>0.59570377733773328</v>
      </c>
      <c r="Q49" s="3">
        <v>0.1355418788669118</v>
      </c>
      <c r="R49" s="3">
        <v>0.81055891686581671</v>
      </c>
      <c r="S49" t="s">
        <v>44</v>
      </c>
      <c r="T49" s="4">
        <f t="shared" si="0"/>
        <v>227.07</v>
      </c>
    </row>
    <row r="50" spans="1:20" x14ac:dyDescent="0.2">
      <c r="A50">
        <v>48</v>
      </c>
      <c r="B50">
        <v>1</v>
      </c>
      <c r="C50" t="s">
        <v>289</v>
      </c>
      <c r="D50" t="s">
        <v>290</v>
      </c>
      <c r="E50" t="s">
        <v>291</v>
      </c>
      <c r="F50" t="s">
        <v>122</v>
      </c>
      <c r="G50" t="s">
        <v>123</v>
      </c>
      <c r="H50" t="s">
        <v>25</v>
      </c>
      <c r="I50" t="s">
        <v>25</v>
      </c>
      <c r="J50" t="s">
        <v>34</v>
      </c>
      <c r="K50" t="s">
        <v>35</v>
      </c>
      <c r="L50" s="2">
        <v>400486.02470986679</v>
      </c>
      <c r="M50" s="3">
        <v>0</v>
      </c>
      <c r="N50" s="3">
        <v>0</v>
      </c>
      <c r="O50" s="3">
        <v>5.9087926738554633E-2</v>
      </c>
      <c r="P50" s="3">
        <v>0</v>
      </c>
      <c r="Q50" s="3">
        <v>0.94091207326144544</v>
      </c>
      <c r="R50" s="3">
        <v>5.9087926738554633E-2</v>
      </c>
      <c r="S50" t="s">
        <v>28</v>
      </c>
      <c r="T50" s="4">
        <f t="shared" si="0"/>
        <v>11.82</v>
      </c>
    </row>
    <row r="51" spans="1:20" x14ac:dyDescent="0.2">
      <c r="A51">
        <v>49</v>
      </c>
      <c r="B51">
        <v>1</v>
      </c>
      <c r="C51" t="s">
        <v>292</v>
      </c>
      <c r="D51" t="s">
        <v>293</v>
      </c>
      <c r="E51" t="s">
        <v>291</v>
      </c>
      <c r="F51" t="s">
        <v>294</v>
      </c>
      <c r="G51" t="s">
        <v>295</v>
      </c>
      <c r="H51" t="s">
        <v>80</v>
      </c>
      <c r="I51" t="s">
        <v>296</v>
      </c>
      <c r="J51" t="s">
        <v>34</v>
      </c>
      <c r="K51" t="s">
        <v>230</v>
      </c>
      <c r="L51" s="2">
        <v>0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t="s">
        <v>28</v>
      </c>
      <c r="T51" s="4">
        <f t="shared" si="0"/>
        <v>0</v>
      </c>
    </row>
    <row r="52" spans="1:20" x14ac:dyDescent="0.2">
      <c r="A52">
        <v>50</v>
      </c>
      <c r="B52">
        <v>1</v>
      </c>
      <c r="C52" t="s">
        <v>297</v>
      </c>
      <c r="D52" t="s">
        <v>298</v>
      </c>
      <c r="E52" t="s">
        <v>291</v>
      </c>
      <c r="F52" t="s">
        <v>299</v>
      </c>
      <c r="G52" t="s">
        <v>300</v>
      </c>
      <c r="H52" t="s">
        <v>80</v>
      </c>
      <c r="I52" t="s">
        <v>296</v>
      </c>
      <c r="J52" t="s">
        <v>34</v>
      </c>
      <c r="K52" t="s">
        <v>230</v>
      </c>
      <c r="L52" s="2">
        <v>400486.02470986679</v>
      </c>
      <c r="M52" s="3">
        <v>0.82083925020667425</v>
      </c>
      <c r="N52" s="3">
        <v>0</v>
      </c>
      <c r="O52" s="3">
        <v>5.3862851799416238E-2</v>
      </c>
      <c r="P52" s="3">
        <v>8.9512751133343098E-5</v>
      </c>
      <c r="Q52" s="3">
        <v>0.12520838524277619</v>
      </c>
      <c r="R52" s="3">
        <v>5.3952364550549581E-2</v>
      </c>
      <c r="S52" t="s">
        <v>28</v>
      </c>
      <c r="T52" s="4">
        <f t="shared" si="0"/>
        <v>92.88</v>
      </c>
    </row>
    <row r="53" spans="1:20" x14ac:dyDescent="0.2">
      <c r="A53">
        <v>51</v>
      </c>
      <c r="B53">
        <v>1</v>
      </c>
      <c r="C53" t="s">
        <v>301</v>
      </c>
      <c r="D53" t="s">
        <v>302</v>
      </c>
      <c r="E53" t="s">
        <v>303</v>
      </c>
      <c r="F53" t="s">
        <v>304</v>
      </c>
      <c r="G53" t="s">
        <v>305</v>
      </c>
      <c r="H53" t="s">
        <v>25</v>
      </c>
      <c r="I53" t="s">
        <v>25</v>
      </c>
      <c r="J53" t="s">
        <v>34</v>
      </c>
      <c r="K53" t="s">
        <v>35</v>
      </c>
      <c r="L53" s="2">
        <v>400486.02470986679</v>
      </c>
      <c r="M53" s="3">
        <v>0.33171503427185872</v>
      </c>
      <c r="N53" s="3">
        <v>0</v>
      </c>
      <c r="O53" s="3">
        <v>0.14589642242160469</v>
      </c>
      <c r="P53" s="3">
        <v>2.76940591912141E-2</v>
      </c>
      <c r="Q53" s="3">
        <v>0.49469448411532252</v>
      </c>
      <c r="R53" s="3">
        <v>0.17359048161281879</v>
      </c>
      <c r="S53" t="s">
        <v>36</v>
      </c>
      <c r="T53" s="4">
        <f t="shared" si="0"/>
        <v>70.66</v>
      </c>
    </row>
    <row r="54" spans="1:20" x14ac:dyDescent="0.2">
      <c r="A54">
        <v>52</v>
      </c>
      <c r="B54">
        <v>1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 t="s">
        <v>25</v>
      </c>
      <c r="I54" t="s">
        <v>25</v>
      </c>
      <c r="J54" t="s">
        <v>92</v>
      </c>
      <c r="K54" t="s">
        <v>35</v>
      </c>
      <c r="L54" s="2">
        <v>400486.02470986679</v>
      </c>
      <c r="M54" s="3">
        <v>0</v>
      </c>
      <c r="N54" s="3">
        <v>0</v>
      </c>
      <c r="O54" s="3">
        <v>3.3482844203243371E-2</v>
      </c>
      <c r="P54" s="3">
        <v>0</v>
      </c>
      <c r="Q54" s="3">
        <v>0.96651715579675668</v>
      </c>
      <c r="R54" s="3">
        <v>3.3482844203243371E-2</v>
      </c>
      <c r="S54" t="s">
        <v>28</v>
      </c>
      <c r="T54" s="4">
        <f t="shared" si="0"/>
        <v>6.7</v>
      </c>
    </row>
    <row r="55" spans="1:20" x14ac:dyDescent="0.2">
      <c r="A55">
        <v>53</v>
      </c>
      <c r="B55">
        <v>1</v>
      </c>
      <c r="C55" t="s">
        <v>311</v>
      </c>
      <c r="D55" t="s">
        <v>312</v>
      </c>
      <c r="E55" t="s">
        <v>308</v>
      </c>
      <c r="F55" t="s">
        <v>313</v>
      </c>
      <c r="G55" t="s">
        <v>314</v>
      </c>
      <c r="H55" t="s">
        <v>25</v>
      </c>
      <c r="I55" t="s">
        <v>25</v>
      </c>
      <c r="J55" t="s">
        <v>26</v>
      </c>
      <c r="K55" t="s">
        <v>35</v>
      </c>
      <c r="L55" s="2">
        <v>400486.02470986679</v>
      </c>
      <c r="M55" s="3">
        <v>7.6680245424429693E-4</v>
      </c>
      <c r="N55" s="3">
        <v>0</v>
      </c>
      <c r="O55" s="3">
        <v>0</v>
      </c>
      <c r="P55" s="3">
        <v>0</v>
      </c>
      <c r="Q55" s="3">
        <v>0.99923319754575568</v>
      </c>
      <c r="R55" s="3">
        <v>0</v>
      </c>
      <c r="S55" t="s">
        <v>28</v>
      </c>
      <c r="T55" s="4">
        <f t="shared" si="0"/>
        <v>0.08</v>
      </c>
    </row>
    <row r="56" spans="1:20" x14ac:dyDescent="0.2">
      <c r="A56">
        <v>54</v>
      </c>
      <c r="B56">
        <v>1</v>
      </c>
      <c r="C56" t="s">
        <v>315</v>
      </c>
      <c r="D56" t="s">
        <v>316</v>
      </c>
      <c r="E56" t="s">
        <v>308</v>
      </c>
      <c r="F56" t="s">
        <v>317</v>
      </c>
      <c r="G56" t="s">
        <v>318</v>
      </c>
      <c r="H56" t="s">
        <v>25</v>
      </c>
      <c r="I56" t="s">
        <v>25</v>
      </c>
      <c r="J56" t="s">
        <v>34</v>
      </c>
      <c r="K56" t="s">
        <v>35</v>
      </c>
      <c r="L56" s="2">
        <v>400486.02470986679</v>
      </c>
      <c r="M56" s="3">
        <v>8.8051705176051265E-2</v>
      </c>
      <c r="N56" s="3">
        <v>0</v>
      </c>
      <c r="O56" s="3">
        <v>6.6692827566714324E-2</v>
      </c>
      <c r="P56" s="3">
        <v>0</v>
      </c>
      <c r="Q56" s="3">
        <v>0.84525546725723433</v>
      </c>
      <c r="R56" s="3">
        <v>6.6692827566714324E-2</v>
      </c>
      <c r="S56" t="s">
        <v>28</v>
      </c>
      <c r="T56" s="4">
        <f t="shared" si="0"/>
        <v>22.14</v>
      </c>
    </row>
    <row r="57" spans="1:20" x14ac:dyDescent="0.2">
      <c r="A57">
        <v>55</v>
      </c>
      <c r="B57">
        <v>1</v>
      </c>
      <c r="C57" t="s">
        <v>319</v>
      </c>
      <c r="D57" t="s">
        <v>320</v>
      </c>
      <c r="E57" t="s">
        <v>321</v>
      </c>
      <c r="F57" t="s">
        <v>322</v>
      </c>
      <c r="G57" t="s">
        <v>323</v>
      </c>
      <c r="H57" t="s">
        <v>25</v>
      </c>
      <c r="I57" t="s">
        <v>25</v>
      </c>
      <c r="J57" t="s">
        <v>92</v>
      </c>
      <c r="K57" t="s">
        <v>35</v>
      </c>
      <c r="L57" s="2">
        <v>400486.02470986679</v>
      </c>
      <c r="M57" s="3">
        <v>0</v>
      </c>
      <c r="N57" s="3">
        <v>0</v>
      </c>
      <c r="O57" s="3">
        <v>5.2787848963875672E-2</v>
      </c>
      <c r="P57" s="3">
        <v>9.0559936243110408E-5</v>
      </c>
      <c r="Q57" s="3">
        <v>0.94712159109988114</v>
      </c>
      <c r="R57" s="3">
        <v>5.287840890011878E-2</v>
      </c>
      <c r="S57" t="s">
        <v>28</v>
      </c>
      <c r="T57" s="4">
        <f t="shared" si="0"/>
        <v>10.58</v>
      </c>
    </row>
    <row r="58" spans="1:20" x14ac:dyDescent="0.2">
      <c r="A58">
        <v>56</v>
      </c>
      <c r="B58">
        <v>3</v>
      </c>
      <c r="C58" t="s">
        <v>324</v>
      </c>
      <c r="D58" t="s">
        <v>325</v>
      </c>
      <c r="E58" t="s">
        <v>321</v>
      </c>
      <c r="F58" t="s">
        <v>326</v>
      </c>
      <c r="G58" t="s">
        <v>327</v>
      </c>
      <c r="H58" t="s">
        <v>25</v>
      </c>
      <c r="I58" t="s">
        <v>25</v>
      </c>
      <c r="J58" t="s">
        <v>26</v>
      </c>
      <c r="K58" t="s">
        <v>35</v>
      </c>
      <c r="L58" s="2">
        <v>1201458.0741296001</v>
      </c>
      <c r="M58" s="3">
        <v>0</v>
      </c>
      <c r="N58" s="3">
        <v>0</v>
      </c>
      <c r="O58" s="3">
        <v>7.6521149177560727E-2</v>
      </c>
      <c r="P58" s="3">
        <v>0</v>
      </c>
      <c r="Q58" s="3">
        <v>0.9234788508224393</v>
      </c>
      <c r="R58" s="3">
        <v>7.6521149177560727E-2</v>
      </c>
      <c r="S58" t="s">
        <v>28</v>
      </c>
      <c r="T58" s="4">
        <f t="shared" si="0"/>
        <v>15.3</v>
      </c>
    </row>
    <row r="59" spans="1:20" x14ac:dyDescent="0.2">
      <c r="A59">
        <v>57</v>
      </c>
      <c r="B59">
        <v>1</v>
      </c>
      <c r="C59" t="s">
        <v>328</v>
      </c>
      <c r="D59" t="s">
        <v>329</v>
      </c>
      <c r="E59" t="s">
        <v>321</v>
      </c>
      <c r="F59" t="s">
        <v>330</v>
      </c>
      <c r="H59" t="s">
        <v>25</v>
      </c>
      <c r="I59" t="s">
        <v>25</v>
      </c>
      <c r="J59" t="s">
        <v>92</v>
      </c>
      <c r="K59" t="s">
        <v>35</v>
      </c>
      <c r="L59" s="2">
        <v>400486.02470986679</v>
      </c>
      <c r="M59" s="3">
        <v>0</v>
      </c>
      <c r="N59" s="3">
        <v>0</v>
      </c>
      <c r="O59" s="3">
        <v>0.1352651206563002</v>
      </c>
      <c r="P59" s="3">
        <v>4.6452607597149403E-3</v>
      </c>
      <c r="Q59" s="3">
        <v>0.86008961858398492</v>
      </c>
      <c r="R59" s="3">
        <v>0.13991038141601511</v>
      </c>
      <c r="S59" t="s">
        <v>36</v>
      </c>
      <c r="T59" s="4">
        <f t="shared" si="0"/>
        <v>28.45</v>
      </c>
    </row>
    <row r="60" spans="1:20" x14ac:dyDescent="0.2">
      <c r="A60">
        <v>58</v>
      </c>
      <c r="B60">
        <v>1</v>
      </c>
      <c r="C60" t="s">
        <v>331</v>
      </c>
      <c r="D60" t="s">
        <v>332</v>
      </c>
      <c r="E60" t="s">
        <v>333</v>
      </c>
      <c r="F60" t="s">
        <v>334</v>
      </c>
      <c r="G60" t="s">
        <v>335</v>
      </c>
      <c r="H60" t="s">
        <v>336</v>
      </c>
      <c r="I60" t="s">
        <v>336</v>
      </c>
      <c r="J60" t="s">
        <v>34</v>
      </c>
      <c r="K60" t="s">
        <v>155</v>
      </c>
      <c r="L60" s="2">
        <v>400486.02470990678</v>
      </c>
      <c r="M60" s="3">
        <v>0.39696960908252571</v>
      </c>
      <c r="N60" s="3">
        <v>0</v>
      </c>
      <c r="O60" s="3">
        <v>8.2742868621604432E-2</v>
      </c>
      <c r="P60" s="3">
        <v>0</v>
      </c>
      <c r="Q60" s="3">
        <v>0.52028752229586994</v>
      </c>
      <c r="R60" s="3">
        <v>8.2742868621604432E-2</v>
      </c>
      <c r="S60" t="s">
        <v>28</v>
      </c>
      <c r="T60" s="4">
        <f t="shared" si="0"/>
        <v>56.25</v>
      </c>
    </row>
    <row r="61" spans="1:20" x14ac:dyDescent="0.2">
      <c r="A61">
        <v>59</v>
      </c>
      <c r="B61">
        <v>1</v>
      </c>
      <c r="C61" t="s">
        <v>337</v>
      </c>
      <c r="D61" t="s">
        <v>338</v>
      </c>
      <c r="E61" t="s">
        <v>339</v>
      </c>
      <c r="F61" t="s">
        <v>340</v>
      </c>
      <c r="G61" t="s">
        <v>341</v>
      </c>
      <c r="H61" t="s">
        <v>25</v>
      </c>
      <c r="I61" t="s">
        <v>25</v>
      </c>
      <c r="J61" t="s">
        <v>26</v>
      </c>
      <c r="K61" t="s">
        <v>35</v>
      </c>
      <c r="L61" s="2">
        <v>400486.02470986679</v>
      </c>
      <c r="M61" s="3">
        <v>0</v>
      </c>
      <c r="N61" s="3">
        <v>0</v>
      </c>
      <c r="O61" s="3">
        <v>0.10218705056449059</v>
      </c>
      <c r="P61" s="3">
        <v>0</v>
      </c>
      <c r="Q61" s="3">
        <v>0.89781294943550949</v>
      </c>
      <c r="R61" s="3">
        <v>0.10218705056449059</v>
      </c>
      <c r="S61" t="s">
        <v>36</v>
      </c>
      <c r="T61" s="4">
        <f t="shared" si="0"/>
        <v>20.440000000000001</v>
      </c>
    </row>
    <row r="62" spans="1:20" x14ac:dyDescent="0.2">
      <c r="A62">
        <v>60</v>
      </c>
      <c r="B62">
        <v>2</v>
      </c>
      <c r="C62" t="s">
        <v>342</v>
      </c>
      <c r="D62" t="s">
        <v>343</v>
      </c>
      <c r="E62" t="s">
        <v>339</v>
      </c>
      <c r="F62" t="s">
        <v>344</v>
      </c>
      <c r="G62" t="s">
        <v>345</v>
      </c>
      <c r="H62" t="s">
        <v>25</v>
      </c>
      <c r="I62" t="s">
        <v>25</v>
      </c>
      <c r="J62" t="s">
        <v>92</v>
      </c>
      <c r="K62" t="s">
        <v>35</v>
      </c>
      <c r="L62" s="2">
        <v>800972.04941973358</v>
      </c>
      <c r="M62" s="3">
        <v>0.58892677999896503</v>
      </c>
      <c r="N62" s="3">
        <v>0</v>
      </c>
      <c r="O62" s="3">
        <v>5.0585659704529849E-2</v>
      </c>
      <c r="P62" s="3">
        <v>2.0132057898993589E-5</v>
      </c>
      <c r="Q62" s="3">
        <v>0.36046742823860611</v>
      </c>
      <c r="R62" s="3">
        <v>5.0605791762428839E-2</v>
      </c>
      <c r="S62" t="s">
        <v>28</v>
      </c>
      <c r="T62" s="4">
        <f t="shared" si="0"/>
        <v>69.02</v>
      </c>
    </row>
    <row r="63" spans="1:20" x14ac:dyDescent="0.2">
      <c r="A63">
        <v>61</v>
      </c>
      <c r="B63">
        <v>1</v>
      </c>
      <c r="C63" t="s">
        <v>346</v>
      </c>
      <c r="D63" t="s">
        <v>347</v>
      </c>
      <c r="E63" t="s">
        <v>339</v>
      </c>
      <c r="F63" t="s">
        <v>348</v>
      </c>
      <c r="G63" t="s">
        <v>327</v>
      </c>
      <c r="H63" t="s">
        <v>25</v>
      </c>
      <c r="I63" t="s">
        <v>25</v>
      </c>
      <c r="J63" t="s">
        <v>26</v>
      </c>
      <c r="K63" t="s">
        <v>35</v>
      </c>
      <c r="L63" s="2">
        <v>400486.02470986679</v>
      </c>
      <c r="M63" s="3">
        <v>0.57957594952979563</v>
      </c>
      <c r="N63" s="3">
        <v>0</v>
      </c>
      <c r="O63" s="3">
        <v>4.2364950856155631E-2</v>
      </c>
      <c r="P63" s="3">
        <v>0</v>
      </c>
      <c r="Q63" s="3">
        <v>0.37805909961404871</v>
      </c>
      <c r="R63" s="3">
        <v>4.2364950856155631E-2</v>
      </c>
      <c r="S63" t="s">
        <v>28</v>
      </c>
      <c r="T63" s="4">
        <f t="shared" si="0"/>
        <v>66.430000000000007</v>
      </c>
    </row>
    <row r="64" spans="1:20" x14ac:dyDescent="0.2">
      <c r="A64">
        <v>62</v>
      </c>
      <c r="B64">
        <v>3</v>
      </c>
      <c r="C64" t="s">
        <v>349</v>
      </c>
      <c r="D64" t="s">
        <v>350</v>
      </c>
      <c r="E64" t="s">
        <v>351</v>
      </c>
      <c r="F64" t="s">
        <v>352</v>
      </c>
      <c r="G64" t="s">
        <v>327</v>
      </c>
      <c r="H64" t="s">
        <v>25</v>
      </c>
      <c r="I64" t="s">
        <v>25</v>
      </c>
      <c r="J64" t="s">
        <v>26</v>
      </c>
      <c r="K64" t="s">
        <v>35</v>
      </c>
      <c r="L64" s="2">
        <v>1201458.0741296001</v>
      </c>
      <c r="M64" s="3">
        <v>0</v>
      </c>
      <c r="N64" s="3">
        <v>0</v>
      </c>
      <c r="O64" s="3">
        <v>4.259430368034238E-2</v>
      </c>
      <c r="P64" s="3">
        <v>0</v>
      </c>
      <c r="Q64" s="3">
        <v>0.95740569631965777</v>
      </c>
      <c r="R64" s="3">
        <v>4.259430368034238E-2</v>
      </c>
      <c r="S64" t="s">
        <v>28</v>
      </c>
      <c r="T64" s="4">
        <f t="shared" si="0"/>
        <v>8.52</v>
      </c>
    </row>
    <row r="65" spans="1:20" x14ac:dyDescent="0.2">
      <c r="A65">
        <v>63</v>
      </c>
      <c r="B65">
        <v>1</v>
      </c>
      <c r="C65" t="s">
        <v>353</v>
      </c>
      <c r="D65" t="s">
        <v>354</v>
      </c>
      <c r="E65" t="s">
        <v>355</v>
      </c>
      <c r="F65" t="s">
        <v>356</v>
      </c>
      <c r="G65" t="s">
        <v>357</v>
      </c>
      <c r="H65" t="s">
        <v>67</v>
      </c>
      <c r="I65" t="s">
        <v>67</v>
      </c>
      <c r="J65" t="s">
        <v>34</v>
      </c>
      <c r="K65" t="s">
        <v>149</v>
      </c>
      <c r="L65" s="2">
        <v>400486.02470986679</v>
      </c>
      <c r="M65" s="3">
        <v>7.3359116298979113E-3</v>
      </c>
      <c r="N65" s="3">
        <v>0</v>
      </c>
      <c r="O65" s="3">
        <v>7.0157935968063273E-2</v>
      </c>
      <c r="P65" s="3">
        <v>0</v>
      </c>
      <c r="Q65" s="3">
        <v>0.92250615240203881</v>
      </c>
      <c r="R65" s="3">
        <v>7.0157935968063273E-2</v>
      </c>
      <c r="S65" t="s">
        <v>28</v>
      </c>
      <c r="T65" s="4">
        <f t="shared" si="0"/>
        <v>14.77</v>
      </c>
    </row>
    <row r="66" spans="1:20" x14ac:dyDescent="0.2">
      <c r="A66">
        <v>64</v>
      </c>
      <c r="B66">
        <v>1</v>
      </c>
      <c r="C66" t="s">
        <v>358</v>
      </c>
      <c r="D66" t="s">
        <v>359</v>
      </c>
      <c r="E66" t="s">
        <v>360</v>
      </c>
      <c r="F66" t="s">
        <v>361</v>
      </c>
      <c r="G66" t="s">
        <v>362</v>
      </c>
      <c r="H66" t="s">
        <v>25</v>
      </c>
      <c r="I66" t="s">
        <v>25</v>
      </c>
      <c r="J66" t="s">
        <v>34</v>
      </c>
      <c r="K66" t="s">
        <v>363</v>
      </c>
      <c r="L66" s="2">
        <v>400486.02470990678</v>
      </c>
      <c r="M66" s="3">
        <v>0.36205198340839673</v>
      </c>
      <c r="N66" s="3">
        <v>0</v>
      </c>
      <c r="O66" s="3">
        <v>8.8095715929659549E-2</v>
      </c>
      <c r="P66" s="3">
        <v>3.2133627597303038E-3</v>
      </c>
      <c r="Q66" s="3">
        <v>0.54663893790221341</v>
      </c>
      <c r="R66" s="3">
        <v>9.1309078689389853E-2</v>
      </c>
      <c r="S66" t="s">
        <v>28</v>
      </c>
      <c r="T66" s="4">
        <f t="shared" ref="T66:T129" si="1">ROUND((M66*100*1)+(O66*100*2)+(P66*100*3),2)</f>
        <v>54.79</v>
      </c>
    </row>
    <row r="67" spans="1:20" x14ac:dyDescent="0.2">
      <c r="A67">
        <v>65</v>
      </c>
      <c r="B67">
        <v>1</v>
      </c>
      <c r="C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67</v>
      </c>
      <c r="I67" t="s">
        <v>67</v>
      </c>
      <c r="J67" t="s">
        <v>26</v>
      </c>
      <c r="K67" t="s">
        <v>56</v>
      </c>
      <c r="L67" s="2">
        <v>400486.02470986679</v>
      </c>
      <c r="M67" s="3">
        <v>0.43608041376352041</v>
      </c>
      <c r="N67" s="3">
        <v>0</v>
      </c>
      <c r="O67" s="3">
        <v>7.9220552525035695E-2</v>
      </c>
      <c r="P67" s="3">
        <v>0</v>
      </c>
      <c r="Q67" s="3">
        <v>0.48469903371144402</v>
      </c>
      <c r="R67" s="3">
        <v>7.9220552525035695E-2</v>
      </c>
      <c r="S67" t="s">
        <v>28</v>
      </c>
      <c r="T67" s="4">
        <f t="shared" si="1"/>
        <v>59.45</v>
      </c>
    </row>
    <row r="68" spans="1:20" x14ac:dyDescent="0.2">
      <c r="A68">
        <v>66</v>
      </c>
      <c r="B68">
        <v>1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25</v>
      </c>
      <c r="I68" t="s">
        <v>25</v>
      </c>
      <c r="J68" t="s">
        <v>34</v>
      </c>
      <c r="K68" t="s">
        <v>56</v>
      </c>
      <c r="L68" s="2">
        <v>400486.02470990678</v>
      </c>
      <c r="M68" s="3">
        <v>2.2758348832006021E-3</v>
      </c>
      <c r="N68" s="3">
        <v>0</v>
      </c>
      <c r="O68" s="3">
        <v>9.5741527815653149E-2</v>
      </c>
      <c r="P68" s="3">
        <v>4.1549333636240367E-2</v>
      </c>
      <c r="Q68" s="3">
        <v>0.86043330366490589</v>
      </c>
      <c r="R68" s="3">
        <v>0.13729086145189351</v>
      </c>
      <c r="S68" t="s">
        <v>36</v>
      </c>
      <c r="T68" s="4">
        <f t="shared" si="1"/>
        <v>31.84</v>
      </c>
    </row>
    <row r="69" spans="1:20" x14ac:dyDescent="0.2">
      <c r="A69">
        <v>67</v>
      </c>
      <c r="B69">
        <v>1</v>
      </c>
      <c r="C69" t="s">
        <v>374</v>
      </c>
      <c r="D69" t="s">
        <v>375</v>
      </c>
      <c r="E69" t="s">
        <v>366</v>
      </c>
      <c r="F69" t="s">
        <v>122</v>
      </c>
      <c r="G69" t="s">
        <v>123</v>
      </c>
      <c r="H69" t="s">
        <v>25</v>
      </c>
      <c r="I69" t="s">
        <v>25</v>
      </c>
      <c r="J69" t="s">
        <v>34</v>
      </c>
      <c r="K69" t="s">
        <v>187</v>
      </c>
      <c r="L69" s="2">
        <v>400486.02470986679</v>
      </c>
      <c r="M69" s="3">
        <v>0.37211967568197002</v>
      </c>
      <c r="N69" s="3">
        <v>0</v>
      </c>
      <c r="O69" s="3">
        <v>9.1832338243781383E-2</v>
      </c>
      <c r="P69" s="3">
        <v>0</v>
      </c>
      <c r="Q69" s="3">
        <v>0.53604798607424864</v>
      </c>
      <c r="R69" s="3">
        <v>9.1832338243781383E-2</v>
      </c>
      <c r="S69" t="s">
        <v>28</v>
      </c>
      <c r="T69" s="4">
        <f t="shared" si="1"/>
        <v>55.58</v>
      </c>
    </row>
    <row r="70" spans="1:20" x14ac:dyDescent="0.2">
      <c r="A70">
        <v>68</v>
      </c>
      <c r="B70">
        <v>1</v>
      </c>
      <c r="C70" t="s">
        <v>376</v>
      </c>
      <c r="D70" t="s">
        <v>377</v>
      </c>
      <c r="E70" t="s">
        <v>378</v>
      </c>
      <c r="F70" t="s">
        <v>379</v>
      </c>
      <c r="G70" t="s">
        <v>380</v>
      </c>
      <c r="H70" t="s">
        <v>25</v>
      </c>
      <c r="I70" t="s">
        <v>25</v>
      </c>
      <c r="J70" t="s">
        <v>34</v>
      </c>
      <c r="K70" t="s">
        <v>187</v>
      </c>
      <c r="L70" s="2">
        <v>400486.02470990678</v>
      </c>
      <c r="M70" s="3">
        <v>0.31075136648217211</v>
      </c>
      <c r="N70" s="3">
        <v>0</v>
      </c>
      <c r="O70" s="3">
        <v>0.10965643634174579</v>
      </c>
      <c r="P70" s="3">
        <v>6.8736130591013039E-4</v>
      </c>
      <c r="Q70" s="3">
        <v>0.57890483587017205</v>
      </c>
      <c r="R70" s="3">
        <v>0.11034379764765589</v>
      </c>
      <c r="S70" t="s">
        <v>36</v>
      </c>
      <c r="T70" s="4">
        <f t="shared" si="1"/>
        <v>53.21</v>
      </c>
    </row>
    <row r="71" spans="1:20" x14ac:dyDescent="0.2">
      <c r="A71">
        <v>69</v>
      </c>
      <c r="B71">
        <v>1</v>
      </c>
      <c r="C71" t="s">
        <v>381</v>
      </c>
      <c r="D71" t="s">
        <v>382</v>
      </c>
      <c r="E71" t="s">
        <v>383</v>
      </c>
      <c r="F71" t="s">
        <v>384</v>
      </c>
      <c r="G71" t="s">
        <v>385</v>
      </c>
      <c r="H71" t="s">
        <v>25</v>
      </c>
      <c r="I71" t="s">
        <v>25</v>
      </c>
      <c r="J71" t="s">
        <v>26</v>
      </c>
      <c r="K71" t="s">
        <v>27</v>
      </c>
      <c r="L71" s="2">
        <v>400486.02470990678</v>
      </c>
      <c r="M71" s="3">
        <v>0.15803674249064201</v>
      </c>
      <c r="N71" s="3">
        <v>0</v>
      </c>
      <c r="O71" s="3">
        <v>0.1594658713324246</v>
      </c>
      <c r="P71" s="3">
        <v>0</v>
      </c>
      <c r="Q71" s="3">
        <v>0.68249738617693345</v>
      </c>
      <c r="R71" s="3">
        <v>0.1594658713324246</v>
      </c>
      <c r="S71" t="s">
        <v>36</v>
      </c>
      <c r="T71" s="4">
        <f t="shared" si="1"/>
        <v>47.7</v>
      </c>
    </row>
    <row r="72" spans="1:20" x14ac:dyDescent="0.2">
      <c r="A72">
        <v>70</v>
      </c>
      <c r="B72">
        <v>1</v>
      </c>
      <c r="C72" t="s">
        <v>386</v>
      </c>
      <c r="D72" t="s">
        <v>387</v>
      </c>
      <c r="E72" t="s">
        <v>360</v>
      </c>
      <c r="F72" t="s">
        <v>388</v>
      </c>
      <c r="G72" t="s">
        <v>389</v>
      </c>
      <c r="H72" t="s">
        <v>25</v>
      </c>
      <c r="I72" t="s">
        <v>25</v>
      </c>
      <c r="J72" t="s">
        <v>26</v>
      </c>
      <c r="K72" t="s">
        <v>27</v>
      </c>
      <c r="L72" s="2">
        <v>400486.02470990678</v>
      </c>
      <c r="M72" s="3">
        <v>0.48084212448110752</v>
      </c>
      <c r="N72" s="3">
        <v>0</v>
      </c>
      <c r="O72" s="3">
        <v>7.5927039226546561E-2</v>
      </c>
      <c r="P72" s="3">
        <v>0</v>
      </c>
      <c r="Q72" s="3">
        <v>0.44323083629234611</v>
      </c>
      <c r="R72" s="3">
        <v>7.5927039226546561E-2</v>
      </c>
      <c r="S72" t="s">
        <v>28</v>
      </c>
      <c r="T72" s="4">
        <f t="shared" si="1"/>
        <v>63.27</v>
      </c>
    </row>
    <row r="73" spans="1:20" x14ac:dyDescent="0.2">
      <c r="A73">
        <v>71</v>
      </c>
      <c r="B73">
        <v>1</v>
      </c>
      <c r="C73" t="s">
        <v>390</v>
      </c>
      <c r="D73" t="s">
        <v>391</v>
      </c>
      <c r="E73" t="s">
        <v>392</v>
      </c>
      <c r="F73" t="s">
        <v>393</v>
      </c>
      <c r="G73" t="s">
        <v>394</v>
      </c>
      <c r="H73" t="s">
        <v>25</v>
      </c>
      <c r="I73" t="s">
        <v>25</v>
      </c>
      <c r="J73" t="s">
        <v>34</v>
      </c>
      <c r="K73" t="s">
        <v>130</v>
      </c>
      <c r="L73" s="2">
        <v>400486.02470990678</v>
      </c>
      <c r="M73" s="3">
        <v>0</v>
      </c>
      <c r="N73" s="3">
        <v>0</v>
      </c>
      <c r="O73" s="3">
        <v>3.1926578210536301E-2</v>
      </c>
      <c r="P73" s="3">
        <v>0</v>
      </c>
      <c r="Q73" s="3">
        <v>0.96807342178946365</v>
      </c>
      <c r="R73" s="3">
        <v>3.1926578210536301E-2</v>
      </c>
      <c r="S73" t="s">
        <v>28</v>
      </c>
      <c r="T73" s="4">
        <f t="shared" si="1"/>
        <v>6.39</v>
      </c>
    </row>
    <row r="74" spans="1:20" x14ac:dyDescent="0.2">
      <c r="A74">
        <v>72</v>
      </c>
      <c r="B74">
        <v>1</v>
      </c>
      <c r="C74" t="s">
        <v>395</v>
      </c>
      <c r="D74" t="s">
        <v>396</v>
      </c>
      <c r="E74" t="s">
        <v>392</v>
      </c>
      <c r="F74" t="s">
        <v>397</v>
      </c>
      <c r="G74" t="s">
        <v>398</v>
      </c>
      <c r="H74" t="s">
        <v>25</v>
      </c>
      <c r="I74" t="s">
        <v>25</v>
      </c>
      <c r="J74" t="s">
        <v>92</v>
      </c>
      <c r="K74" t="s">
        <v>130</v>
      </c>
      <c r="L74" s="2">
        <v>400486.02470990678</v>
      </c>
      <c r="M74" s="3">
        <v>0</v>
      </c>
      <c r="N74" s="3">
        <v>0</v>
      </c>
      <c r="O74" s="3">
        <v>7.2455026633060554E-2</v>
      </c>
      <c r="P74" s="3">
        <v>0</v>
      </c>
      <c r="Q74" s="3">
        <v>0.92754497336693942</v>
      </c>
      <c r="R74" s="3">
        <v>7.2455026633060554E-2</v>
      </c>
      <c r="S74" t="s">
        <v>28</v>
      </c>
      <c r="T74" s="4">
        <f t="shared" si="1"/>
        <v>14.49</v>
      </c>
    </row>
    <row r="75" spans="1:20" x14ac:dyDescent="0.2">
      <c r="A75">
        <v>73</v>
      </c>
      <c r="B75">
        <v>2</v>
      </c>
      <c r="C75" t="s">
        <v>399</v>
      </c>
      <c r="D75" t="s">
        <v>400</v>
      </c>
      <c r="E75" t="s">
        <v>401</v>
      </c>
      <c r="F75" t="s">
        <v>402</v>
      </c>
      <c r="G75" t="s">
        <v>403</v>
      </c>
      <c r="H75" t="s">
        <v>25</v>
      </c>
      <c r="I75" t="s">
        <v>25</v>
      </c>
      <c r="J75" t="s">
        <v>26</v>
      </c>
      <c r="K75" t="s">
        <v>93</v>
      </c>
      <c r="L75" s="2">
        <v>800972.04941981356</v>
      </c>
      <c r="M75" s="3">
        <v>6.1143344448946021E-2</v>
      </c>
      <c r="N75" s="3">
        <v>0</v>
      </c>
      <c r="O75" s="3">
        <v>0.1003082678763571</v>
      </c>
      <c r="P75" s="3">
        <v>0</v>
      </c>
      <c r="Q75" s="3">
        <v>0.83854838767469686</v>
      </c>
      <c r="R75" s="3">
        <v>0.1003082678763571</v>
      </c>
      <c r="S75" t="s">
        <v>36</v>
      </c>
      <c r="T75" s="4">
        <f t="shared" si="1"/>
        <v>26.18</v>
      </c>
    </row>
    <row r="76" spans="1:20" x14ac:dyDescent="0.2">
      <c r="A76">
        <v>74</v>
      </c>
      <c r="B76">
        <v>1</v>
      </c>
      <c r="C76" t="s">
        <v>404</v>
      </c>
      <c r="D76" t="s">
        <v>405</v>
      </c>
      <c r="E76" t="s">
        <v>401</v>
      </c>
      <c r="F76" t="s">
        <v>406</v>
      </c>
      <c r="G76" t="s">
        <v>407</v>
      </c>
      <c r="H76" t="s">
        <v>25</v>
      </c>
      <c r="I76" t="s">
        <v>25</v>
      </c>
      <c r="J76" t="s">
        <v>34</v>
      </c>
      <c r="K76" t="s">
        <v>86</v>
      </c>
      <c r="L76" s="2">
        <v>400486.02470990678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t="s">
        <v>28</v>
      </c>
      <c r="T76" s="4">
        <f t="shared" si="1"/>
        <v>0</v>
      </c>
    </row>
    <row r="77" spans="1:20" x14ac:dyDescent="0.2">
      <c r="A77">
        <v>75</v>
      </c>
      <c r="B77">
        <v>1</v>
      </c>
      <c r="C77" t="s">
        <v>408</v>
      </c>
      <c r="D77" t="s">
        <v>409</v>
      </c>
      <c r="E77" t="s">
        <v>401</v>
      </c>
      <c r="F77" t="s">
        <v>410</v>
      </c>
      <c r="G77" t="s">
        <v>411</v>
      </c>
      <c r="H77" t="s">
        <v>25</v>
      </c>
      <c r="I77" t="s">
        <v>25</v>
      </c>
      <c r="J77" t="s">
        <v>34</v>
      </c>
      <c r="K77" t="s">
        <v>86</v>
      </c>
      <c r="L77" s="2">
        <v>400486.02470990678</v>
      </c>
      <c r="M77" s="3">
        <v>0</v>
      </c>
      <c r="N77" s="3">
        <v>0</v>
      </c>
      <c r="O77" s="3">
        <v>9.500113521236396E-2</v>
      </c>
      <c r="P77" s="3">
        <v>0</v>
      </c>
      <c r="Q77" s="3">
        <v>0.90499886478763603</v>
      </c>
      <c r="R77" s="3">
        <v>9.500113521236396E-2</v>
      </c>
      <c r="S77" t="s">
        <v>28</v>
      </c>
      <c r="T77" s="4">
        <f t="shared" si="1"/>
        <v>19</v>
      </c>
    </row>
    <row r="78" spans="1:20" x14ac:dyDescent="0.2">
      <c r="A78">
        <v>76</v>
      </c>
      <c r="B78">
        <v>1</v>
      </c>
      <c r="C78" t="s">
        <v>412</v>
      </c>
      <c r="D78" t="s">
        <v>413</v>
      </c>
      <c r="E78" t="s">
        <v>401</v>
      </c>
      <c r="F78" t="s">
        <v>414</v>
      </c>
      <c r="G78" t="s">
        <v>415</v>
      </c>
      <c r="H78" t="s">
        <v>25</v>
      </c>
      <c r="I78" t="s">
        <v>25</v>
      </c>
      <c r="J78" t="s">
        <v>92</v>
      </c>
      <c r="K78" t="s">
        <v>86</v>
      </c>
      <c r="L78" s="2">
        <v>400486.02470990678</v>
      </c>
      <c r="M78" s="3">
        <v>6.0545844810512171E-3</v>
      </c>
      <c r="N78" s="3">
        <v>0</v>
      </c>
      <c r="O78" s="3">
        <v>0.17065698175649149</v>
      </c>
      <c r="P78" s="3">
        <v>0.21849116910694091</v>
      </c>
      <c r="Q78" s="3">
        <v>0.60479726465551631</v>
      </c>
      <c r="R78" s="3">
        <v>0.38914815086343252</v>
      </c>
      <c r="S78" t="s">
        <v>69</v>
      </c>
      <c r="T78" s="4">
        <f t="shared" si="1"/>
        <v>100.28</v>
      </c>
    </row>
    <row r="79" spans="1:20" x14ac:dyDescent="0.2">
      <c r="A79">
        <v>77</v>
      </c>
      <c r="B79">
        <v>1</v>
      </c>
      <c r="C79" t="s">
        <v>416</v>
      </c>
      <c r="D79" t="s">
        <v>417</v>
      </c>
      <c r="E79" t="s">
        <v>418</v>
      </c>
      <c r="F79" t="s">
        <v>171</v>
      </c>
      <c r="G79" t="s">
        <v>419</v>
      </c>
      <c r="H79" t="s">
        <v>25</v>
      </c>
      <c r="I79" t="s">
        <v>25</v>
      </c>
      <c r="J79" t="s">
        <v>92</v>
      </c>
      <c r="K79" t="s">
        <v>86</v>
      </c>
      <c r="L79" s="2">
        <v>400486.02470990678</v>
      </c>
      <c r="M79" s="3">
        <v>1.088977519589074E-2</v>
      </c>
      <c r="N79" s="3">
        <v>0</v>
      </c>
      <c r="O79" s="3">
        <v>0.16063769752650109</v>
      </c>
      <c r="P79" s="3">
        <v>0</v>
      </c>
      <c r="Q79" s="3">
        <v>0.82847252727760812</v>
      </c>
      <c r="R79" s="3">
        <v>0.16063769752650109</v>
      </c>
      <c r="S79" t="s">
        <v>36</v>
      </c>
      <c r="T79" s="4">
        <f t="shared" si="1"/>
        <v>33.22</v>
      </c>
    </row>
    <row r="80" spans="1:20" x14ac:dyDescent="0.2">
      <c r="A80">
        <v>78</v>
      </c>
      <c r="B80">
        <v>1</v>
      </c>
      <c r="C80" t="s">
        <v>420</v>
      </c>
      <c r="D80" t="s">
        <v>421</v>
      </c>
      <c r="E80" t="s">
        <v>422</v>
      </c>
      <c r="F80" t="s">
        <v>423</v>
      </c>
      <c r="G80" t="s">
        <v>424</v>
      </c>
      <c r="H80" t="s">
        <v>25</v>
      </c>
      <c r="I80" t="s">
        <v>25</v>
      </c>
      <c r="J80" t="s">
        <v>34</v>
      </c>
      <c r="K80" t="s">
        <v>86</v>
      </c>
      <c r="L80" s="2">
        <v>400486.02470990678</v>
      </c>
      <c r="M80" s="3">
        <v>0.52486459916025041</v>
      </c>
      <c r="N80" s="3">
        <v>0</v>
      </c>
      <c r="O80" s="3">
        <v>5.7898726414232562E-2</v>
      </c>
      <c r="P80" s="3">
        <v>2.3249256599931442E-3</v>
      </c>
      <c r="Q80" s="3">
        <v>0.41491174876552389</v>
      </c>
      <c r="R80" s="3">
        <v>6.0223652074225698E-2</v>
      </c>
      <c r="S80" t="s">
        <v>28</v>
      </c>
      <c r="T80" s="4">
        <f t="shared" si="1"/>
        <v>64.760000000000005</v>
      </c>
    </row>
    <row r="81" spans="1:20" x14ac:dyDescent="0.2">
      <c r="A81">
        <v>79</v>
      </c>
      <c r="B81">
        <v>1</v>
      </c>
      <c r="C81" t="s">
        <v>425</v>
      </c>
      <c r="D81" t="s">
        <v>426</v>
      </c>
      <c r="E81" t="s">
        <v>422</v>
      </c>
      <c r="F81" t="s">
        <v>427</v>
      </c>
      <c r="G81" t="s">
        <v>428</v>
      </c>
      <c r="H81" t="s">
        <v>25</v>
      </c>
      <c r="I81" t="s">
        <v>25</v>
      </c>
      <c r="J81" t="s">
        <v>92</v>
      </c>
      <c r="K81" t="s">
        <v>86</v>
      </c>
      <c r="L81" s="2">
        <v>400486.02470990678</v>
      </c>
      <c r="M81" s="3">
        <v>0.59946645291805178</v>
      </c>
      <c r="N81" s="3">
        <v>0</v>
      </c>
      <c r="O81" s="3">
        <v>0.2187604713785159</v>
      </c>
      <c r="P81" s="3">
        <v>6.0221134121190754E-4</v>
      </c>
      <c r="Q81" s="3">
        <v>0.18117086436222041</v>
      </c>
      <c r="R81" s="3">
        <v>0.21936268271972781</v>
      </c>
      <c r="S81" t="s">
        <v>69</v>
      </c>
      <c r="T81" s="4">
        <f t="shared" si="1"/>
        <v>103.88</v>
      </c>
    </row>
    <row r="82" spans="1:20" x14ac:dyDescent="0.2">
      <c r="A82">
        <v>80</v>
      </c>
      <c r="B82">
        <v>1</v>
      </c>
      <c r="C82" t="s">
        <v>429</v>
      </c>
      <c r="D82" t="s">
        <v>430</v>
      </c>
      <c r="E82" t="s">
        <v>431</v>
      </c>
      <c r="F82" t="s">
        <v>432</v>
      </c>
      <c r="G82" t="s">
        <v>433</v>
      </c>
      <c r="H82" t="s">
        <v>25</v>
      </c>
      <c r="I82" t="s">
        <v>25</v>
      </c>
      <c r="J82" t="s">
        <v>34</v>
      </c>
      <c r="K82" t="s">
        <v>86</v>
      </c>
      <c r="L82" s="2">
        <v>400486.02470990678</v>
      </c>
      <c r="M82" s="3">
        <v>0</v>
      </c>
      <c r="N82" s="3">
        <v>0</v>
      </c>
      <c r="O82" s="3">
        <v>0.12678716330310999</v>
      </c>
      <c r="P82" s="3">
        <v>0</v>
      </c>
      <c r="Q82" s="3">
        <v>0.87321283669688998</v>
      </c>
      <c r="R82" s="3">
        <v>0.12678716330310999</v>
      </c>
      <c r="S82" t="s">
        <v>36</v>
      </c>
      <c r="T82" s="4">
        <f t="shared" si="1"/>
        <v>25.36</v>
      </c>
    </row>
    <row r="83" spans="1:20" x14ac:dyDescent="0.2">
      <c r="A83">
        <v>81</v>
      </c>
      <c r="B83">
        <v>1</v>
      </c>
      <c r="C83" t="s">
        <v>434</v>
      </c>
      <c r="D83" t="s">
        <v>435</v>
      </c>
      <c r="E83" t="s">
        <v>436</v>
      </c>
      <c r="F83" t="s">
        <v>437</v>
      </c>
      <c r="G83" t="s">
        <v>438</v>
      </c>
      <c r="H83" t="s">
        <v>25</v>
      </c>
      <c r="I83" t="s">
        <v>25</v>
      </c>
      <c r="J83" t="s">
        <v>92</v>
      </c>
      <c r="K83" t="s">
        <v>86</v>
      </c>
      <c r="L83" s="2">
        <v>400486.02470990678</v>
      </c>
      <c r="M83" s="3">
        <v>9.4984314267887227E-2</v>
      </c>
      <c r="N83" s="3">
        <v>0</v>
      </c>
      <c r="O83" s="3">
        <v>0.1162717177360572</v>
      </c>
      <c r="P83" s="3">
        <v>2.0445953914252529E-4</v>
      </c>
      <c r="Q83" s="3">
        <v>0.78853950845691301</v>
      </c>
      <c r="R83" s="3">
        <v>0.1164761772751997</v>
      </c>
      <c r="S83" t="s">
        <v>36</v>
      </c>
      <c r="T83" s="4">
        <f t="shared" si="1"/>
        <v>32.81</v>
      </c>
    </row>
    <row r="84" spans="1:20" x14ac:dyDescent="0.2">
      <c r="A84">
        <v>82</v>
      </c>
      <c r="B84">
        <v>1</v>
      </c>
      <c r="C84" t="s">
        <v>439</v>
      </c>
      <c r="D84" t="s">
        <v>440</v>
      </c>
      <c r="E84" t="s">
        <v>441</v>
      </c>
      <c r="F84" t="s">
        <v>442</v>
      </c>
      <c r="G84" t="s">
        <v>443</v>
      </c>
      <c r="H84" t="s">
        <v>25</v>
      </c>
      <c r="I84" t="s">
        <v>25</v>
      </c>
      <c r="J84" t="s">
        <v>92</v>
      </c>
      <c r="K84" t="s">
        <v>86</v>
      </c>
      <c r="L84" s="2">
        <v>400486.02470990678</v>
      </c>
      <c r="M84" s="3">
        <v>8.3878952170077875E-2</v>
      </c>
      <c r="N84" s="3">
        <v>0</v>
      </c>
      <c r="O84" s="3">
        <v>0.14289037594395521</v>
      </c>
      <c r="P84" s="3">
        <v>6.6925182186612772E-3</v>
      </c>
      <c r="Q84" s="3">
        <v>0.76653815366730571</v>
      </c>
      <c r="R84" s="3">
        <v>0.1495828941626165</v>
      </c>
      <c r="S84" t="s">
        <v>36</v>
      </c>
      <c r="T84" s="4">
        <f t="shared" si="1"/>
        <v>38.97</v>
      </c>
    </row>
    <row r="85" spans="1:20" x14ac:dyDescent="0.2">
      <c r="A85">
        <v>83</v>
      </c>
      <c r="B85">
        <v>1</v>
      </c>
      <c r="C85" t="s">
        <v>444</v>
      </c>
      <c r="D85" t="s">
        <v>445</v>
      </c>
      <c r="E85" t="s">
        <v>446</v>
      </c>
      <c r="F85" t="s">
        <v>447</v>
      </c>
      <c r="G85" t="s">
        <v>448</v>
      </c>
      <c r="H85" t="s">
        <v>25</v>
      </c>
      <c r="I85" t="s">
        <v>25</v>
      </c>
      <c r="J85" t="s">
        <v>26</v>
      </c>
      <c r="K85" t="s">
        <v>62</v>
      </c>
      <c r="L85" s="2">
        <v>400486.02470990678</v>
      </c>
      <c r="M85" s="3">
        <v>0</v>
      </c>
      <c r="N85" s="3">
        <v>0</v>
      </c>
      <c r="O85" s="3">
        <v>1.697435407687117E-2</v>
      </c>
      <c r="P85" s="3">
        <v>5.1217612680552978E-2</v>
      </c>
      <c r="Q85" s="3">
        <v>0.93180803324257588</v>
      </c>
      <c r="R85" s="3">
        <v>6.8191966757424144E-2</v>
      </c>
      <c r="S85" t="s">
        <v>28</v>
      </c>
      <c r="T85" s="4">
        <f t="shared" si="1"/>
        <v>18.760000000000002</v>
      </c>
    </row>
    <row r="86" spans="1:20" x14ac:dyDescent="0.2">
      <c r="A86">
        <v>84</v>
      </c>
      <c r="B86">
        <v>1</v>
      </c>
      <c r="C86" t="s">
        <v>449</v>
      </c>
      <c r="D86" t="s">
        <v>450</v>
      </c>
      <c r="E86" t="s">
        <v>451</v>
      </c>
      <c r="F86" t="s">
        <v>452</v>
      </c>
      <c r="G86" t="s">
        <v>453</v>
      </c>
      <c r="H86" t="s">
        <v>25</v>
      </c>
      <c r="I86" t="s">
        <v>25</v>
      </c>
      <c r="J86" t="s">
        <v>92</v>
      </c>
      <c r="K86" t="s">
        <v>86</v>
      </c>
      <c r="L86" s="2">
        <v>400486.02470990678</v>
      </c>
      <c r="M86" s="3">
        <v>0</v>
      </c>
      <c r="N86" s="3">
        <v>0</v>
      </c>
      <c r="O86" s="3">
        <v>0.14646202189991711</v>
      </c>
      <c r="P86" s="3">
        <v>5.382790371010153E-2</v>
      </c>
      <c r="Q86" s="3">
        <v>0.79971007438998143</v>
      </c>
      <c r="R86" s="3">
        <v>0.2002899256100186</v>
      </c>
      <c r="S86" t="s">
        <v>69</v>
      </c>
      <c r="T86" s="4">
        <f t="shared" si="1"/>
        <v>45.44</v>
      </c>
    </row>
    <row r="87" spans="1:20" x14ac:dyDescent="0.2">
      <c r="A87">
        <v>85</v>
      </c>
      <c r="B87">
        <v>1</v>
      </c>
      <c r="C87" t="s">
        <v>454</v>
      </c>
      <c r="D87" t="s">
        <v>455</v>
      </c>
      <c r="E87" t="s">
        <v>456</v>
      </c>
      <c r="F87" t="s">
        <v>457</v>
      </c>
      <c r="G87" t="s">
        <v>458</v>
      </c>
      <c r="H87" t="s">
        <v>25</v>
      </c>
      <c r="I87" t="s">
        <v>25</v>
      </c>
      <c r="J87" t="s">
        <v>26</v>
      </c>
      <c r="K87" t="s">
        <v>161</v>
      </c>
      <c r="L87" s="2">
        <v>400486.02470990678</v>
      </c>
      <c r="M87" s="3">
        <v>0.17487583880243079</v>
      </c>
      <c r="N87" s="3">
        <v>0</v>
      </c>
      <c r="O87" s="3">
        <v>0.10818414981138311</v>
      </c>
      <c r="P87" s="3">
        <v>6.8187453385134113E-4</v>
      </c>
      <c r="Q87" s="3">
        <v>0.71625813685233486</v>
      </c>
      <c r="R87" s="3">
        <v>0.1088660243452344</v>
      </c>
      <c r="S87" t="s">
        <v>36</v>
      </c>
      <c r="T87" s="4">
        <f t="shared" si="1"/>
        <v>39.33</v>
      </c>
    </row>
    <row r="88" spans="1:20" x14ac:dyDescent="0.2">
      <c r="A88">
        <v>86</v>
      </c>
      <c r="B88">
        <v>1</v>
      </c>
      <c r="C88" t="s">
        <v>459</v>
      </c>
      <c r="D88" t="s">
        <v>460</v>
      </c>
      <c r="E88" t="s">
        <v>456</v>
      </c>
      <c r="F88" t="s">
        <v>461</v>
      </c>
      <c r="G88" t="s">
        <v>462</v>
      </c>
      <c r="H88" t="s">
        <v>25</v>
      </c>
      <c r="I88" t="s">
        <v>25</v>
      </c>
      <c r="J88" t="s">
        <v>26</v>
      </c>
      <c r="K88" t="s">
        <v>230</v>
      </c>
      <c r="L88" s="2">
        <v>400486.02470990678</v>
      </c>
      <c r="M88" s="3">
        <v>0.44378660855871038</v>
      </c>
      <c r="N88" s="3">
        <v>0</v>
      </c>
      <c r="O88" s="3">
        <v>0.17471165388272081</v>
      </c>
      <c r="P88" s="3">
        <v>0.30346016418185762</v>
      </c>
      <c r="Q88" s="3">
        <v>7.8041573376711248E-2</v>
      </c>
      <c r="R88" s="3">
        <v>0.47817181806457842</v>
      </c>
      <c r="S88" t="s">
        <v>125</v>
      </c>
      <c r="T88" s="4">
        <f t="shared" si="1"/>
        <v>170.36</v>
      </c>
    </row>
    <row r="89" spans="1:20" x14ac:dyDescent="0.2">
      <c r="A89">
        <v>87</v>
      </c>
      <c r="B89">
        <v>1</v>
      </c>
      <c r="C89" t="s">
        <v>463</v>
      </c>
      <c r="D89" t="s">
        <v>464</v>
      </c>
      <c r="E89" t="s">
        <v>456</v>
      </c>
      <c r="F89" t="s">
        <v>465</v>
      </c>
      <c r="G89" t="s">
        <v>466</v>
      </c>
      <c r="H89" t="s">
        <v>25</v>
      </c>
      <c r="I89" t="s">
        <v>25</v>
      </c>
      <c r="J89" t="s">
        <v>34</v>
      </c>
      <c r="K89" t="s">
        <v>27</v>
      </c>
      <c r="L89" s="2">
        <v>400486.02470990678</v>
      </c>
      <c r="M89" s="3">
        <v>0.89032459633238992</v>
      </c>
      <c r="N89" s="3">
        <v>0</v>
      </c>
      <c r="O89" s="3">
        <v>0.1045988365230185</v>
      </c>
      <c r="P89" s="3">
        <v>5.0765671446299501E-3</v>
      </c>
      <c r="Q89" s="3">
        <v>0</v>
      </c>
      <c r="R89" s="3">
        <v>0.1096754036676485</v>
      </c>
      <c r="S89" t="s">
        <v>36</v>
      </c>
      <c r="T89" s="4">
        <f t="shared" si="1"/>
        <v>111.48</v>
      </c>
    </row>
    <row r="90" spans="1:20" x14ac:dyDescent="0.2">
      <c r="A90">
        <v>88</v>
      </c>
      <c r="B90">
        <v>1</v>
      </c>
      <c r="C90" t="s">
        <v>467</v>
      </c>
      <c r="D90" t="s">
        <v>468</v>
      </c>
      <c r="E90" t="s">
        <v>469</v>
      </c>
      <c r="F90" t="s">
        <v>470</v>
      </c>
      <c r="G90" t="s">
        <v>471</v>
      </c>
      <c r="H90" t="s">
        <v>25</v>
      </c>
      <c r="I90" t="s">
        <v>25</v>
      </c>
      <c r="J90" t="s">
        <v>92</v>
      </c>
      <c r="K90" t="s">
        <v>86</v>
      </c>
      <c r="L90" s="2">
        <v>400486.02470990678</v>
      </c>
      <c r="M90" s="3">
        <v>2.4909806588483609E-2</v>
      </c>
      <c r="N90" s="3">
        <v>0</v>
      </c>
      <c r="O90" s="3">
        <v>5.8557664424313101E-2</v>
      </c>
      <c r="P90" s="3">
        <v>1.6682749766540399E-3</v>
      </c>
      <c r="Q90" s="3">
        <v>0.91486425401054927</v>
      </c>
      <c r="R90" s="3">
        <v>6.0225939400967141E-2</v>
      </c>
      <c r="S90" t="s">
        <v>28</v>
      </c>
      <c r="T90" s="4">
        <f t="shared" si="1"/>
        <v>14.7</v>
      </c>
    </row>
    <row r="91" spans="1:20" x14ac:dyDescent="0.2">
      <c r="A91">
        <v>89</v>
      </c>
      <c r="B91">
        <v>1</v>
      </c>
      <c r="C91" t="s">
        <v>472</v>
      </c>
      <c r="D91" t="s">
        <v>473</v>
      </c>
      <c r="E91" t="s">
        <v>474</v>
      </c>
      <c r="F91" t="s">
        <v>475</v>
      </c>
      <c r="G91" t="s">
        <v>476</v>
      </c>
      <c r="H91" t="s">
        <v>25</v>
      </c>
      <c r="I91" t="s">
        <v>25</v>
      </c>
      <c r="J91" t="s">
        <v>26</v>
      </c>
      <c r="K91" t="s">
        <v>161</v>
      </c>
      <c r="L91" s="2">
        <v>400486.02470990678</v>
      </c>
      <c r="M91" s="3">
        <v>0</v>
      </c>
      <c r="N91" s="3">
        <v>0</v>
      </c>
      <c r="O91" s="3">
        <v>7.6986101570741261E-2</v>
      </c>
      <c r="P91" s="3">
        <v>0</v>
      </c>
      <c r="Q91" s="3">
        <v>0.92301389842925874</v>
      </c>
      <c r="R91" s="3">
        <v>7.6986101570741261E-2</v>
      </c>
      <c r="S91" t="s">
        <v>28</v>
      </c>
      <c r="T91" s="4">
        <f t="shared" si="1"/>
        <v>15.4</v>
      </c>
    </row>
    <row r="92" spans="1:20" x14ac:dyDescent="0.2">
      <c r="A92">
        <v>90</v>
      </c>
      <c r="B92">
        <v>1</v>
      </c>
      <c r="C92" t="s">
        <v>477</v>
      </c>
      <c r="D92" t="s">
        <v>478</v>
      </c>
      <c r="E92" t="s">
        <v>474</v>
      </c>
      <c r="F92" t="s">
        <v>479</v>
      </c>
      <c r="G92" t="s">
        <v>480</v>
      </c>
      <c r="H92" t="s">
        <v>25</v>
      </c>
      <c r="I92" t="s">
        <v>25</v>
      </c>
      <c r="J92" t="s">
        <v>26</v>
      </c>
      <c r="K92" t="s">
        <v>161</v>
      </c>
      <c r="L92" s="2">
        <v>400486.02470990678</v>
      </c>
      <c r="M92" s="3">
        <v>5.2253001222393923E-2</v>
      </c>
      <c r="N92" s="3">
        <v>0</v>
      </c>
      <c r="O92" s="3">
        <v>6.0371919161471922E-2</v>
      </c>
      <c r="P92" s="3">
        <v>5.957801572857282E-3</v>
      </c>
      <c r="Q92" s="3">
        <v>0.88141727804327685</v>
      </c>
      <c r="R92" s="3">
        <v>6.6329720734329203E-2</v>
      </c>
      <c r="S92" t="s">
        <v>28</v>
      </c>
      <c r="T92" s="4">
        <f t="shared" si="1"/>
        <v>19.09</v>
      </c>
    </row>
    <row r="93" spans="1:20" x14ac:dyDescent="0.2">
      <c r="A93">
        <v>91</v>
      </c>
      <c r="B93">
        <v>2</v>
      </c>
      <c r="C93" t="s">
        <v>481</v>
      </c>
      <c r="D93" t="s">
        <v>482</v>
      </c>
      <c r="E93" t="s">
        <v>474</v>
      </c>
      <c r="F93" t="s">
        <v>401</v>
      </c>
      <c r="G93" t="s">
        <v>483</v>
      </c>
      <c r="H93" t="s">
        <v>25</v>
      </c>
      <c r="I93" t="s">
        <v>25</v>
      </c>
      <c r="J93" t="s">
        <v>34</v>
      </c>
      <c r="K93" t="s">
        <v>161</v>
      </c>
      <c r="L93" s="2">
        <v>800972.04941981356</v>
      </c>
      <c r="M93" s="3">
        <v>0</v>
      </c>
      <c r="N93" s="3">
        <v>0</v>
      </c>
      <c r="O93" s="3">
        <v>8.5939299176319581E-2</v>
      </c>
      <c r="P93" s="3">
        <v>7.2010285449317438E-2</v>
      </c>
      <c r="Q93" s="3">
        <v>0.84205041537436287</v>
      </c>
      <c r="R93" s="3">
        <v>0.15794958462563699</v>
      </c>
      <c r="S93" t="s">
        <v>36</v>
      </c>
      <c r="T93" s="4">
        <f t="shared" si="1"/>
        <v>38.79</v>
      </c>
    </row>
    <row r="94" spans="1:20" x14ac:dyDescent="0.2">
      <c r="A94">
        <v>92</v>
      </c>
      <c r="B94">
        <v>2</v>
      </c>
      <c r="C94" t="s">
        <v>484</v>
      </c>
      <c r="D94" t="s">
        <v>485</v>
      </c>
      <c r="E94" t="s">
        <v>486</v>
      </c>
      <c r="F94" t="s">
        <v>487</v>
      </c>
      <c r="G94" t="s">
        <v>488</v>
      </c>
      <c r="H94" t="s">
        <v>25</v>
      </c>
      <c r="I94" t="s">
        <v>25</v>
      </c>
      <c r="J94" t="s">
        <v>26</v>
      </c>
      <c r="K94" t="s">
        <v>62</v>
      </c>
      <c r="L94" s="2">
        <v>800972.04941981356</v>
      </c>
      <c r="M94" s="3">
        <v>0</v>
      </c>
      <c r="N94" s="3">
        <v>0</v>
      </c>
      <c r="O94" s="3">
        <v>3.0432590488049159E-2</v>
      </c>
      <c r="P94" s="3">
        <v>0.74684085917993692</v>
      </c>
      <c r="Q94" s="3">
        <v>0.22272655033201391</v>
      </c>
      <c r="R94" s="3">
        <v>0.77727344966798606</v>
      </c>
      <c r="S94" t="s">
        <v>44</v>
      </c>
      <c r="T94" s="4">
        <f t="shared" si="1"/>
        <v>230.14</v>
      </c>
    </row>
    <row r="95" spans="1:20" x14ac:dyDescent="0.2">
      <c r="A95">
        <v>93</v>
      </c>
      <c r="B95">
        <v>1</v>
      </c>
      <c r="C95" t="s">
        <v>489</v>
      </c>
      <c r="D95" t="s">
        <v>490</v>
      </c>
      <c r="E95" t="s">
        <v>486</v>
      </c>
      <c r="F95" t="s">
        <v>491</v>
      </c>
      <c r="G95" t="s">
        <v>492</v>
      </c>
      <c r="H95" t="s">
        <v>25</v>
      </c>
      <c r="I95" t="s">
        <v>25</v>
      </c>
      <c r="J95" t="s">
        <v>26</v>
      </c>
      <c r="K95" t="s">
        <v>161</v>
      </c>
      <c r="L95" s="2">
        <v>400486.02470990678</v>
      </c>
      <c r="M95" s="3">
        <v>0</v>
      </c>
      <c r="N95" s="3">
        <v>0</v>
      </c>
      <c r="O95" s="3">
        <v>3.22373013102909E-2</v>
      </c>
      <c r="P95" s="3">
        <v>0.14865294431353021</v>
      </c>
      <c r="Q95" s="3">
        <v>0.81910975437617894</v>
      </c>
      <c r="R95" s="3">
        <v>0.18089024562382111</v>
      </c>
      <c r="S95" t="s">
        <v>36</v>
      </c>
      <c r="T95" s="4">
        <f t="shared" si="1"/>
        <v>51.04</v>
      </c>
    </row>
    <row r="96" spans="1:20" x14ac:dyDescent="0.2">
      <c r="A96">
        <v>94</v>
      </c>
      <c r="B96">
        <v>1</v>
      </c>
      <c r="C96" t="s">
        <v>493</v>
      </c>
      <c r="D96" t="s">
        <v>494</v>
      </c>
      <c r="E96" t="s">
        <v>486</v>
      </c>
      <c r="F96" t="s">
        <v>495</v>
      </c>
      <c r="G96" t="s">
        <v>496</v>
      </c>
      <c r="H96" t="s">
        <v>80</v>
      </c>
      <c r="I96" t="s">
        <v>80</v>
      </c>
      <c r="J96" t="s">
        <v>34</v>
      </c>
      <c r="K96" t="s">
        <v>277</v>
      </c>
      <c r="L96" s="2">
        <v>400486.02470990678</v>
      </c>
      <c r="M96" s="3">
        <v>0</v>
      </c>
      <c r="N96" s="3">
        <v>0</v>
      </c>
      <c r="O96" s="3">
        <v>0</v>
      </c>
      <c r="P96" s="3">
        <v>1.192775058990082E-2</v>
      </c>
      <c r="Q96" s="3">
        <v>0.9880722494100993</v>
      </c>
      <c r="R96" s="3">
        <v>1.192775058990082E-2</v>
      </c>
      <c r="S96" t="s">
        <v>28</v>
      </c>
      <c r="T96" s="4">
        <f t="shared" si="1"/>
        <v>3.58</v>
      </c>
    </row>
    <row r="97" spans="1:20" x14ac:dyDescent="0.2">
      <c r="A97">
        <v>95</v>
      </c>
      <c r="B97">
        <v>3</v>
      </c>
      <c r="C97" t="s">
        <v>497</v>
      </c>
      <c r="D97" t="s">
        <v>498</v>
      </c>
      <c r="E97" t="s">
        <v>499</v>
      </c>
      <c r="F97" t="s">
        <v>500</v>
      </c>
      <c r="G97" t="s">
        <v>501</v>
      </c>
      <c r="H97" t="s">
        <v>67</v>
      </c>
      <c r="I97" t="s">
        <v>67</v>
      </c>
      <c r="J97" t="s">
        <v>26</v>
      </c>
      <c r="K97" t="s">
        <v>27</v>
      </c>
      <c r="L97" s="2">
        <v>1201458.07412972</v>
      </c>
      <c r="M97" s="3">
        <v>0.44216459206886738</v>
      </c>
      <c r="N97" s="3">
        <v>0</v>
      </c>
      <c r="O97" s="3">
        <v>0.1705711415616448</v>
      </c>
      <c r="P97" s="3">
        <v>5.8989415703790307E-4</v>
      </c>
      <c r="Q97" s="3">
        <v>0.38667437221244988</v>
      </c>
      <c r="R97" s="3">
        <v>0.17116103571868271</v>
      </c>
      <c r="S97" t="s">
        <v>36</v>
      </c>
      <c r="T97" s="4">
        <f t="shared" si="1"/>
        <v>78.510000000000005</v>
      </c>
    </row>
    <row r="98" spans="1:20" x14ac:dyDescent="0.2">
      <c r="A98">
        <v>96</v>
      </c>
      <c r="B98">
        <v>1</v>
      </c>
      <c r="C98" t="s">
        <v>502</v>
      </c>
      <c r="D98" t="s">
        <v>503</v>
      </c>
      <c r="E98" t="s">
        <v>504</v>
      </c>
      <c r="F98" t="s">
        <v>505</v>
      </c>
      <c r="G98" t="s">
        <v>506</v>
      </c>
      <c r="H98" t="s">
        <v>25</v>
      </c>
      <c r="I98" t="s">
        <v>25</v>
      </c>
      <c r="J98" t="s">
        <v>92</v>
      </c>
      <c r="K98" t="s">
        <v>86</v>
      </c>
      <c r="L98" s="2">
        <v>400486.02470990678</v>
      </c>
      <c r="M98" s="3">
        <v>0.65773629428594893</v>
      </c>
      <c r="N98" s="3">
        <v>0</v>
      </c>
      <c r="O98" s="3">
        <v>0.10959199018307721</v>
      </c>
      <c r="P98" s="3">
        <v>1.14917129846096E-2</v>
      </c>
      <c r="Q98" s="3">
        <v>0.2211800025463643</v>
      </c>
      <c r="R98" s="3">
        <v>0.1210837031676868</v>
      </c>
      <c r="S98" t="s">
        <v>36</v>
      </c>
      <c r="T98" s="4">
        <f t="shared" si="1"/>
        <v>91.14</v>
      </c>
    </row>
    <row r="99" spans="1:20" x14ac:dyDescent="0.2">
      <c r="A99">
        <v>97</v>
      </c>
      <c r="B99">
        <v>1</v>
      </c>
      <c r="C99" t="s">
        <v>507</v>
      </c>
      <c r="D99" t="s">
        <v>508</v>
      </c>
      <c r="E99" t="s">
        <v>504</v>
      </c>
      <c r="F99" t="s">
        <v>509</v>
      </c>
      <c r="G99" t="s">
        <v>510</v>
      </c>
      <c r="H99" t="s">
        <v>25</v>
      </c>
      <c r="I99" t="s">
        <v>25</v>
      </c>
      <c r="J99" t="s">
        <v>34</v>
      </c>
      <c r="K99" t="s">
        <v>86</v>
      </c>
      <c r="L99" s="2">
        <v>400486.02470990678</v>
      </c>
      <c r="M99" s="3">
        <v>0.16388171995379791</v>
      </c>
      <c r="N99" s="3">
        <v>0</v>
      </c>
      <c r="O99" s="3">
        <v>3.7772398631346717E-2</v>
      </c>
      <c r="P99" s="3">
        <v>0</v>
      </c>
      <c r="Q99" s="3">
        <v>0.79834588141485541</v>
      </c>
      <c r="R99" s="3">
        <v>3.7772398631346717E-2</v>
      </c>
      <c r="S99" t="s">
        <v>28</v>
      </c>
      <c r="T99" s="4">
        <f t="shared" si="1"/>
        <v>23.94</v>
      </c>
    </row>
    <row r="100" spans="1:20" x14ac:dyDescent="0.2">
      <c r="A100">
        <v>98</v>
      </c>
      <c r="B100">
        <v>1</v>
      </c>
      <c r="C100" t="s">
        <v>511</v>
      </c>
      <c r="D100" t="s">
        <v>512</v>
      </c>
      <c r="E100" t="s">
        <v>513</v>
      </c>
      <c r="F100" t="s">
        <v>514</v>
      </c>
      <c r="G100" t="s">
        <v>515</v>
      </c>
      <c r="H100" t="s">
        <v>67</v>
      </c>
      <c r="I100" t="s">
        <v>67</v>
      </c>
      <c r="J100" t="s">
        <v>34</v>
      </c>
      <c r="K100" t="s">
        <v>210</v>
      </c>
      <c r="L100" s="2">
        <v>400486.02470990678</v>
      </c>
      <c r="M100" s="3">
        <v>0</v>
      </c>
      <c r="N100" s="3">
        <v>0</v>
      </c>
      <c r="O100" s="3">
        <v>0.10962940256746879</v>
      </c>
      <c r="P100" s="3">
        <v>7.435114593330623E-3</v>
      </c>
      <c r="Q100" s="3">
        <v>0.88293548283920065</v>
      </c>
      <c r="R100" s="3">
        <v>0.11706451716079939</v>
      </c>
      <c r="S100" t="s">
        <v>36</v>
      </c>
      <c r="T100" s="4">
        <f t="shared" si="1"/>
        <v>24.16</v>
      </c>
    </row>
    <row r="101" spans="1:20" x14ac:dyDescent="0.2">
      <c r="A101">
        <v>99</v>
      </c>
      <c r="B101">
        <v>1</v>
      </c>
      <c r="C101" t="s">
        <v>516</v>
      </c>
      <c r="D101" t="s">
        <v>517</v>
      </c>
      <c r="E101" t="s">
        <v>518</v>
      </c>
      <c r="F101" t="s">
        <v>519</v>
      </c>
      <c r="G101" t="s">
        <v>520</v>
      </c>
      <c r="H101" t="s">
        <v>25</v>
      </c>
      <c r="I101" t="s">
        <v>25</v>
      </c>
      <c r="J101" t="s">
        <v>34</v>
      </c>
      <c r="K101" t="s">
        <v>86</v>
      </c>
      <c r="L101" s="2">
        <v>400486.02470990678</v>
      </c>
      <c r="M101" s="3">
        <v>1.151616609167706E-2</v>
      </c>
      <c r="N101" s="3">
        <v>0</v>
      </c>
      <c r="O101" s="3">
        <v>0.1110555073645241</v>
      </c>
      <c r="P101" s="3">
        <v>0.20550157654604689</v>
      </c>
      <c r="Q101" s="3">
        <v>0.67192674999775193</v>
      </c>
      <c r="R101" s="3">
        <v>0.31655708391057102</v>
      </c>
      <c r="S101" t="s">
        <v>69</v>
      </c>
      <c r="T101" s="4">
        <f t="shared" si="1"/>
        <v>85.01</v>
      </c>
    </row>
    <row r="102" spans="1:20" x14ac:dyDescent="0.2">
      <c r="A102">
        <v>100</v>
      </c>
      <c r="B102">
        <v>1</v>
      </c>
      <c r="C102" t="s">
        <v>521</v>
      </c>
      <c r="D102" t="s">
        <v>522</v>
      </c>
      <c r="E102" t="s">
        <v>523</v>
      </c>
      <c r="F102" t="s">
        <v>524</v>
      </c>
      <c r="G102" t="s">
        <v>525</v>
      </c>
      <c r="H102" t="s">
        <v>25</v>
      </c>
      <c r="I102" t="s">
        <v>25</v>
      </c>
      <c r="J102" t="s">
        <v>92</v>
      </c>
      <c r="K102" t="s">
        <v>86</v>
      </c>
      <c r="L102" s="2">
        <v>400486.02470990678</v>
      </c>
      <c r="M102" s="3">
        <v>0.2482576998707485</v>
      </c>
      <c r="N102" s="3">
        <v>0</v>
      </c>
      <c r="O102" s="3">
        <v>0.1834438507220793</v>
      </c>
      <c r="P102" s="3">
        <v>1.304551582509699E-3</v>
      </c>
      <c r="Q102" s="3">
        <v>0.56699389782466247</v>
      </c>
      <c r="R102" s="3">
        <v>0.184748402304589</v>
      </c>
      <c r="S102" t="s">
        <v>36</v>
      </c>
      <c r="T102" s="4">
        <f t="shared" si="1"/>
        <v>61.91</v>
      </c>
    </row>
    <row r="103" spans="1:20" x14ac:dyDescent="0.2">
      <c r="A103">
        <v>101</v>
      </c>
      <c r="B103">
        <v>1</v>
      </c>
      <c r="C103" t="s">
        <v>526</v>
      </c>
      <c r="D103" t="s">
        <v>527</v>
      </c>
      <c r="E103" t="s">
        <v>523</v>
      </c>
      <c r="F103" t="s">
        <v>528</v>
      </c>
      <c r="G103" t="s">
        <v>529</v>
      </c>
      <c r="H103" t="s">
        <v>25</v>
      </c>
      <c r="I103" t="s">
        <v>25</v>
      </c>
      <c r="J103" t="s">
        <v>34</v>
      </c>
      <c r="K103" t="s">
        <v>86</v>
      </c>
      <c r="L103" s="2">
        <v>400486.02470990678</v>
      </c>
      <c r="M103" s="3">
        <v>0.45461371933491551</v>
      </c>
      <c r="N103" s="3">
        <v>0</v>
      </c>
      <c r="O103" s="3">
        <v>0.16539949692727071</v>
      </c>
      <c r="P103" s="3">
        <v>3.4855721478124651E-3</v>
      </c>
      <c r="Q103" s="3">
        <v>0.37650121159000138</v>
      </c>
      <c r="R103" s="3">
        <v>0.16888506907508319</v>
      </c>
      <c r="S103" t="s">
        <v>36</v>
      </c>
      <c r="T103" s="4">
        <f t="shared" si="1"/>
        <v>79.59</v>
      </c>
    </row>
    <row r="104" spans="1:20" x14ac:dyDescent="0.2">
      <c r="A104">
        <v>102</v>
      </c>
      <c r="B104">
        <v>1</v>
      </c>
      <c r="C104" t="s">
        <v>530</v>
      </c>
      <c r="D104" t="s">
        <v>531</v>
      </c>
      <c r="E104" t="s">
        <v>532</v>
      </c>
      <c r="F104" t="s">
        <v>533</v>
      </c>
      <c r="G104" t="s">
        <v>534</v>
      </c>
      <c r="H104" t="s">
        <v>25</v>
      </c>
      <c r="I104" t="s">
        <v>25</v>
      </c>
      <c r="J104" t="s">
        <v>34</v>
      </c>
      <c r="K104" t="s">
        <v>86</v>
      </c>
      <c r="L104" s="2">
        <v>400486.02470990678</v>
      </c>
      <c r="M104" s="3">
        <v>0.20621013608686911</v>
      </c>
      <c r="N104" s="3">
        <v>0</v>
      </c>
      <c r="O104" s="3">
        <v>0</v>
      </c>
      <c r="P104" s="3">
        <v>0</v>
      </c>
      <c r="Q104" s="3">
        <v>0.79378986391313089</v>
      </c>
      <c r="R104" s="3">
        <v>0</v>
      </c>
      <c r="S104" t="s">
        <v>28</v>
      </c>
      <c r="T104" s="4">
        <f t="shared" si="1"/>
        <v>20.62</v>
      </c>
    </row>
    <row r="105" spans="1:20" x14ac:dyDescent="0.2">
      <c r="A105">
        <v>103</v>
      </c>
      <c r="B105">
        <v>1</v>
      </c>
      <c r="C105" t="s">
        <v>535</v>
      </c>
      <c r="D105" t="s">
        <v>536</v>
      </c>
      <c r="E105" t="s">
        <v>537</v>
      </c>
      <c r="F105" t="s">
        <v>538</v>
      </c>
      <c r="G105" t="s">
        <v>539</v>
      </c>
      <c r="H105" t="s">
        <v>25</v>
      </c>
      <c r="I105" t="s">
        <v>25</v>
      </c>
      <c r="J105" t="s">
        <v>92</v>
      </c>
      <c r="K105" t="s">
        <v>540</v>
      </c>
      <c r="L105" s="2">
        <v>400486.02470990678</v>
      </c>
      <c r="M105" s="3">
        <v>0</v>
      </c>
      <c r="N105" s="3">
        <v>0</v>
      </c>
      <c r="O105" s="3">
        <v>9.3864112116464213E-2</v>
      </c>
      <c r="P105" s="3">
        <v>0</v>
      </c>
      <c r="Q105" s="3">
        <v>0.90613588788353594</v>
      </c>
      <c r="R105" s="3">
        <v>9.3864112116464213E-2</v>
      </c>
      <c r="S105" t="s">
        <v>28</v>
      </c>
      <c r="T105" s="4">
        <f t="shared" si="1"/>
        <v>18.77</v>
      </c>
    </row>
    <row r="106" spans="1:20" x14ac:dyDescent="0.2">
      <c r="A106">
        <v>104</v>
      </c>
      <c r="B106">
        <v>1</v>
      </c>
      <c r="C106" t="s">
        <v>541</v>
      </c>
      <c r="D106" t="s">
        <v>542</v>
      </c>
      <c r="E106" t="s">
        <v>537</v>
      </c>
      <c r="F106" t="s">
        <v>543</v>
      </c>
      <c r="G106" t="s">
        <v>544</v>
      </c>
      <c r="H106" t="s">
        <v>25</v>
      </c>
      <c r="I106" t="s">
        <v>25</v>
      </c>
      <c r="J106" t="s">
        <v>92</v>
      </c>
      <c r="K106" t="s">
        <v>540</v>
      </c>
      <c r="L106" s="2">
        <v>400486.02470990678</v>
      </c>
      <c r="M106" s="3">
        <v>3.9887526481169867E-2</v>
      </c>
      <c r="N106" s="3">
        <v>0</v>
      </c>
      <c r="O106" s="3">
        <v>8.0945613562823052E-2</v>
      </c>
      <c r="P106" s="3">
        <v>1.276135728670999E-3</v>
      </c>
      <c r="Q106" s="3">
        <v>0.87789072422733616</v>
      </c>
      <c r="R106" s="3">
        <v>8.2221749291494048E-2</v>
      </c>
      <c r="S106" t="s">
        <v>28</v>
      </c>
      <c r="T106" s="4">
        <f t="shared" si="1"/>
        <v>20.56</v>
      </c>
    </row>
    <row r="107" spans="1:20" x14ac:dyDescent="0.2">
      <c r="A107">
        <v>105</v>
      </c>
      <c r="B107">
        <v>1</v>
      </c>
      <c r="C107" t="s">
        <v>545</v>
      </c>
      <c r="D107" t="s">
        <v>546</v>
      </c>
      <c r="E107" t="s">
        <v>547</v>
      </c>
      <c r="F107" t="s">
        <v>186</v>
      </c>
      <c r="G107" t="s">
        <v>160</v>
      </c>
      <c r="H107" t="s">
        <v>25</v>
      </c>
      <c r="I107" t="s">
        <v>25</v>
      </c>
      <c r="J107" t="s">
        <v>92</v>
      </c>
      <c r="K107" t="s">
        <v>86</v>
      </c>
      <c r="L107" s="2">
        <v>400486.02470990678</v>
      </c>
      <c r="M107" s="3">
        <v>0.1154536754606762</v>
      </c>
      <c r="N107" s="3">
        <v>0</v>
      </c>
      <c r="O107" s="3">
        <v>0.2324979554605455</v>
      </c>
      <c r="P107" s="3">
        <v>0.13982753416414009</v>
      </c>
      <c r="Q107" s="3">
        <v>0.51222083491463821</v>
      </c>
      <c r="R107" s="3">
        <v>0.37232548962468559</v>
      </c>
      <c r="S107" t="s">
        <v>69</v>
      </c>
      <c r="T107" s="4">
        <f t="shared" si="1"/>
        <v>99.99</v>
      </c>
    </row>
    <row r="108" spans="1:20" x14ac:dyDescent="0.2">
      <c r="A108">
        <v>106</v>
      </c>
      <c r="B108">
        <v>1</v>
      </c>
      <c r="C108" t="s">
        <v>548</v>
      </c>
      <c r="D108" t="s">
        <v>549</v>
      </c>
      <c r="E108" t="s">
        <v>547</v>
      </c>
      <c r="F108" t="s">
        <v>550</v>
      </c>
      <c r="G108" t="s">
        <v>551</v>
      </c>
      <c r="H108" t="s">
        <v>25</v>
      </c>
      <c r="I108" t="s">
        <v>25</v>
      </c>
      <c r="J108" t="s">
        <v>26</v>
      </c>
      <c r="K108" t="s">
        <v>86</v>
      </c>
      <c r="L108" s="2">
        <v>400486.02470990678</v>
      </c>
      <c r="M108" s="3">
        <v>5.5648758548417408E-2</v>
      </c>
      <c r="N108" s="3">
        <v>0</v>
      </c>
      <c r="O108" s="3">
        <v>0.2901035277495379</v>
      </c>
      <c r="P108" s="3">
        <v>0.40692630513915912</v>
      </c>
      <c r="Q108" s="3">
        <v>0.24732140856288559</v>
      </c>
      <c r="R108" s="3">
        <v>0.69702983288869702</v>
      </c>
      <c r="S108" t="s">
        <v>44</v>
      </c>
      <c r="T108" s="4">
        <f t="shared" si="1"/>
        <v>185.66</v>
      </c>
    </row>
    <row r="109" spans="1:20" x14ac:dyDescent="0.2">
      <c r="A109">
        <v>107</v>
      </c>
      <c r="B109">
        <v>1</v>
      </c>
      <c r="C109" t="s">
        <v>552</v>
      </c>
      <c r="D109" t="s">
        <v>553</v>
      </c>
      <c r="E109" t="s">
        <v>547</v>
      </c>
      <c r="F109" t="s">
        <v>554</v>
      </c>
      <c r="G109" t="s">
        <v>555</v>
      </c>
      <c r="H109" t="s">
        <v>25</v>
      </c>
      <c r="I109" t="s">
        <v>25</v>
      </c>
      <c r="J109" t="s">
        <v>92</v>
      </c>
      <c r="K109" t="s">
        <v>86</v>
      </c>
      <c r="L109" s="2">
        <v>400486.02470990678</v>
      </c>
      <c r="M109" s="3">
        <v>2.0125145075896252E-2</v>
      </c>
      <c r="N109" s="3">
        <v>0</v>
      </c>
      <c r="O109" s="3">
        <v>0.34889153420361818</v>
      </c>
      <c r="P109" s="3">
        <v>0.49243999323324977</v>
      </c>
      <c r="Q109" s="3">
        <v>0.13854332748723569</v>
      </c>
      <c r="R109" s="3">
        <v>0.84133152743686801</v>
      </c>
      <c r="S109" t="s">
        <v>44</v>
      </c>
      <c r="T109" s="4">
        <f t="shared" si="1"/>
        <v>219.52</v>
      </c>
    </row>
    <row r="110" spans="1:20" x14ac:dyDescent="0.2">
      <c r="A110">
        <v>108</v>
      </c>
      <c r="B110">
        <v>1</v>
      </c>
      <c r="C110" t="s">
        <v>556</v>
      </c>
      <c r="D110" t="s">
        <v>557</v>
      </c>
      <c r="E110" t="s">
        <v>558</v>
      </c>
      <c r="F110" t="s">
        <v>559</v>
      </c>
      <c r="G110" t="s">
        <v>560</v>
      </c>
      <c r="H110" t="s">
        <v>25</v>
      </c>
      <c r="I110" t="s">
        <v>25</v>
      </c>
      <c r="J110" t="s">
        <v>34</v>
      </c>
      <c r="K110" t="s">
        <v>561</v>
      </c>
      <c r="L110" s="2">
        <v>400486.02470990678</v>
      </c>
      <c r="M110" s="3">
        <v>0.94673302837487394</v>
      </c>
      <c r="N110" s="3">
        <v>0</v>
      </c>
      <c r="O110" s="3">
        <v>3.8923200022240798E-2</v>
      </c>
      <c r="P110" s="3">
        <v>1.154806045936086E-4</v>
      </c>
      <c r="Q110" s="3">
        <v>1.4228290998291589E-2</v>
      </c>
      <c r="R110" s="3">
        <v>3.9038680626834403E-2</v>
      </c>
      <c r="S110" t="s">
        <v>28</v>
      </c>
      <c r="T110" s="4">
        <f t="shared" si="1"/>
        <v>102.49</v>
      </c>
    </row>
    <row r="111" spans="1:20" x14ac:dyDescent="0.2">
      <c r="A111">
        <v>109</v>
      </c>
      <c r="B111">
        <v>1</v>
      </c>
      <c r="C111" t="s">
        <v>562</v>
      </c>
      <c r="D111" t="s">
        <v>563</v>
      </c>
      <c r="E111" t="s">
        <v>564</v>
      </c>
      <c r="F111" t="s">
        <v>565</v>
      </c>
      <c r="G111" t="s">
        <v>566</v>
      </c>
      <c r="H111" t="s">
        <v>25</v>
      </c>
      <c r="I111" t="s">
        <v>25</v>
      </c>
      <c r="J111" t="s">
        <v>92</v>
      </c>
      <c r="K111" t="s">
        <v>567</v>
      </c>
      <c r="L111" s="2">
        <v>400486.02470990678</v>
      </c>
      <c r="M111" s="3">
        <v>3.8633063853094601E-3</v>
      </c>
      <c r="N111" s="3">
        <v>0</v>
      </c>
      <c r="O111" s="3">
        <v>7.8601258341054789E-2</v>
      </c>
      <c r="P111" s="3">
        <v>1.635165350322997E-3</v>
      </c>
      <c r="Q111" s="3">
        <v>0.91590026992331264</v>
      </c>
      <c r="R111" s="3">
        <v>8.023642369137779E-2</v>
      </c>
      <c r="S111" t="s">
        <v>28</v>
      </c>
      <c r="T111" s="4">
        <f t="shared" si="1"/>
        <v>16.600000000000001</v>
      </c>
    </row>
    <row r="112" spans="1:20" x14ac:dyDescent="0.2">
      <c r="A112">
        <v>110</v>
      </c>
      <c r="B112">
        <v>2</v>
      </c>
      <c r="C112" t="s">
        <v>568</v>
      </c>
      <c r="D112" t="s">
        <v>569</v>
      </c>
      <c r="E112" t="s">
        <v>570</v>
      </c>
      <c r="F112" t="s">
        <v>571</v>
      </c>
      <c r="G112" t="s">
        <v>572</v>
      </c>
      <c r="H112" t="s">
        <v>25</v>
      </c>
      <c r="I112" t="s">
        <v>25</v>
      </c>
      <c r="J112" t="s">
        <v>26</v>
      </c>
      <c r="K112" t="s">
        <v>112</v>
      </c>
      <c r="L112" s="2">
        <v>800972.04941981356</v>
      </c>
      <c r="M112" s="3">
        <v>0.39815884163333981</v>
      </c>
      <c r="N112" s="3">
        <v>0</v>
      </c>
      <c r="O112" s="3">
        <v>0.13407874990820229</v>
      </c>
      <c r="P112" s="3">
        <v>0</v>
      </c>
      <c r="Q112" s="3">
        <v>0.46776240845845801</v>
      </c>
      <c r="R112" s="3">
        <v>0.13407874990820229</v>
      </c>
      <c r="S112" t="s">
        <v>36</v>
      </c>
      <c r="T112" s="4">
        <f t="shared" si="1"/>
        <v>66.63</v>
      </c>
    </row>
    <row r="113" spans="1:20" x14ac:dyDescent="0.2">
      <c r="A113">
        <v>111</v>
      </c>
      <c r="B113">
        <v>1</v>
      </c>
      <c r="C113" t="s">
        <v>573</v>
      </c>
      <c r="D113" t="s">
        <v>574</v>
      </c>
      <c r="E113" t="s">
        <v>351</v>
      </c>
      <c r="F113" t="s">
        <v>575</v>
      </c>
      <c r="G113" t="s">
        <v>576</v>
      </c>
      <c r="H113" t="s">
        <v>25</v>
      </c>
      <c r="I113" t="s">
        <v>25</v>
      </c>
      <c r="J113" t="s">
        <v>34</v>
      </c>
      <c r="K113" t="s">
        <v>86</v>
      </c>
      <c r="L113" s="2">
        <v>400486.02470986679</v>
      </c>
      <c r="M113" s="3">
        <v>1.144704182709776E-2</v>
      </c>
      <c r="N113" s="3">
        <v>0</v>
      </c>
      <c r="O113" s="3">
        <v>0.225272240314111</v>
      </c>
      <c r="P113" s="3">
        <v>0</v>
      </c>
      <c r="Q113" s="3">
        <v>0.76328071785879126</v>
      </c>
      <c r="R113" s="3">
        <v>0.225272240314111</v>
      </c>
      <c r="S113" t="s">
        <v>69</v>
      </c>
      <c r="T113" s="4">
        <f t="shared" si="1"/>
        <v>46.2</v>
      </c>
    </row>
    <row r="114" spans="1:20" x14ac:dyDescent="0.2">
      <c r="A114">
        <v>112</v>
      </c>
      <c r="B114">
        <v>1</v>
      </c>
      <c r="C114" t="s">
        <v>577</v>
      </c>
      <c r="D114" t="s">
        <v>578</v>
      </c>
      <c r="E114" t="s">
        <v>579</v>
      </c>
      <c r="F114" t="s">
        <v>171</v>
      </c>
      <c r="G114" t="s">
        <v>172</v>
      </c>
      <c r="H114" t="s">
        <v>80</v>
      </c>
      <c r="I114" t="s">
        <v>80</v>
      </c>
      <c r="J114" t="s">
        <v>34</v>
      </c>
      <c r="K114" t="s">
        <v>283</v>
      </c>
      <c r="L114" s="2">
        <v>400486.02470990678</v>
      </c>
      <c r="M114" s="3">
        <v>0.51631084170630659</v>
      </c>
      <c r="N114" s="3">
        <v>0</v>
      </c>
      <c r="O114" s="3">
        <v>0.18583367222022709</v>
      </c>
      <c r="P114" s="3">
        <v>0.1323476161938113</v>
      </c>
      <c r="Q114" s="3">
        <v>0.16550786987965491</v>
      </c>
      <c r="R114" s="3">
        <v>0.31818128841403842</v>
      </c>
      <c r="S114" t="s">
        <v>69</v>
      </c>
      <c r="T114" s="4">
        <f t="shared" si="1"/>
        <v>128.5</v>
      </c>
    </row>
    <row r="115" spans="1:20" x14ac:dyDescent="0.2">
      <c r="A115">
        <v>113</v>
      </c>
      <c r="B115">
        <v>1</v>
      </c>
      <c r="C115" t="s">
        <v>580</v>
      </c>
      <c r="D115" t="s">
        <v>581</v>
      </c>
      <c r="E115" t="s">
        <v>582</v>
      </c>
      <c r="F115" t="s">
        <v>583</v>
      </c>
      <c r="G115" t="s">
        <v>584</v>
      </c>
      <c r="H115" t="s">
        <v>80</v>
      </c>
      <c r="I115" t="s">
        <v>80</v>
      </c>
      <c r="J115" t="s">
        <v>26</v>
      </c>
      <c r="K115" t="s">
        <v>585</v>
      </c>
      <c r="L115" s="2">
        <v>400486.02470990678</v>
      </c>
      <c r="M115" s="3">
        <v>0.93509638958398344</v>
      </c>
      <c r="N115" s="3">
        <v>0</v>
      </c>
      <c r="O115" s="3">
        <v>6.4637954195674932E-2</v>
      </c>
      <c r="P115" s="3">
        <v>0</v>
      </c>
      <c r="Q115" s="3">
        <v>2.6565622034158132E-4</v>
      </c>
      <c r="R115" s="3">
        <v>6.4637954195674932E-2</v>
      </c>
      <c r="S115" t="s">
        <v>28</v>
      </c>
      <c r="T115" s="4">
        <f t="shared" si="1"/>
        <v>106.44</v>
      </c>
    </row>
    <row r="116" spans="1:20" x14ac:dyDescent="0.2">
      <c r="A116">
        <v>114</v>
      </c>
      <c r="B116">
        <v>1</v>
      </c>
      <c r="C116" t="s">
        <v>586</v>
      </c>
      <c r="D116" t="s">
        <v>587</v>
      </c>
      <c r="E116" t="s">
        <v>186</v>
      </c>
      <c r="F116" t="s">
        <v>588</v>
      </c>
      <c r="G116" t="s">
        <v>589</v>
      </c>
      <c r="H116" t="s">
        <v>67</v>
      </c>
      <c r="I116" t="s">
        <v>67</v>
      </c>
      <c r="J116" t="s">
        <v>92</v>
      </c>
      <c r="K116" t="s">
        <v>561</v>
      </c>
      <c r="L116" s="2">
        <v>400486.02470990678</v>
      </c>
      <c r="M116" s="3">
        <v>0.99999999999999989</v>
      </c>
      <c r="N116" s="3">
        <v>0</v>
      </c>
      <c r="O116" s="3">
        <v>0</v>
      </c>
      <c r="P116" s="3">
        <v>0</v>
      </c>
      <c r="Q116" s="3">
        <v>1.110223024625157E-16</v>
      </c>
      <c r="R116" s="3">
        <v>0</v>
      </c>
      <c r="S116" t="s">
        <v>28</v>
      </c>
      <c r="T116" s="4">
        <f t="shared" si="1"/>
        <v>100</v>
      </c>
    </row>
    <row r="117" spans="1:20" x14ac:dyDescent="0.2">
      <c r="A117">
        <v>115</v>
      </c>
      <c r="B117">
        <v>1</v>
      </c>
      <c r="C117" t="s">
        <v>590</v>
      </c>
      <c r="D117" t="s">
        <v>591</v>
      </c>
      <c r="E117" t="s">
        <v>592</v>
      </c>
      <c r="F117" t="s">
        <v>593</v>
      </c>
      <c r="G117" t="s">
        <v>594</v>
      </c>
      <c r="H117" t="s">
        <v>25</v>
      </c>
      <c r="I117" t="s">
        <v>25</v>
      </c>
      <c r="J117" t="s">
        <v>34</v>
      </c>
      <c r="K117" t="s">
        <v>249</v>
      </c>
      <c r="L117" s="2">
        <v>400486.02470986679</v>
      </c>
      <c r="M117" s="3">
        <v>5.0922052226216423E-2</v>
      </c>
      <c r="N117" s="3">
        <v>0</v>
      </c>
      <c r="O117" s="3">
        <v>8.6809072021590328E-2</v>
      </c>
      <c r="P117" s="3">
        <v>3.0889226708300302E-4</v>
      </c>
      <c r="Q117" s="3">
        <v>0.86195998348511027</v>
      </c>
      <c r="R117" s="3">
        <v>8.7117964288673327E-2</v>
      </c>
      <c r="S117" t="s">
        <v>28</v>
      </c>
      <c r="T117" s="4">
        <f t="shared" si="1"/>
        <v>22.55</v>
      </c>
    </row>
    <row r="118" spans="1:20" x14ac:dyDescent="0.2">
      <c r="A118">
        <v>116</v>
      </c>
      <c r="B118">
        <v>1</v>
      </c>
      <c r="C118" t="s">
        <v>595</v>
      </c>
      <c r="D118" t="s">
        <v>596</v>
      </c>
      <c r="E118" t="s">
        <v>597</v>
      </c>
      <c r="F118" t="s">
        <v>598</v>
      </c>
      <c r="G118" t="s">
        <v>599</v>
      </c>
      <c r="H118" t="s">
        <v>67</v>
      </c>
      <c r="I118" t="s">
        <v>67</v>
      </c>
      <c r="J118" t="s">
        <v>34</v>
      </c>
      <c r="K118" t="s">
        <v>204</v>
      </c>
      <c r="L118" s="2">
        <v>400486.02470990678</v>
      </c>
      <c r="M118" s="3">
        <v>0.24426791675801859</v>
      </c>
      <c r="N118" s="3">
        <v>0</v>
      </c>
      <c r="O118" s="3">
        <v>0.1023736222103917</v>
      </c>
      <c r="P118" s="3">
        <v>1.4157740550695319E-3</v>
      </c>
      <c r="Q118" s="3">
        <v>0.65194268697652014</v>
      </c>
      <c r="R118" s="3">
        <v>0.1037893962654612</v>
      </c>
      <c r="S118" t="s">
        <v>36</v>
      </c>
      <c r="T118" s="4">
        <f t="shared" si="1"/>
        <v>45.33</v>
      </c>
    </row>
    <row r="119" spans="1:20" x14ac:dyDescent="0.2">
      <c r="A119">
        <v>118</v>
      </c>
      <c r="B119">
        <v>1</v>
      </c>
      <c r="C119" t="s">
        <v>600</v>
      </c>
      <c r="D119" t="s">
        <v>601</v>
      </c>
      <c r="E119" t="s">
        <v>602</v>
      </c>
      <c r="F119" t="s">
        <v>603</v>
      </c>
      <c r="G119" t="s">
        <v>604</v>
      </c>
      <c r="H119" t="s">
        <v>67</v>
      </c>
      <c r="I119" t="s">
        <v>67</v>
      </c>
      <c r="J119" t="s">
        <v>26</v>
      </c>
      <c r="K119" t="s">
        <v>56</v>
      </c>
      <c r="L119" s="2">
        <v>400486.02470990678</v>
      </c>
      <c r="M119" s="3">
        <v>0.41168751681519172</v>
      </c>
      <c r="N119" s="3">
        <v>0</v>
      </c>
      <c r="O119" s="3">
        <v>8.1763402984116648E-2</v>
      </c>
      <c r="P119" s="3">
        <v>5.6011124822827427E-2</v>
      </c>
      <c r="Q119" s="3">
        <v>0.45053795537786417</v>
      </c>
      <c r="R119" s="3">
        <v>0.1377745278069441</v>
      </c>
      <c r="S119" t="s">
        <v>36</v>
      </c>
      <c r="T119" s="4">
        <f t="shared" si="1"/>
        <v>74.319999999999993</v>
      </c>
    </row>
    <row r="120" spans="1:20" x14ac:dyDescent="0.2">
      <c r="A120">
        <v>119</v>
      </c>
      <c r="B120">
        <v>1</v>
      </c>
      <c r="C120" t="s">
        <v>605</v>
      </c>
      <c r="D120" t="s">
        <v>606</v>
      </c>
      <c r="E120" t="s">
        <v>607</v>
      </c>
      <c r="F120" t="s">
        <v>608</v>
      </c>
      <c r="G120" t="s">
        <v>609</v>
      </c>
      <c r="H120" t="s">
        <v>25</v>
      </c>
      <c r="I120" t="s">
        <v>25</v>
      </c>
      <c r="J120" t="s">
        <v>34</v>
      </c>
      <c r="K120" t="s">
        <v>149</v>
      </c>
      <c r="L120" s="2">
        <v>400486.02470990678</v>
      </c>
      <c r="M120" s="3">
        <v>0.1235151522624859</v>
      </c>
      <c r="N120" s="3">
        <v>0</v>
      </c>
      <c r="O120" s="3">
        <v>9.3525167728069278E-2</v>
      </c>
      <c r="P120" s="3">
        <v>1.568876381853173E-2</v>
      </c>
      <c r="Q120" s="3">
        <v>0.76727091619091303</v>
      </c>
      <c r="R120" s="3">
        <v>0.109213931546601</v>
      </c>
      <c r="S120" t="s">
        <v>36</v>
      </c>
      <c r="T120" s="4">
        <f t="shared" si="1"/>
        <v>35.76</v>
      </c>
    </row>
    <row r="121" spans="1:20" x14ac:dyDescent="0.2">
      <c r="A121">
        <v>120</v>
      </c>
      <c r="B121">
        <v>1</v>
      </c>
      <c r="C121" t="s">
        <v>610</v>
      </c>
      <c r="D121" t="s">
        <v>611</v>
      </c>
      <c r="E121" t="s">
        <v>612</v>
      </c>
      <c r="H121" t="s">
        <v>67</v>
      </c>
      <c r="I121" t="s">
        <v>67</v>
      </c>
      <c r="J121" t="s">
        <v>92</v>
      </c>
      <c r="K121" t="s">
        <v>585</v>
      </c>
      <c r="L121" s="2">
        <v>400486.02470986679</v>
      </c>
      <c r="M121" s="3">
        <v>0</v>
      </c>
      <c r="N121" s="3">
        <v>0</v>
      </c>
      <c r="O121" s="3">
        <v>3.2352207047569463E-2</v>
      </c>
      <c r="P121" s="3">
        <v>2.5922591100762341E-2</v>
      </c>
      <c r="Q121" s="3">
        <v>0.94172520185166819</v>
      </c>
      <c r="R121" s="3">
        <v>5.8274798148331808E-2</v>
      </c>
      <c r="S121" t="s">
        <v>28</v>
      </c>
      <c r="T121" s="4">
        <f t="shared" si="1"/>
        <v>14.25</v>
      </c>
    </row>
    <row r="122" spans="1:20" x14ac:dyDescent="0.2">
      <c r="A122">
        <v>121</v>
      </c>
      <c r="B122">
        <v>1</v>
      </c>
      <c r="C122" t="s">
        <v>613</v>
      </c>
      <c r="D122" t="s">
        <v>614</v>
      </c>
      <c r="E122" t="s">
        <v>615</v>
      </c>
      <c r="H122" t="s">
        <v>80</v>
      </c>
      <c r="I122" t="s">
        <v>80</v>
      </c>
      <c r="J122" t="s">
        <v>26</v>
      </c>
      <c r="K122" t="s">
        <v>616</v>
      </c>
      <c r="L122" s="2">
        <v>400486.02470990678</v>
      </c>
      <c r="M122" s="3">
        <v>3.3556139682469979E-4</v>
      </c>
      <c r="N122" s="3">
        <v>0</v>
      </c>
      <c r="O122" s="3">
        <v>0.33223775343270262</v>
      </c>
      <c r="P122" s="3">
        <v>0.3218686925465421</v>
      </c>
      <c r="Q122" s="3">
        <v>0.34555799262393039</v>
      </c>
      <c r="R122" s="3">
        <v>0.65410644597924472</v>
      </c>
      <c r="S122" t="s">
        <v>44</v>
      </c>
      <c r="T122" s="4">
        <f t="shared" si="1"/>
        <v>163.04</v>
      </c>
    </row>
    <row r="123" spans="1:20" x14ac:dyDescent="0.2">
      <c r="A123">
        <v>122</v>
      </c>
      <c r="B123">
        <v>1</v>
      </c>
      <c r="C123" t="s">
        <v>617</v>
      </c>
      <c r="D123" t="s">
        <v>618</v>
      </c>
      <c r="E123" t="s">
        <v>371</v>
      </c>
      <c r="H123" t="s">
        <v>25</v>
      </c>
      <c r="I123" t="s">
        <v>25</v>
      </c>
      <c r="J123" t="s">
        <v>34</v>
      </c>
      <c r="K123" t="s">
        <v>230</v>
      </c>
      <c r="L123" s="2">
        <v>400486.02470990678</v>
      </c>
      <c r="M123" s="3">
        <v>3.2312536592115013E-2</v>
      </c>
      <c r="N123" s="3">
        <v>0</v>
      </c>
      <c r="O123" s="3">
        <v>0.25334017410660159</v>
      </c>
      <c r="P123" s="3">
        <v>0.38014799310532088</v>
      </c>
      <c r="Q123" s="3">
        <v>0.33419929619596228</v>
      </c>
      <c r="R123" s="3">
        <v>0.63348816721192258</v>
      </c>
      <c r="S123" t="s">
        <v>44</v>
      </c>
      <c r="T123" s="4">
        <f t="shared" si="1"/>
        <v>167.94</v>
      </c>
    </row>
    <row r="124" spans="1:20" x14ac:dyDescent="0.2">
      <c r="A124">
        <v>123</v>
      </c>
      <c r="B124">
        <v>1</v>
      </c>
      <c r="C124" t="s">
        <v>619</v>
      </c>
      <c r="D124" t="s">
        <v>620</v>
      </c>
      <c r="E124" t="s">
        <v>109</v>
      </c>
      <c r="F124" t="s">
        <v>410</v>
      </c>
      <c r="G124" t="s">
        <v>411</v>
      </c>
      <c r="H124" t="s">
        <v>67</v>
      </c>
      <c r="I124" t="s">
        <v>67</v>
      </c>
      <c r="J124" t="s">
        <v>26</v>
      </c>
      <c r="K124" t="s">
        <v>621</v>
      </c>
      <c r="L124" s="2">
        <v>400486.02470986679</v>
      </c>
      <c r="M124" s="3">
        <v>0.48872490984329031</v>
      </c>
      <c r="N124" s="3">
        <v>0</v>
      </c>
      <c r="O124" s="3">
        <v>7.6374102529384577E-2</v>
      </c>
      <c r="P124" s="3">
        <v>0</v>
      </c>
      <c r="Q124" s="3">
        <v>0.4349009876273251</v>
      </c>
      <c r="R124" s="3">
        <v>7.6374102529384577E-2</v>
      </c>
      <c r="S124" t="s">
        <v>28</v>
      </c>
      <c r="T124" s="4">
        <f t="shared" si="1"/>
        <v>64.150000000000006</v>
      </c>
    </row>
    <row r="125" spans="1:20" x14ac:dyDescent="0.2">
      <c r="A125">
        <v>124</v>
      </c>
      <c r="B125">
        <v>1</v>
      </c>
      <c r="C125" t="s">
        <v>622</v>
      </c>
      <c r="D125" t="s">
        <v>623</v>
      </c>
      <c r="E125" t="s">
        <v>83</v>
      </c>
      <c r="F125" t="s">
        <v>624</v>
      </c>
      <c r="G125" t="s">
        <v>625</v>
      </c>
      <c r="H125" t="s">
        <v>67</v>
      </c>
      <c r="I125" t="s">
        <v>67</v>
      </c>
      <c r="J125" t="s">
        <v>34</v>
      </c>
      <c r="K125" t="s">
        <v>626</v>
      </c>
      <c r="L125" s="2">
        <v>400486.02470986679</v>
      </c>
      <c r="M125" s="3">
        <v>0.29460237198152739</v>
      </c>
      <c r="N125" s="3">
        <v>0</v>
      </c>
      <c r="O125" s="3">
        <v>0.14980117862035081</v>
      </c>
      <c r="P125" s="3">
        <v>3.2746869183080331E-3</v>
      </c>
      <c r="Q125" s="3">
        <v>0.55232176247981368</v>
      </c>
      <c r="R125" s="3">
        <v>0.15307586553865879</v>
      </c>
      <c r="S125" t="s">
        <v>36</v>
      </c>
      <c r="T125" s="4">
        <f t="shared" si="1"/>
        <v>60.4</v>
      </c>
    </row>
    <row r="126" spans="1:20" x14ac:dyDescent="0.2">
      <c r="A126">
        <v>125</v>
      </c>
      <c r="B126">
        <v>1</v>
      </c>
      <c r="C126" t="s">
        <v>627</v>
      </c>
      <c r="D126" t="s">
        <v>628</v>
      </c>
      <c r="E126" t="s">
        <v>629</v>
      </c>
      <c r="H126" t="s">
        <v>67</v>
      </c>
      <c r="I126" t="s">
        <v>67</v>
      </c>
      <c r="J126" t="s">
        <v>34</v>
      </c>
      <c r="K126" t="s">
        <v>86</v>
      </c>
      <c r="L126" s="2">
        <v>400486.02470990678</v>
      </c>
      <c r="M126" s="3">
        <v>0.62510310275219438</v>
      </c>
      <c r="N126" s="3">
        <v>0</v>
      </c>
      <c r="O126" s="3">
        <v>0.21627118139508661</v>
      </c>
      <c r="P126" s="3">
        <v>0.15862571585280241</v>
      </c>
      <c r="Q126" s="3">
        <v>0</v>
      </c>
      <c r="R126" s="3">
        <v>0.37489689724788899</v>
      </c>
      <c r="S126" t="s">
        <v>69</v>
      </c>
      <c r="T126" s="4">
        <f t="shared" si="1"/>
        <v>153.35</v>
      </c>
    </row>
    <row r="127" spans="1:20" x14ac:dyDescent="0.2">
      <c r="A127">
        <v>126</v>
      </c>
      <c r="B127">
        <v>2</v>
      </c>
      <c r="C127" t="s">
        <v>630</v>
      </c>
      <c r="D127" t="s">
        <v>631</v>
      </c>
      <c r="E127" t="s">
        <v>632</v>
      </c>
      <c r="F127" t="s">
        <v>633</v>
      </c>
      <c r="G127" t="s">
        <v>634</v>
      </c>
      <c r="H127" t="s">
        <v>67</v>
      </c>
      <c r="I127" t="s">
        <v>67</v>
      </c>
      <c r="J127" t="s">
        <v>34</v>
      </c>
      <c r="K127" t="s">
        <v>635</v>
      </c>
      <c r="L127" s="2">
        <v>800972.04941981356</v>
      </c>
      <c r="M127" s="3">
        <v>0.2993906952090144</v>
      </c>
      <c r="N127" s="3">
        <v>0</v>
      </c>
      <c r="O127" s="3">
        <v>0.25505104303354281</v>
      </c>
      <c r="P127" s="3">
        <v>0.44555826175740038</v>
      </c>
      <c r="Q127" s="3">
        <v>4.241051954068098E-14</v>
      </c>
      <c r="R127" s="3">
        <v>0.70060930479094319</v>
      </c>
      <c r="S127" t="s">
        <v>44</v>
      </c>
      <c r="T127" s="4">
        <f t="shared" si="1"/>
        <v>214.62</v>
      </c>
    </row>
    <row r="128" spans="1:20" x14ac:dyDescent="0.2">
      <c r="A128">
        <v>127</v>
      </c>
      <c r="B128">
        <v>1</v>
      </c>
      <c r="C128" t="s">
        <v>636</v>
      </c>
      <c r="D128" t="s">
        <v>637</v>
      </c>
      <c r="E128" t="s">
        <v>638</v>
      </c>
      <c r="H128" t="s">
        <v>25</v>
      </c>
      <c r="I128" t="s">
        <v>25</v>
      </c>
      <c r="J128" t="s">
        <v>34</v>
      </c>
      <c r="K128" t="s">
        <v>639</v>
      </c>
      <c r="L128" s="2">
        <v>400486.02470990678</v>
      </c>
      <c r="M128" s="3">
        <v>4.5346353018362501E-4</v>
      </c>
      <c r="N128" s="3">
        <v>0</v>
      </c>
      <c r="O128" s="3">
        <v>0.18162331123735659</v>
      </c>
      <c r="P128" s="3">
        <v>0.17784943389703861</v>
      </c>
      <c r="Q128" s="3">
        <v>0.64007379133542108</v>
      </c>
      <c r="R128" s="3">
        <v>0.3594727451343952</v>
      </c>
      <c r="S128" t="s">
        <v>69</v>
      </c>
      <c r="T128" s="4">
        <f t="shared" si="1"/>
        <v>89.72</v>
      </c>
    </row>
    <row r="129" spans="1:20" x14ac:dyDescent="0.2">
      <c r="A129">
        <v>128</v>
      </c>
      <c r="B129">
        <v>1</v>
      </c>
      <c r="C129" t="s">
        <v>640</v>
      </c>
      <c r="D129" t="s">
        <v>641</v>
      </c>
      <c r="E129" t="s">
        <v>252</v>
      </c>
      <c r="F129" t="s">
        <v>642</v>
      </c>
      <c r="G129" t="s">
        <v>643</v>
      </c>
      <c r="H129" t="s">
        <v>336</v>
      </c>
      <c r="I129" t="s">
        <v>336</v>
      </c>
      <c r="J129" t="s">
        <v>92</v>
      </c>
      <c r="K129" t="s">
        <v>644</v>
      </c>
      <c r="L129" s="2">
        <v>400486.02470990678</v>
      </c>
      <c r="M129" s="3">
        <v>6.9841833959357447E-2</v>
      </c>
      <c r="N129" s="3">
        <v>0</v>
      </c>
      <c r="O129" s="3">
        <v>0.144190803938927</v>
      </c>
      <c r="P129" s="3">
        <v>4.7009060561104703E-2</v>
      </c>
      <c r="Q129" s="3">
        <v>0.73895830154061104</v>
      </c>
      <c r="R129" s="3">
        <v>0.19119986450003171</v>
      </c>
      <c r="S129" t="s">
        <v>36</v>
      </c>
      <c r="T129" s="4">
        <f t="shared" si="1"/>
        <v>49.93</v>
      </c>
    </row>
    <row r="130" spans="1:20" x14ac:dyDescent="0.2">
      <c r="A130">
        <v>129</v>
      </c>
      <c r="B130">
        <v>1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67</v>
      </c>
      <c r="I130" t="s">
        <v>67</v>
      </c>
      <c r="J130" t="s">
        <v>34</v>
      </c>
      <c r="K130" t="s">
        <v>650</v>
      </c>
      <c r="L130" s="2">
        <v>400486.02470990678</v>
      </c>
      <c r="M130" s="3">
        <v>0.18983043891115961</v>
      </c>
      <c r="N130" s="3">
        <v>0</v>
      </c>
      <c r="O130" s="3">
        <v>0.17638941753079221</v>
      </c>
      <c r="P130" s="3">
        <v>8.7070577448139744E-2</v>
      </c>
      <c r="Q130" s="3">
        <v>0.5467095661099084</v>
      </c>
      <c r="R130" s="3">
        <v>0.26345999497893202</v>
      </c>
      <c r="S130" t="s">
        <v>69</v>
      </c>
      <c r="T130" s="4">
        <f t="shared" ref="T130:T193" si="2">ROUND((M130*100*1)+(O130*100*2)+(P130*100*3),2)</f>
        <v>80.38</v>
      </c>
    </row>
    <row r="131" spans="1:20" x14ac:dyDescent="0.2">
      <c r="A131">
        <v>130</v>
      </c>
      <c r="B131">
        <v>1</v>
      </c>
      <c r="C131" t="s">
        <v>651</v>
      </c>
      <c r="D131" t="s">
        <v>652</v>
      </c>
      <c r="E131" t="s">
        <v>647</v>
      </c>
      <c r="F131" t="s">
        <v>653</v>
      </c>
      <c r="G131" t="s">
        <v>654</v>
      </c>
      <c r="H131" t="s">
        <v>67</v>
      </c>
      <c r="I131" t="s">
        <v>67</v>
      </c>
      <c r="J131" t="s">
        <v>34</v>
      </c>
      <c r="K131" t="s">
        <v>655</v>
      </c>
      <c r="L131" s="2">
        <v>400486.02470990678</v>
      </c>
      <c r="M131" s="3">
        <v>8.1003777691037337E-2</v>
      </c>
      <c r="N131" s="3">
        <v>0</v>
      </c>
      <c r="O131" s="3">
        <v>0.24011128920165689</v>
      </c>
      <c r="P131" s="3">
        <v>0.12372542581628</v>
      </c>
      <c r="Q131" s="3">
        <v>0.55515950729102581</v>
      </c>
      <c r="R131" s="3">
        <v>0.36383671501793691</v>
      </c>
      <c r="S131" t="s">
        <v>69</v>
      </c>
      <c r="T131" s="4">
        <f t="shared" si="2"/>
        <v>93.24</v>
      </c>
    </row>
    <row r="132" spans="1:20" x14ac:dyDescent="0.2">
      <c r="A132">
        <v>131</v>
      </c>
      <c r="B132">
        <v>1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336</v>
      </c>
      <c r="I132" t="s">
        <v>336</v>
      </c>
      <c r="J132" t="s">
        <v>34</v>
      </c>
      <c r="K132" t="s">
        <v>661</v>
      </c>
      <c r="L132" s="2">
        <v>400486.02470990678</v>
      </c>
      <c r="M132" s="3">
        <v>3.4330343598069198E-2</v>
      </c>
      <c r="N132" s="3">
        <v>0</v>
      </c>
      <c r="O132" s="3">
        <v>0.30609059447564668</v>
      </c>
      <c r="P132" s="3">
        <v>0.65932381189328371</v>
      </c>
      <c r="Q132" s="3">
        <v>2.5525003300042037E-4</v>
      </c>
      <c r="R132" s="3">
        <v>0.96541440636893039</v>
      </c>
      <c r="S132" t="s">
        <v>44</v>
      </c>
      <c r="T132" s="4">
        <f t="shared" si="2"/>
        <v>262.45</v>
      </c>
    </row>
    <row r="133" spans="1:20" x14ac:dyDescent="0.2">
      <c r="A133">
        <v>132</v>
      </c>
      <c r="B133">
        <v>1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  <c r="H133" t="s">
        <v>67</v>
      </c>
      <c r="I133" t="s">
        <v>67</v>
      </c>
      <c r="J133" t="s">
        <v>92</v>
      </c>
      <c r="K133" t="s">
        <v>667</v>
      </c>
      <c r="L133" s="2">
        <v>400486.02470990678</v>
      </c>
      <c r="M133" s="3">
        <v>0.35525146709934619</v>
      </c>
      <c r="N133" s="3">
        <v>0</v>
      </c>
      <c r="O133" s="3">
        <v>0.20313995127564091</v>
      </c>
      <c r="P133" s="3">
        <v>4.1492515619466472E-2</v>
      </c>
      <c r="Q133" s="3">
        <v>0.40011606600554661</v>
      </c>
      <c r="R133" s="3">
        <v>0.2446324668951074</v>
      </c>
      <c r="S133" t="s">
        <v>69</v>
      </c>
      <c r="T133" s="4">
        <f t="shared" si="2"/>
        <v>88.6</v>
      </c>
    </row>
    <row r="134" spans="1:20" x14ac:dyDescent="0.2">
      <c r="A134">
        <v>133</v>
      </c>
      <c r="B134">
        <v>2</v>
      </c>
      <c r="C134" t="s">
        <v>668</v>
      </c>
      <c r="D134" t="s">
        <v>669</v>
      </c>
      <c r="E134" t="s">
        <v>664</v>
      </c>
      <c r="F134" t="s">
        <v>670</v>
      </c>
      <c r="G134" t="s">
        <v>671</v>
      </c>
      <c r="H134" t="s">
        <v>67</v>
      </c>
      <c r="I134" t="s">
        <v>67</v>
      </c>
      <c r="J134" t="s">
        <v>34</v>
      </c>
      <c r="K134" t="s">
        <v>567</v>
      </c>
      <c r="L134" s="2">
        <v>800972.04941981356</v>
      </c>
      <c r="M134" s="3">
        <v>0.92763362625359558</v>
      </c>
      <c r="N134" s="3">
        <v>0</v>
      </c>
      <c r="O134" s="3">
        <v>4.0334845686904909E-2</v>
      </c>
      <c r="P134" s="3">
        <v>0</v>
      </c>
      <c r="Q134" s="3">
        <v>3.2031528059499492E-2</v>
      </c>
      <c r="R134" s="3">
        <v>4.0334845686904909E-2</v>
      </c>
      <c r="S134" t="s">
        <v>28</v>
      </c>
      <c r="T134" s="4">
        <f t="shared" si="2"/>
        <v>100.83</v>
      </c>
    </row>
    <row r="135" spans="1:20" x14ac:dyDescent="0.2">
      <c r="A135">
        <v>134</v>
      </c>
      <c r="B135">
        <v>1</v>
      </c>
      <c r="C135" t="s">
        <v>672</v>
      </c>
      <c r="D135" t="s">
        <v>673</v>
      </c>
      <c r="E135" t="s">
        <v>170</v>
      </c>
      <c r="F135" t="s">
        <v>674</v>
      </c>
      <c r="G135" t="s">
        <v>675</v>
      </c>
      <c r="H135" t="s">
        <v>67</v>
      </c>
      <c r="I135" t="s">
        <v>67</v>
      </c>
      <c r="J135" t="s">
        <v>26</v>
      </c>
      <c r="K135" t="s">
        <v>585</v>
      </c>
      <c r="L135" s="2">
        <v>400486.02470990678</v>
      </c>
      <c r="M135" s="3">
        <v>0</v>
      </c>
      <c r="N135" s="3">
        <v>0</v>
      </c>
      <c r="O135" s="3">
        <v>0.32977783486115558</v>
      </c>
      <c r="P135" s="3">
        <v>0.49395404479149041</v>
      </c>
      <c r="Q135" s="3">
        <v>0.17626812034735401</v>
      </c>
      <c r="R135" s="3">
        <v>0.82373187965264605</v>
      </c>
      <c r="S135" t="s">
        <v>44</v>
      </c>
      <c r="T135" s="4">
        <f t="shared" si="2"/>
        <v>214.14</v>
      </c>
    </row>
    <row r="136" spans="1:20" x14ac:dyDescent="0.2">
      <c r="A136">
        <v>135</v>
      </c>
      <c r="B136">
        <v>1</v>
      </c>
      <c r="C136" t="s">
        <v>676</v>
      </c>
      <c r="D136" t="s">
        <v>677</v>
      </c>
      <c r="E136" t="s">
        <v>678</v>
      </c>
      <c r="H136" t="s">
        <v>67</v>
      </c>
      <c r="I136" t="s">
        <v>67</v>
      </c>
      <c r="J136" t="s">
        <v>34</v>
      </c>
      <c r="K136" t="s">
        <v>679</v>
      </c>
      <c r="L136" s="2">
        <v>400486.02470990678</v>
      </c>
      <c r="M136" s="3">
        <v>1.420805314549812E-3</v>
      </c>
      <c r="N136" s="3">
        <v>0</v>
      </c>
      <c r="O136" s="3">
        <v>0.2319824211940803</v>
      </c>
      <c r="P136" s="3">
        <v>0.13848478625186689</v>
      </c>
      <c r="Q136" s="3">
        <v>0.62811198723950301</v>
      </c>
      <c r="R136" s="3">
        <v>0.37046720744594719</v>
      </c>
      <c r="S136" t="s">
        <v>69</v>
      </c>
      <c r="T136" s="4">
        <f t="shared" si="2"/>
        <v>88.08</v>
      </c>
    </row>
    <row r="137" spans="1:20" x14ac:dyDescent="0.2">
      <c r="A137">
        <v>136</v>
      </c>
      <c r="B137">
        <v>1</v>
      </c>
      <c r="C137" t="s">
        <v>680</v>
      </c>
      <c r="D137" t="s">
        <v>681</v>
      </c>
      <c r="E137" t="s">
        <v>682</v>
      </c>
      <c r="F137" t="s">
        <v>683</v>
      </c>
      <c r="G137" t="s">
        <v>684</v>
      </c>
      <c r="H137" t="s">
        <v>67</v>
      </c>
      <c r="I137" t="s">
        <v>67</v>
      </c>
      <c r="J137" t="s">
        <v>34</v>
      </c>
      <c r="K137" t="s">
        <v>661</v>
      </c>
      <c r="L137" s="2">
        <v>400486.02470990678</v>
      </c>
      <c r="M137" s="3">
        <v>2.7454624951327731E-4</v>
      </c>
      <c r="N137" s="3">
        <v>0</v>
      </c>
      <c r="O137" s="3">
        <v>0.29124425841024509</v>
      </c>
      <c r="P137" s="3">
        <v>0.19111843664509079</v>
      </c>
      <c r="Q137" s="3">
        <v>0.5173627586951508</v>
      </c>
      <c r="R137" s="3">
        <v>0.48236269505533591</v>
      </c>
      <c r="S137" t="s">
        <v>125</v>
      </c>
      <c r="T137" s="4">
        <f t="shared" si="2"/>
        <v>115.61</v>
      </c>
    </row>
    <row r="138" spans="1:20" x14ac:dyDescent="0.2">
      <c r="A138">
        <v>137</v>
      </c>
      <c r="B138">
        <v>1</v>
      </c>
      <c r="C138" t="s">
        <v>685</v>
      </c>
      <c r="D138" t="s">
        <v>686</v>
      </c>
      <c r="E138" t="s">
        <v>687</v>
      </c>
      <c r="H138" t="s">
        <v>67</v>
      </c>
      <c r="I138" t="s">
        <v>67</v>
      </c>
      <c r="J138" t="s">
        <v>92</v>
      </c>
      <c r="K138" t="s">
        <v>167</v>
      </c>
      <c r="L138" s="2">
        <v>400486.02470990678</v>
      </c>
      <c r="M138" s="3">
        <v>7.6733468208518382E-2</v>
      </c>
      <c r="N138" s="3">
        <v>0</v>
      </c>
      <c r="O138" s="3">
        <v>0.20467944040766381</v>
      </c>
      <c r="P138" s="3">
        <v>1.534045701996524E-2</v>
      </c>
      <c r="Q138" s="3">
        <v>0.70324663436385249</v>
      </c>
      <c r="R138" s="3">
        <v>0.22001989742762909</v>
      </c>
      <c r="S138" t="s">
        <v>69</v>
      </c>
      <c r="T138" s="4">
        <f t="shared" si="2"/>
        <v>53.21</v>
      </c>
    </row>
    <row r="139" spans="1:20" x14ac:dyDescent="0.2">
      <c r="A139">
        <v>138</v>
      </c>
      <c r="B139">
        <v>1</v>
      </c>
      <c r="C139" t="s">
        <v>688</v>
      </c>
      <c r="D139" t="s">
        <v>689</v>
      </c>
      <c r="E139" t="s">
        <v>687</v>
      </c>
      <c r="F139" t="s">
        <v>690</v>
      </c>
      <c r="G139" t="s">
        <v>691</v>
      </c>
      <c r="H139" t="s">
        <v>67</v>
      </c>
      <c r="I139" t="s">
        <v>67</v>
      </c>
      <c r="J139" t="s">
        <v>34</v>
      </c>
      <c r="K139" t="s">
        <v>692</v>
      </c>
      <c r="L139" s="2">
        <v>400486.02470990678</v>
      </c>
      <c r="M139" s="3">
        <v>0.93938973749160792</v>
      </c>
      <c r="N139" s="3">
        <v>0</v>
      </c>
      <c r="O139" s="3">
        <v>3.6460488039122857E-2</v>
      </c>
      <c r="P139" s="3">
        <v>0</v>
      </c>
      <c r="Q139" s="3">
        <v>2.4149774469269251E-2</v>
      </c>
      <c r="R139" s="3">
        <v>3.6460488039122857E-2</v>
      </c>
      <c r="S139" t="s">
        <v>28</v>
      </c>
      <c r="T139" s="4">
        <f t="shared" si="2"/>
        <v>101.23</v>
      </c>
    </row>
    <row r="140" spans="1:20" x14ac:dyDescent="0.2">
      <c r="A140">
        <v>139</v>
      </c>
      <c r="B140">
        <v>2</v>
      </c>
      <c r="C140" t="s">
        <v>693</v>
      </c>
      <c r="D140" t="s">
        <v>694</v>
      </c>
      <c r="E140" t="s">
        <v>695</v>
      </c>
      <c r="F140" t="s">
        <v>696</v>
      </c>
      <c r="G140" t="s">
        <v>697</v>
      </c>
      <c r="H140" t="s">
        <v>67</v>
      </c>
      <c r="I140" t="s">
        <v>67</v>
      </c>
      <c r="J140" t="s">
        <v>26</v>
      </c>
      <c r="K140" t="s">
        <v>161</v>
      </c>
      <c r="L140" s="2">
        <v>800972.04941981356</v>
      </c>
      <c r="M140" s="3">
        <v>3.0143244241576089E-2</v>
      </c>
      <c r="N140" s="3">
        <v>0</v>
      </c>
      <c r="O140" s="3">
        <v>0.54395398103413761</v>
      </c>
      <c r="P140" s="3">
        <v>0.19953151349794371</v>
      </c>
      <c r="Q140" s="3">
        <v>0.22637126122634249</v>
      </c>
      <c r="R140" s="3">
        <v>0.74348549453208135</v>
      </c>
      <c r="S140" t="s">
        <v>44</v>
      </c>
      <c r="T140" s="4">
        <f t="shared" si="2"/>
        <v>171.66</v>
      </c>
    </row>
    <row r="141" spans="1:20" x14ac:dyDescent="0.2">
      <c r="A141">
        <v>140</v>
      </c>
      <c r="B141">
        <v>1</v>
      </c>
      <c r="C141" t="s">
        <v>698</v>
      </c>
      <c r="D141" t="s">
        <v>699</v>
      </c>
      <c r="E141" t="s">
        <v>700</v>
      </c>
      <c r="H141" t="s">
        <v>80</v>
      </c>
      <c r="I141" t="s">
        <v>701</v>
      </c>
      <c r="J141" t="s">
        <v>34</v>
      </c>
      <c r="K141" t="s">
        <v>635</v>
      </c>
      <c r="L141" s="2">
        <v>400486.02470990678</v>
      </c>
      <c r="M141" s="3">
        <v>1.6156374207119011E-2</v>
      </c>
      <c r="N141" s="3">
        <v>0</v>
      </c>
      <c r="O141" s="3">
        <v>0.17356405490921481</v>
      </c>
      <c r="P141" s="3">
        <v>6.5590107559540728E-2</v>
      </c>
      <c r="Q141" s="3">
        <v>0.74468946332412533</v>
      </c>
      <c r="R141" s="3">
        <v>0.23915416246875551</v>
      </c>
      <c r="S141" t="s">
        <v>69</v>
      </c>
      <c r="T141" s="4">
        <f t="shared" si="2"/>
        <v>56.01</v>
      </c>
    </row>
    <row r="142" spans="1:20" x14ac:dyDescent="0.2">
      <c r="A142">
        <v>141</v>
      </c>
      <c r="B142">
        <v>1</v>
      </c>
      <c r="C142" t="s">
        <v>702</v>
      </c>
      <c r="D142" t="s">
        <v>703</v>
      </c>
      <c r="E142" t="s">
        <v>704</v>
      </c>
      <c r="H142" t="s">
        <v>25</v>
      </c>
      <c r="I142" t="s">
        <v>25</v>
      </c>
      <c r="J142" t="s">
        <v>34</v>
      </c>
      <c r="K142" t="s">
        <v>705</v>
      </c>
      <c r="L142" s="2">
        <v>400486.02470990678</v>
      </c>
      <c r="M142" s="3">
        <v>1.437042610118657E-2</v>
      </c>
      <c r="N142" s="3">
        <v>0</v>
      </c>
      <c r="O142" s="3">
        <v>0.1215043924836938</v>
      </c>
      <c r="P142" s="3">
        <v>8.2341709552797543E-2</v>
      </c>
      <c r="Q142" s="3">
        <v>0.78178347186232222</v>
      </c>
      <c r="R142" s="3">
        <v>0.20384610203649131</v>
      </c>
      <c r="S142" t="s">
        <v>69</v>
      </c>
      <c r="T142" s="4">
        <f t="shared" si="2"/>
        <v>50.44</v>
      </c>
    </row>
    <row r="143" spans="1:20" x14ac:dyDescent="0.2">
      <c r="A143">
        <v>142</v>
      </c>
      <c r="B143">
        <v>1</v>
      </c>
      <c r="C143" t="s">
        <v>706</v>
      </c>
      <c r="D143" t="s">
        <v>707</v>
      </c>
      <c r="E143" t="s">
        <v>708</v>
      </c>
      <c r="F143" t="s">
        <v>709</v>
      </c>
      <c r="G143" t="s">
        <v>710</v>
      </c>
      <c r="H143" t="s">
        <v>67</v>
      </c>
      <c r="I143" t="s">
        <v>67</v>
      </c>
      <c r="J143" t="s">
        <v>26</v>
      </c>
      <c r="K143" t="s">
        <v>277</v>
      </c>
      <c r="L143" s="2">
        <v>400486.02470990678</v>
      </c>
      <c r="M143" s="3">
        <v>0</v>
      </c>
      <c r="N143" s="3">
        <v>0</v>
      </c>
      <c r="O143" s="3">
        <v>0.29258746790861062</v>
      </c>
      <c r="P143" s="3">
        <v>0.51652534248019299</v>
      </c>
      <c r="Q143" s="3">
        <v>0.19088718961119641</v>
      </c>
      <c r="R143" s="3">
        <v>0.80911281038880367</v>
      </c>
      <c r="S143" t="s">
        <v>44</v>
      </c>
      <c r="T143" s="4">
        <f t="shared" si="2"/>
        <v>213.48</v>
      </c>
    </row>
    <row r="144" spans="1:20" x14ac:dyDescent="0.2">
      <c r="A144">
        <v>143</v>
      </c>
      <c r="B144">
        <v>2</v>
      </c>
      <c r="C144" t="s">
        <v>711</v>
      </c>
      <c r="D144" t="s">
        <v>712</v>
      </c>
      <c r="E144" t="s">
        <v>708</v>
      </c>
      <c r="F144" t="s">
        <v>713</v>
      </c>
      <c r="G144" t="s">
        <v>714</v>
      </c>
      <c r="H144" t="s">
        <v>67</v>
      </c>
      <c r="I144" t="s">
        <v>67</v>
      </c>
      <c r="J144" t="s">
        <v>92</v>
      </c>
      <c r="K144" t="s">
        <v>661</v>
      </c>
      <c r="L144" s="2">
        <v>800972.04941981356</v>
      </c>
      <c r="M144" s="3">
        <v>0</v>
      </c>
      <c r="N144" s="3">
        <v>0</v>
      </c>
      <c r="O144" s="3">
        <v>0.37603358027737721</v>
      </c>
      <c r="P144" s="3">
        <v>0.62396641972253808</v>
      </c>
      <c r="Q144" s="3">
        <v>8.4710016778899444E-14</v>
      </c>
      <c r="R144" s="3">
        <v>0.99999999999991529</v>
      </c>
      <c r="S144" t="s">
        <v>44</v>
      </c>
      <c r="T144" s="4">
        <f t="shared" si="2"/>
        <v>262.39999999999998</v>
      </c>
    </row>
    <row r="145" spans="1:20" x14ac:dyDescent="0.2">
      <c r="A145">
        <v>144</v>
      </c>
      <c r="B145">
        <v>1</v>
      </c>
      <c r="C145" t="s">
        <v>715</v>
      </c>
      <c r="D145" t="s">
        <v>716</v>
      </c>
      <c r="E145" t="s">
        <v>708</v>
      </c>
      <c r="F145" t="s">
        <v>717</v>
      </c>
      <c r="G145" t="s">
        <v>718</v>
      </c>
      <c r="H145" t="s">
        <v>67</v>
      </c>
      <c r="I145" t="s">
        <v>67</v>
      </c>
      <c r="J145" t="s">
        <v>26</v>
      </c>
      <c r="K145" t="s">
        <v>567</v>
      </c>
      <c r="L145" s="2">
        <v>400486.02470990678</v>
      </c>
      <c r="M145" s="3">
        <v>1.436594480190345E-2</v>
      </c>
      <c r="N145" s="3">
        <v>0</v>
      </c>
      <c r="O145" s="3">
        <v>0.26614237985133488</v>
      </c>
      <c r="P145" s="3">
        <v>0.14880912878657171</v>
      </c>
      <c r="Q145" s="3">
        <v>0.57068254656018991</v>
      </c>
      <c r="R145" s="3">
        <v>0.41495150863790659</v>
      </c>
      <c r="S145" t="s">
        <v>125</v>
      </c>
      <c r="T145" s="4">
        <f t="shared" si="2"/>
        <v>99.31</v>
      </c>
    </row>
    <row r="146" spans="1:20" x14ac:dyDescent="0.2">
      <c r="A146">
        <v>145</v>
      </c>
      <c r="B146">
        <v>1</v>
      </c>
      <c r="C146" t="s">
        <v>719</v>
      </c>
      <c r="D146" t="s">
        <v>720</v>
      </c>
      <c r="E146" t="s">
        <v>721</v>
      </c>
      <c r="F146" t="s">
        <v>722</v>
      </c>
      <c r="G146" t="s">
        <v>723</v>
      </c>
      <c r="H146" t="s">
        <v>25</v>
      </c>
      <c r="I146" t="s">
        <v>25</v>
      </c>
      <c r="J146" t="s">
        <v>34</v>
      </c>
      <c r="K146" t="s">
        <v>363</v>
      </c>
      <c r="L146" s="2">
        <v>400486.02470990678</v>
      </c>
      <c r="M146" s="3">
        <v>8.013964334213336E-2</v>
      </c>
      <c r="N146" s="3">
        <v>0</v>
      </c>
      <c r="O146" s="3">
        <v>0.25301658469378158</v>
      </c>
      <c r="P146" s="3">
        <v>0.34169277947302162</v>
      </c>
      <c r="Q146" s="3">
        <v>0.32515099249106338</v>
      </c>
      <c r="R146" s="3">
        <v>0.5947093641668032</v>
      </c>
      <c r="S146" t="s">
        <v>125</v>
      </c>
      <c r="T146" s="4">
        <f t="shared" si="2"/>
        <v>161.13</v>
      </c>
    </row>
    <row r="147" spans="1:20" x14ac:dyDescent="0.2">
      <c r="A147">
        <v>146</v>
      </c>
      <c r="B147">
        <v>2</v>
      </c>
      <c r="C147" t="s">
        <v>724</v>
      </c>
      <c r="D147" t="s">
        <v>725</v>
      </c>
      <c r="E147" t="s">
        <v>726</v>
      </c>
      <c r="F147" t="s">
        <v>727</v>
      </c>
      <c r="G147" t="s">
        <v>728</v>
      </c>
      <c r="H147" t="s">
        <v>25</v>
      </c>
      <c r="I147" t="s">
        <v>25</v>
      </c>
      <c r="J147" t="s">
        <v>92</v>
      </c>
      <c r="K147" t="s">
        <v>729</v>
      </c>
      <c r="L147" s="2">
        <v>800972.04941981356</v>
      </c>
      <c r="M147" s="3">
        <v>3.9398086589317108E-2</v>
      </c>
      <c r="N147" s="3">
        <v>0</v>
      </c>
      <c r="O147" s="3">
        <v>7.4833716719178503E-2</v>
      </c>
      <c r="P147" s="3">
        <v>1.2807409347310559E-2</v>
      </c>
      <c r="Q147" s="3">
        <v>0.8729607873441938</v>
      </c>
      <c r="R147" s="3">
        <v>8.7641126066489064E-2</v>
      </c>
      <c r="S147" t="s">
        <v>28</v>
      </c>
      <c r="T147" s="4">
        <f t="shared" si="2"/>
        <v>22.75</v>
      </c>
    </row>
    <row r="148" spans="1:20" x14ac:dyDescent="0.2">
      <c r="A148">
        <v>147</v>
      </c>
      <c r="B148">
        <v>1</v>
      </c>
      <c r="C148" t="s">
        <v>730</v>
      </c>
      <c r="D148" t="s">
        <v>731</v>
      </c>
      <c r="E148" t="s">
        <v>732</v>
      </c>
      <c r="F148" t="s">
        <v>733</v>
      </c>
      <c r="G148" t="s">
        <v>734</v>
      </c>
      <c r="H148" t="s">
        <v>67</v>
      </c>
      <c r="I148" t="s">
        <v>67</v>
      </c>
      <c r="J148" t="s">
        <v>34</v>
      </c>
      <c r="K148" t="s">
        <v>149</v>
      </c>
      <c r="L148" s="2">
        <v>400486.02470990678</v>
      </c>
      <c r="M148" s="3">
        <v>0.220918922089719</v>
      </c>
      <c r="N148" s="3">
        <v>0</v>
      </c>
      <c r="O148" s="3">
        <v>0.19394893543936381</v>
      </c>
      <c r="P148" s="3">
        <v>0.26770532716454642</v>
      </c>
      <c r="Q148" s="3">
        <v>0.31742681530637079</v>
      </c>
      <c r="R148" s="3">
        <v>0.46165426260391018</v>
      </c>
      <c r="S148" t="s">
        <v>125</v>
      </c>
      <c r="T148" s="4">
        <f t="shared" si="2"/>
        <v>141.19</v>
      </c>
    </row>
    <row r="149" spans="1:20" x14ac:dyDescent="0.2">
      <c r="A149">
        <v>148</v>
      </c>
      <c r="B149">
        <v>1</v>
      </c>
      <c r="C149" t="s">
        <v>735</v>
      </c>
      <c r="D149" t="s">
        <v>736</v>
      </c>
      <c r="E149" t="s">
        <v>737</v>
      </c>
      <c r="H149" t="s">
        <v>25</v>
      </c>
      <c r="I149" t="s">
        <v>25</v>
      </c>
      <c r="J149" t="s">
        <v>34</v>
      </c>
      <c r="K149" t="s">
        <v>705</v>
      </c>
      <c r="L149" s="2">
        <v>400486.02470986679</v>
      </c>
      <c r="M149" s="3">
        <v>0.17006013473148629</v>
      </c>
      <c r="N149" s="3">
        <v>0</v>
      </c>
      <c r="O149" s="3">
        <v>0.25629721917768822</v>
      </c>
      <c r="P149" s="3">
        <v>0.38327985872334269</v>
      </c>
      <c r="Q149" s="3">
        <v>0.1903627873674828</v>
      </c>
      <c r="R149" s="3">
        <v>0.63957707790103091</v>
      </c>
      <c r="S149" t="s">
        <v>44</v>
      </c>
      <c r="T149" s="4">
        <f t="shared" si="2"/>
        <v>183.25</v>
      </c>
    </row>
    <row r="150" spans="1:20" x14ac:dyDescent="0.2">
      <c r="A150">
        <v>149</v>
      </c>
      <c r="B150">
        <v>1</v>
      </c>
      <c r="C150" t="s">
        <v>738</v>
      </c>
      <c r="D150" t="s">
        <v>739</v>
      </c>
      <c r="E150" t="s">
        <v>291</v>
      </c>
      <c r="F150" t="s">
        <v>740</v>
      </c>
      <c r="G150" t="s">
        <v>741</v>
      </c>
      <c r="H150" t="s">
        <v>67</v>
      </c>
      <c r="I150" t="s">
        <v>67</v>
      </c>
      <c r="J150" t="s">
        <v>34</v>
      </c>
      <c r="K150" t="s">
        <v>204</v>
      </c>
      <c r="L150" s="2">
        <v>400486.02470986679</v>
      </c>
      <c r="M150" s="3">
        <v>3.7499694280933568E-2</v>
      </c>
      <c r="N150" s="3">
        <v>0</v>
      </c>
      <c r="O150" s="3">
        <v>0.25208998936806631</v>
      </c>
      <c r="P150" s="3">
        <v>0.30540342178484448</v>
      </c>
      <c r="Q150" s="3">
        <v>0.40500689456615552</v>
      </c>
      <c r="R150" s="3">
        <v>0.55749341115291084</v>
      </c>
      <c r="S150" t="s">
        <v>125</v>
      </c>
      <c r="T150" s="4">
        <f t="shared" si="2"/>
        <v>145.79</v>
      </c>
    </row>
    <row r="151" spans="1:20" x14ac:dyDescent="0.2">
      <c r="A151">
        <v>150</v>
      </c>
      <c r="B151">
        <v>1</v>
      </c>
      <c r="C151" t="s">
        <v>742</v>
      </c>
      <c r="D151" t="s">
        <v>743</v>
      </c>
      <c r="E151" t="s">
        <v>291</v>
      </c>
      <c r="F151" t="s">
        <v>744</v>
      </c>
      <c r="G151" t="s">
        <v>745</v>
      </c>
      <c r="H151" t="s">
        <v>67</v>
      </c>
      <c r="I151" t="s">
        <v>67</v>
      </c>
      <c r="J151" t="s">
        <v>26</v>
      </c>
      <c r="K151" t="s">
        <v>149</v>
      </c>
      <c r="L151" s="2">
        <v>400486.02470986679</v>
      </c>
      <c r="M151" s="3">
        <v>3.2361630486991817E-2</v>
      </c>
      <c r="N151" s="3">
        <v>0</v>
      </c>
      <c r="O151" s="3">
        <v>0.29066439676567779</v>
      </c>
      <c r="P151" s="3">
        <v>0.58433743409990291</v>
      </c>
      <c r="Q151" s="3">
        <v>9.2636538647427491E-2</v>
      </c>
      <c r="R151" s="3">
        <v>0.8750018308655807</v>
      </c>
      <c r="S151" t="s">
        <v>44</v>
      </c>
      <c r="T151" s="4">
        <f t="shared" si="2"/>
        <v>236.67</v>
      </c>
    </row>
    <row r="152" spans="1:20" x14ac:dyDescent="0.2">
      <c r="A152">
        <v>151</v>
      </c>
      <c r="B152">
        <v>1</v>
      </c>
      <c r="C152" t="s">
        <v>746</v>
      </c>
      <c r="D152" t="s">
        <v>747</v>
      </c>
      <c r="E152" t="s">
        <v>360</v>
      </c>
      <c r="F152" t="s">
        <v>748</v>
      </c>
      <c r="G152" t="s">
        <v>749</v>
      </c>
      <c r="H152" t="s">
        <v>67</v>
      </c>
      <c r="I152" t="s">
        <v>67</v>
      </c>
      <c r="J152" t="s">
        <v>92</v>
      </c>
      <c r="K152" t="s">
        <v>750</v>
      </c>
      <c r="L152" s="2">
        <v>400486.02470990678</v>
      </c>
      <c r="M152" s="3">
        <v>5.5258801469646311E-2</v>
      </c>
      <c r="N152" s="3">
        <v>0</v>
      </c>
      <c r="O152" s="3">
        <v>0.13107547436492481</v>
      </c>
      <c r="P152" s="3">
        <v>1.353116378541346E-3</v>
      </c>
      <c r="Q152" s="3">
        <v>0.81231260778688763</v>
      </c>
      <c r="R152" s="3">
        <v>0.13242859074346619</v>
      </c>
      <c r="S152" t="s">
        <v>36</v>
      </c>
      <c r="T152" s="4">
        <f t="shared" si="2"/>
        <v>32.15</v>
      </c>
    </row>
    <row r="153" spans="1:20" x14ac:dyDescent="0.2">
      <c r="A153">
        <v>152</v>
      </c>
      <c r="B153">
        <v>1</v>
      </c>
      <c r="C153" t="s">
        <v>751</v>
      </c>
      <c r="D153" t="s">
        <v>752</v>
      </c>
      <c r="E153" t="s">
        <v>371</v>
      </c>
      <c r="H153" t="s">
        <v>67</v>
      </c>
      <c r="I153" t="s">
        <v>67</v>
      </c>
      <c r="J153" t="s">
        <v>34</v>
      </c>
      <c r="K153" t="s">
        <v>753</v>
      </c>
      <c r="L153" s="2">
        <v>400486.02470990678</v>
      </c>
      <c r="M153" s="3">
        <v>1.973251331292666E-2</v>
      </c>
      <c r="N153" s="3">
        <v>0</v>
      </c>
      <c r="O153" s="3">
        <v>0.27048808078343212</v>
      </c>
      <c r="P153" s="3">
        <v>0.45486895966524982</v>
      </c>
      <c r="Q153" s="3">
        <v>0.25491044623839149</v>
      </c>
      <c r="R153" s="3">
        <v>0.72535704044868188</v>
      </c>
      <c r="S153" t="s">
        <v>44</v>
      </c>
      <c r="T153" s="4">
        <f t="shared" si="2"/>
        <v>192.53</v>
      </c>
    </row>
    <row r="154" spans="1:20" x14ac:dyDescent="0.2">
      <c r="A154">
        <v>153</v>
      </c>
      <c r="B154">
        <v>1</v>
      </c>
      <c r="C154" t="s">
        <v>754</v>
      </c>
      <c r="D154" t="s">
        <v>755</v>
      </c>
      <c r="E154" t="s">
        <v>756</v>
      </c>
      <c r="H154" t="s">
        <v>25</v>
      </c>
      <c r="I154" t="s">
        <v>25</v>
      </c>
      <c r="J154" t="s">
        <v>34</v>
      </c>
      <c r="K154" t="s">
        <v>230</v>
      </c>
      <c r="L154" s="2">
        <v>400486.02470986679</v>
      </c>
      <c r="M154" s="3">
        <v>0</v>
      </c>
      <c r="N154" s="3">
        <v>0</v>
      </c>
      <c r="O154" s="3">
        <v>0.32801263360569899</v>
      </c>
      <c r="P154" s="3">
        <v>0.59976507790505995</v>
      </c>
      <c r="Q154" s="3">
        <v>7.2222288489240949E-2</v>
      </c>
      <c r="R154" s="3">
        <v>0.92777771151075905</v>
      </c>
      <c r="S154" t="s">
        <v>44</v>
      </c>
      <c r="T154" s="4">
        <f t="shared" si="2"/>
        <v>245.53</v>
      </c>
    </row>
    <row r="155" spans="1:20" x14ac:dyDescent="0.2">
      <c r="A155">
        <v>154</v>
      </c>
      <c r="B155">
        <v>1</v>
      </c>
      <c r="C155" t="s">
        <v>757</v>
      </c>
      <c r="D155" t="s">
        <v>758</v>
      </c>
      <c r="E155" t="s">
        <v>759</v>
      </c>
      <c r="F155" t="s">
        <v>760</v>
      </c>
      <c r="G155" t="s">
        <v>761</v>
      </c>
      <c r="H155" t="s">
        <v>67</v>
      </c>
      <c r="I155" t="s">
        <v>67</v>
      </c>
      <c r="J155" t="s">
        <v>34</v>
      </c>
      <c r="K155" t="s">
        <v>271</v>
      </c>
      <c r="L155" s="2">
        <v>400486.02470990678</v>
      </c>
      <c r="M155" s="3">
        <v>8.5736232231520118E-2</v>
      </c>
      <c r="N155" s="3">
        <v>0</v>
      </c>
      <c r="O155" s="3">
        <v>0.13927757307809749</v>
      </c>
      <c r="P155" s="3">
        <v>0</v>
      </c>
      <c r="Q155" s="3">
        <v>0.77498619469038244</v>
      </c>
      <c r="R155" s="3">
        <v>0.13927757307809749</v>
      </c>
      <c r="S155" t="s">
        <v>36</v>
      </c>
      <c r="T155" s="4">
        <f t="shared" si="2"/>
        <v>36.43</v>
      </c>
    </row>
    <row r="156" spans="1:20" x14ac:dyDescent="0.2">
      <c r="A156">
        <v>155</v>
      </c>
      <c r="B156">
        <v>1</v>
      </c>
      <c r="C156" t="s">
        <v>762</v>
      </c>
      <c r="D156" t="s">
        <v>763</v>
      </c>
      <c r="E156" t="s">
        <v>303</v>
      </c>
      <c r="H156" t="s">
        <v>67</v>
      </c>
      <c r="I156" t="s">
        <v>67</v>
      </c>
      <c r="J156" t="s">
        <v>26</v>
      </c>
      <c r="K156" t="s">
        <v>705</v>
      </c>
      <c r="L156" s="2">
        <v>400486.02470986679</v>
      </c>
      <c r="M156" s="3">
        <v>7.4796162136014296E-2</v>
      </c>
      <c r="N156" s="3">
        <v>0</v>
      </c>
      <c r="O156" s="3">
        <v>0.13187103662361521</v>
      </c>
      <c r="P156" s="3">
        <v>1.6536718562146158E-2</v>
      </c>
      <c r="Q156" s="3">
        <v>0.77679608267822431</v>
      </c>
      <c r="R156" s="3">
        <v>0.14840775518576141</v>
      </c>
      <c r="S156" t="s">
        <v>36</v>
      </c>
      <c r="T156" s="4">
        <f t="shared" si="2"/>
        <v>38.81</v>
      </c>
    </row>
    <row r="157" spans="1:20" x14ac:dyDescent="0.2">
      <c r="A157">
        <v>156</v>
      </c>
      <c r="B157">
        <v>3</v>
      </c>
      <c r="C157" t="s">
        <v>764</v>
      </c>
      <c r="D157" t="s">
        <v>765</v>
      </c>
      <c r="E157" t="s">
        <v>383</v>
      </c>
      <c r="H157" t="s">
        <v>67</v>
      </c>
      <c r="I157" t="s">
        <v>67</v>
      </c>
      <c r="J157" t="s">
        <v>34</v>
      </c>
      <c r="K157" t="s">
        <v>56</v>
      </c>
      <c r="L157" s="2">
        <v>1201458.07412972</v>
      </c>
      <c r="M157" s="3">
        <v>0.2372972713402163</v>
      </c>
      <c r="N157" s="3">
        <v>0</v>
      </c>
      <c r="O157" s="3">
        <v>0.15538898863476391</v>
      </c>
      <c r="P157" s="3">
        <v>1.453136781582307E-3</v>
      </c>
      <c r="Q157" s="3">
        <v>0.6058606032434376</v>
      </c>
      <c r="R157" s="3">
        <v>0.15684212541634621</v>
      </c>
      <c r="S157" t="s">
        <v>36</v>
      </c>
      <c r="T157" s="4">
        <f t="shared" si="2"/>
        <v>55.24</v>
      </c>
    </row>
    <row r="158" spans="1:20" x14ac:dyDescent="0.2">
      <c r="A158">
        <v>157</v>
      </c>
      <c r="B158">
        <v>1</v>
      </c>
      <c r="C158" t="s">
        <v>766</v>
      </c>
      <c r="D158" t="s">
        <v>767</v>
      </c>
      <c r="E158" t="s">
        <v>768</v>
      </c>
      <c r="F158" t="s">
        <v>769</v>
      </c>
      <c r="G158" t="s">
        <v>770</v>
      </c>
      <c r="H158" t="s">
        <v>67</v>
      </c>
      <c r="I158" t="s">
        <v>67</v>
      </c>
      <c r="J158" t="s">
        <v>34</v>
      </c>
      <c r="K158" t="s">
        <v>771</v>
      </c>
      <c r="L158" s="2">
        <v>400486.02470990678</v>
      </c>
      <c r="M158" s="3">
        <v>0</v>
      </c>
      <c r="N158" s="3">
        <v>0</v>
      </c>
      <c r="O158" s="3">
        <v>8.4548872134100866E-2</v>
      </c>
      <c r="P158" s="3">
        <v>0.86748995558973396</v>
      </c>
      <c r="Q158" s="3">
        <v>4.7961172276165143E-2</v>
      </c>
      <c r="R158" s="3">
        <v>0.95203882772383486</v>
      </c>
      <c r="S158" t="s">
        <v>44</v>
      </c>
      <c r="T158" s="4">
        <f t="shared" si="2"/>
        <v>277.16000000000003</v>
      </c>
    </row>
    <row r="159" spans="1:20" x14ac:dyDescent="0.2">
      <c r="A159">
        <v>158</v>
      </c>
      <c r="B159">
        <v>2</v>
      </c>
      <c r="C159" t="s">
        <v>772</v>
      </c>
      <c r="D159" t="s">
        <v>773</v>
      </c>
      <c r="E159" t="s">
        <v>774</v>
      </c>
      <c r="H159" t="s">
        <v>67</v>
      </c>
      <c r="I159" t="s">
        <v>67</v>
      </c>
      <c r="J159" t="s">
        <v>34</v>
      </c>
      <c r="K159" t="s">
        <v>775</v>
      </c>
      <c r="L159" s="2">
        <v>800972.04941981356</v>
      </c>
      <c r="M159" s="3">
        <v>0.2194465747104106</v>
      </c>
      <c r="N159" s="3">
        <v>0</v>
      </c>
      <c r="O159" s="3">
        <v>0.19954343908210681</v>
      </c>
      <c r="P159" s="3">
        <v>0.1684003466532282</v>
      </c>
      <c r="Q159" s="3">
        <v>0.41260963955425439</v>
      </c>
      <c r="R159" s="3">
        <v>0.36794378573533498</v>
      </c>
      <c r="S159" t="s">
        <v>69</v>
      </c>
      <c r="T159" s="4">
        <f t="shared" si="2"/>
        <v>112.37</v>
      </c>
    </row>
    <row r="160" spans="1:20" x14ac:dyDescent="0.2">
      <c r="A160">
        <v>159</v>
      </c>
      <c r="B160">
        <v>3</v>
      </c>
      <c r="C160" t="s">
        <v>776</v>
      </c>
      <c r="D160" t="s">
        <v>777</v>
      </c>
      <c r="E160" t="s">
        <v>778</v>
      </c>
      <c r="F160" t="s">
        <v>779</v>
      </c>
      <c r="G160" t="s">
        <v>780</v>
      </c>
      <c r="H160" t="s">
        <v>67</v>
      </c>
      <c r="I160" t="s">
        <v>781</v>
      </c>
      <c r="J160" t="s">
        <v>26</v>
      </c>
      <c r="K160" t="s">
        <v>705</v>
      </c>
      <c r="L160" s="2">
        <v>1201458.07412972</v>
      </c>
      <c r="M160" s="3">
        <v>7.1484200934203157E-2</v>
      </c>
      <c r="N160" s="3">
        <v>0</v>
      </c>
      <c r="O160" s="3">
        <v>0.36995030936894768</v>
      </c>
      <c r="P160" s="3">
        <v>0.35028109720222511</v>
      </c>
      <c r="Q160" s="3">
        <v>0.20828439249462419</v>
      </c>
      <c r="R160" s="3">
        <v>0.72023140657117279</v>
      </c>
      <c r="S160" t="s">
        <v>44</v>
      </c>
      <c r="T160" s="4">
        <f t="shared" si="2"/>
        <v>186.22</v>
      </c>
    </row>
    <row r="161" spans="1:20" x14ac:dyDescent="0.2">
      <c r="A161">
        <v>160</v>
      </c>
      <c r="B161">
        <v>1</v>
      </c>
      <c r="C161" t="s">
        <v>782</v>
      </c>
      <c r="D161" t="s">
        <v>783</v>
      </c>
      <c r="E161" t="s">
        <v>784</v>
      </c>
      <c r="H161" t="s">
        <v>67</v>
      </c>
      <c r="I161" t="s">
        <v>67</v>
      </c>
      <c r="J161" t="s">
        <v>34</v>
      </c>
      <c r="K161" t="s">
        <v>585</v>
      </c>
      <c r="L161" s="2">
        <v>400486.02470990678</v>
      </c>
      <c r="M161" s="3">
        <v>6.368795553386089E-2</v>
      </c>
      <c r="N161" s="3">
        <v>0</v>
      </c>
      <c r="O161" s="3">
        <v>0.17968537931175499</v>
      </c>
      <c r="P161" s="3">
        <v>0</v>
      </c>
      <c r="Q161" s="3">
        <v>0.75662666515438404</v>
      </c>
      <c r="R161" s="3">
        <v>0.17968537931175499</v>
      </c>
      <c r="S161" t="s">
        <v>36</v>
      </c>
      <c r="T161" s="4">
        <f t="shared" si="2"/>
        <v>42.31</v>
      </c>
    </row>
    <row r="162" spans="1:20" x14ac:dyDescent="0.2">
      <c r="A162">
        <v>161</v>
      </c>
      <c r="B162">
        <v>1</v>
      </c>
      <c r="C162" t="s">
        <v>785</v>
      </c>
      <c r="D162" t="s">
        <v>786</v>
      </c>
      <c r="E162" t="s">
        <v>787</v>
      </c>
      <c r="H162" t="s">
        <v>67</v>
      </c>
      <c r="I162" t="s">
        <v>67</v>
      </c>
      <c r="J162" t="s">
        <v>34</v>
      </c>
      <c r="K162" t="s">
        <v>705</v>
      </c>
      <c r="L162" s="2">
        <v>400486.02470990678</v>
      </c>
      <c r="M162" s="3">
        <v>9.1959195874509486E-2</v>
      </c>
      <c r="N162" s="3">
        <v>0</v>
      </c>
      <c r="O162" s="3">
        <v>8.624399004001615E-2</v>
      </c>
      <c r="P162" s="3">
        <v>4.1180973738401842E-2</v>
      </c>
      <c r="Q162" s="3">
        <v>0.78061584034707254</v>
      </c>
      <c r="R162" s="3">
        <v>0.127424963778418</v>
      </c>
      <c r="S162" t="s">
        <v>36</v>
      </c>
      <c r="T162" s="4">
        <f t="shared" si="2"/>
        <v>38.799999999999997</v>
      </c>
    </row>
    <row r="163" spans="1:20" x14ac:dyDescent="0.2">
      <c r="A163">
        <v>162</v>
      </c>
      <c r="B163">
        <v>4</v>
      </c>
      <c r="C163" t="s">
        <v>788</v>
      </c>
      <c r="D163" t="s">
        <v>789</v>
      </c>
      <c r="E163" t="s">
        <v>790</v>
      </c>
      <c r="F163" t="s">
        <v>791</v>
      </c>
      <c r="G163" t="s">
        <v>792</v>
      </c>
      <c r="H163" t="s">
        <v>80</v>
      </c>
      <c r="I163" t="s">
        <v>793</v>
      </c>
      <c r="J163" t="s">
        <v>92</v>
      </c>
      <c r="K163" t="s">
        <v>626</v>
      </c>
      <c r="L163" s="2">
        <v>1601944.0988396271</v>
      </c>
      <c r="M163" s="3">
        <v>0.81461387953385489</v>
      </c>
      <c r="N163" s="3">
        <v>0</v>
      </c>
      <c r="O163" s="3">
        <v>9.7575082890264786E-2</v>
      </c>
      <c r="P163" s="3">
        <v>7.7480903139752705E-4</v>
      </c>
      <c r="Q163" s="3">
        <v>8.7036228544482785E-2</v>
      </c>
      <c r="R163" s="3">
        <v>9.8349891921662311E-2</v>
      </c>
      <c r="S163" t="s">
        <v>28</v>
      </c>
      <c r="T163" s="4">
        <f t="shared" si="2"/>
        <v>101.21</v>
      </c>
    </row>
    <row r="164" spans="1:20" x14ac:dyDescent="0.2">
      <c r="A164">
        <v>163</v>
      </c>
      <c r="B164">
        <v>1</v>
      </c>
      <c r="C164" t="s">
        <v>794</v>
      </c>
      <c r="D164" t="s">
        <v>795</v>
      </c>
      <c r="E164" t="s">
        <v>796</v>
      </c>
      <c r="F164" t="s">
        <v>797</v>
      </c>
      <c r="G164" t="s">
        <v>798</v>
      </c>
      <c r="H164" t="s">
        <v>67</v>
      </c>
      <c r="I164" t="s">
        <v>67</v>
      </c>
      <c r="J164" t="s">
        <v>34</v>
      </c>
      <c r="K164" t="s">
        <v>149</v>
      </c>
      <c r="L164" s="2">
        <v>400486.02470990678</v>
      </c>
      <c r="M164" s="3">
        <v>0.45311235009386153</v>
      </c>
      <c r="N164" s="3">
        <v>0</v>
      </c>
      <c r="O164" s="3">
        <v>8.9569088474427516E-2</v>
      </c>
      <c r="P164" s="3">
        <v>7.7480903139752705E-4</v>
      </c>
      <c r="Q164" s="3">
        <v>0.45654375240031347</v>
      </c>
      <c r="R164" s="3">
        <v>9.0343897505825041E-2</v>
      </c>
      <c r="S164" t="s">
        <v>28</v>
      </c>
      <c r="T164" s="4">
        <f t="shared" si="2"/>
        <v>63.46</v>
      </c>
    </row>
    <row r="165" spans="1:20" x14ac:dyDescent="0.2">
      <c r="A165">
        <v>164</v>
      </c>
      <c r="B165">
        <v>1</v>
      </c>
      <c r="C165" t="s">
        <v>799</v>
      </c>
      <c r="D165" t="s">
        <v>800</v>
      </c>
      <c r="E165" t="s">
        <v>801</v>
      </c>
      <c r="H165" t="s">
        <v>25</v>
      </c>
      <c r="I165" t="s">
        <v>25</v>
      </c>
      <c r="J165" t="s">
        <v>26</v>
      </c>
      <c r="K165" t="s">
        <v>86</v>
      </c>
      <c r="L165" s="2">
        <v>400486.02470990678</v>
      </c>
      <c r="M165" s="3">
        <v>0</v>
      </c>
      <c r="N165" s="3">
        <v>0</v>
      </c>
      <c r="O165" s="3">
        <v>0.28633301015630619</v>
      </c>
      <c r="P165" s="3">
        <v>0.28429003031810479</v>
      </c>
      <c r="Q165" s="3">
        <v>0.42937695952558907</v>
      </c>
      <c r="R165" s="3">
        <v>0.57062304047441104</v>
      </c>
      <c r="S165" t="s">
        <v>125</v>
      </c>
      <c r="T165" s="4">
        <f t="shared" si="2"/>
        <v>142.55000000000001</v>
      </c>
    </row>
    <row r="166" spans="1:20" x14ac:dyDescent="0.2">
      <c r="A166">
        <v>166</v>
      </c>
      <c r="B166">
        <v>2</v>
      </c>
      <c r="C166" t="s">
        <v>802</v>
      </c>
      <c r="D166" t="s">
        <v>803</v>
      </c>
      <c r="E166" t="s">
        <v>804</v>
      </c>
      <c r="H166" t="s">
        <v>67</v>
      </c>
      <c r="I166" t="s">
        <v>67</v>
      </c>
      <c r="J166" t="s">
        <v>92</v>
      </c>
      <c r="K166" t="s">
        <v>210</v>
      </c>
      <c r="L166" s="2">
        <v>800972.04941981356</v>
      </c>
      <c r="M166" s="3">
        <v>4.0318435410159247E-2</v>
      </c>
      <c r="N166" s="3">
        <v>0</v>
      </c>
      <c r="O166" s="3">
        <v>0.41302589012074131</v>
      </c>
      <c r="P166" s="3">
        <v>0.52475477169525608</v>
      </c>
      <c r="Q166" s="3">
        <v>2.1900902773843489E-2</v>
      </c>
      <c r="R166" s="3">
        <v>0.9377806618159974</v>
      </c>
      <c r="S166" t="s">
        <v>44</v>
      </c>
      <c r="T166" s="4">
        <f t="shared" si="2"/>
        <v>244.06</v>
      </c>
    </row>
    <row r="167" spans="1:20" x14ac:dyDescent="0.2">
      <c r="A167">
        <v>167</v>
      </c>
      <c r="B167">
        <v>1</v>
      </c>
      <c r="C167" t="s">
        <v>805</v>
      </c>
      <c r="D167" t="s">
        <v>806</v>
      </c>
      <c r="E167" t="s">
        <v>804</v>
      </c>
      <c r="F167" t="s">
        <v>807</v>
      </c>
      <c r="G167" t="s">
        <v>808</v>
      </c>
      <c r="H167" t="s">
        <v>25</v>
      </c>
      <c r="I167" t="s">
        <v>25</v>
      </c>
      <c r="J167" t="s">
        <v>34</v>
      </c>
      <c r="K167" t="s">
        <v>621</v>
      </c>
      <c r="L167" s="2">
        <v>400486.02470990678</v>
      </c>
      <c r="M167" s="3">
        <v>0.48816057089268511</v>
      </c>
      <c r="N167" s="3">
        <v>0</v>
      </c>
      <c r="O167" s="3">
        <v>0.26153542963234749</v>
      </c>
      <c r="P167" s="3">
        <v>3.6566860807514881E-4</v>
      </c>
      <c r="Q167" s="3">
        <v>0.24993833086689221</v>
      </c>
      <c r="R167" s="3">
        <v>0.26190109824042263</v>
      </c>
      <c r="S167" t="s">
        <v>69</v>
      </c>
      <c r="T167" s="4">
        <f t="shared" si="2"/>
        <v>101.23</v>
      </c>
    </row>
    <row r="168" spans="1:20" x14ac:dyDescent="0.2">
      <c r="A168">
        <v>168</v>
      </c>
      <c r="B168">
        <v>3</v>
      </c>
      <c r="C168" t="s">
        <v>809</v>
      </c>
      <c r="D168" t="s">
        <v>810</v>
      </c>
      <c r="E168" t="s">
        <v>804</v>
      </c>
      <c r="F168" t="s">
        <v>811</v>
      </c>
      <c r="G168" t="s">
        <v>812</v>
      </c>
      <c r="H168" t="s">
        <v>67</v>
      </c>
      <c r="I168" t="s">
        <v>67</v>
      </c>
      <c r="J168" t="s">
        <v>92</v>
      </c>
      <c r="K168" t="s">
        <v>266</v>
      </c>
      <c r="L168" s="2">
        <v>1201458.07412972</v>
      </c>
      <c r="M168" s="3">
        <v>1.8129365069785731E-3</v>
      </c>
      <c r="N168" s="3">
        <v>0</v>
      </c>
      <c r="O168" s="3">
        <v>0.2163554917898789</v>
      </c>
      <c r="P168" s="3">
        <v>0.19369313171068739</v>
      </c>
      <c r="Q168" s="3">
        <v>0.58813843999245519</v>
      </c>
      <c r="R168" s="3">
        <v>0.41004862350056631</v>
      </c>
      <c r="S168" t="s">
        <v>125</v>
      </c>
      <c r="T168" s="4">
        <f t="shared" si="2"/>
        <v>101.56</v>
      </c>
    </row>
    <row r="169" spans="1:20" x14ac:dyDescent="0.2">
      <c r="A169">
        <v>170</v>
      </c>
      <c r="B169">
        <v>1</v>
      </c>
      <c r="C169" t="s">
        <v>813</v>
      </c>
      <c r="D169" t="s">
        <v>814</v>
      </c>
      <c r="E169" t="s">
        <v>815</v>
      </c>
      <c r="F169" t="s">
        <v>816</v>
      </c>
      <c r="G169" t="s">
        <v>817</v>
      </c>
      <c r="H169" t="s">
        <v>25</v>
      </c>
      <c r="I169" t="s">
        <v>25</v>
      </c>
      <c r="J169" t="s">
        <v>26</v>
      </c>
      <c r="K169" t="s">
        <v>818</v>
      </c>
      <c r="L169" s="2">
        <v>400486.02470990678</v>
      </c>
      <c r="M169" s="3">
        <v>0</v>
      </c>
      <c r="N169" s="3">
        <v>0</v>
      </c>
      <c r="O169" s="3">
        <v>0.4301535768686845</v>
      </c>
      <c r="P169" s="3">
        <v>0.43128178813888102</v>
      </c>
      <c r="Q169" s="3">
        <v>0.13856463499243449</v>
      </c>
      <c r="R169" s="3">
        <v>0.86143536500756546</v>
      </c>
      <c r="S169" t="s">
        <v>44</v>
      </c>
      <c r="T169" s="4">
        <f t="shared" si="2"/>
        <v>215.42</v>
      </c>
    </row>
    <row r="170" spans="1:20" x14ac:dyDescent="0.2">
      <c r="A170">
        <v>171</v>
      </c>
      <c r="B170">
        <v>1</v>
      </c>
      <c r="C170" t="s">
        <v>819</v>
      </c>
      <c r="D170" t="s">
        <v>820</v>
      </c>
      <c r="E170" t="s">
        <v>821</v>
      </c>
      <c r="H170" t="s">
        <v>25</v>
      </c>
      <c r="I170" t="s">
        <v>25</v>
      </c>
      <c r="J170" t="s">
        <v>34</v>
      </c>
      <c r="K170" t="s">
        <v>621</v>
      </c>
      <c r="L170" s="2">
        <v>400486.02470990678</v>
      </c>
      <c r="M170" s="3">
        <v>0.1115907733335936</v>
      </c>
      <c r="N170" s="3">
        <v>0</v>
      </c>
      <c r="O170" s="3">
        <v>0.2395465002238614</v>
      </c>
      <c r="P170" s="3">
        <v>0.2321640608227791</v>
      </c>
      <c r="Q170" s="3">
        <v>0.41669866561976587</v>
      </c>
      <c r="R170" s="3">
        <v>0.47171056104664039</v>
      </c>
      <c r="S170" t="s">
        <v>125</v>
      </c>
      <c r="T170" s="4">
        <f t="shared" si="2"/>
        <v>128.72</v>
      </c>
    </row>
    <row r="171" spans="1:20" x14ac:dyDescent="0.2">
      <c r="A171">
        <v>172</v>
      </c>
      <c r="B171">
        <v>1</v>
      </c>
      <c r="C171" t="s">
        <v>822</v>
      </c>
      <c r="D171" t="s">
        <v>823</v>
      </c>
      <c r="E171" t="s">
        <v>824</v>
      </c>
      <c r="H171" t="s">
        <v>67</v>
      </c>
      <c r="I171" t="s">
        <v>67</v>
      </c>
      <c r="J171" t="s">
        <v>34</v>
      </c>
      <c r="K171" t="s">
        <v>639</v>
      </c>
      <c r="L171" s="2">
        <v>400486.02470990678</v>
      </c>
      <c r="M171" s="3">
        <v>6.5041566499520254E-2</v>
      </c>
      <c r="N171" s="3">
        <v>0</v>
      </c>
      <c r="O171" s="3">
        <v>0.17845523679750949</v>
      </c>
      <c r="P171" s="3">
        <v>9.5726489759207486E-2</v>
      </c>
      <c r="Q171" s="3">
        <v>0.66077670694376278</v>
      </c>
      <c r="R171" s="3">
        <v>0.27418172655671702</v>
      </c>
      <c r="S171" t="s">
        <v>69</v>
      </c>
      <c r="T171" s="4">
        <f t="shared" si="2"/>
        <v>70.91</v>
      </c>
    </row>
    <row r="172" spans="1:20" x14ac:dyDescent="0.2">
      <c r="A172">
        <v>173</v>
      </c>
      <c r="B172">
        <v>1</v>
      </c>
      <c r="C172" t="s">
        <v>825</v>
      </c>
      <c r="D172" t="s">
        <v>826</v>
      </c>
      <c r="E172" t="s">
        <v>827</v>
      </c>
      <c r="H172" t="s">
        <v>67</v>
      </c>
      <c r="I172" t="s">
        <v>67</v>
      </c>
      <c r="J172" t="s">
        <v>34</v>
      </c>
      <c r="K172" t="s">
        <v>753</v>
      </c>
      <c r="L172" s="2">
        <v>400486.02470990678</v>
      </c>
      <c r="M172" s="3">
        <v>7.70779294708144E-3</v>
      </c>
      <c r="N172" s="3">
        <v>0</v>
      </c>
      <c r="O172" s="3">
        <v>0.32477016225419869</v>
      </c>
      <c r="P172" s="3">
        <v>0.6583169734261658</v>
      </c>
      <c r="Q172" s="3">
        <v>9.2050713725539968E-3</v>
      </c>
      <c r="R172" s="3">
        <v>0.98308713568036454</v>
      </c>
      <c r="S172" t="s">
        <v>44</v>
      </c>
      <c r="T172" s="4">
        <f t="shared" si="2"/>
        <v>263.22000000000003</v>
      </c>
    </row>
    <row r="173" spans="1:20" x14ac:dyDescent="0.2">
      <c r="A173">
        <v>174</v>
      </c>
      <c r="B173">
        <v>1</v>
      </c>
      <c r="C173" t="s">
        <v>828</v>
      </c>
      <c r="D173" t="s">
        <v>829</v>
      </c>
      <c r="E173" t="s">
        <v>830</v>
      </c>
      <c r="F173" t="s">
        <v>831</v>
      </c>
      <c r="G173" t="s">
        <v>832</v>
      </c>
      <c r="H173" t="s">
        <v>67</v>
      </c>
      <c r="I173" t="s">
        <v>67</v>
      </c>
      <c r="J173" t="s">
        <v>34</v>
      </c>
      <c r="K173" t="s">
        <v>818</v>
      </c>
      <c r="L173" s="2">
        <v>400486.02470990678</v>
      </c>
      <c r="M173" s="3">
        <v>0.66800231207271876</v>
      </c>
      <c r="N173" s="3">
        <v>0</v>
      </c>
      <c r="O173" s="3">
        <v>0.13318998655245701</v>
      </c>
      <c r="P173" s="3">
        <v>2.948189787711495E-2</v>
      </c>
      <c r="Q173" s="3">
        <v>0.16932580349770929</v>
      </c>
      <c r="R173" s="3">
        <v>0.16267188442957201</v>
      </c>
      <c r="S173" t="s">
        <v>36</v>
      </c>
      <c r="T173" s="4">
        <f t="shared" si="2"/>
        <v>102.28</v>
      </c>
    </row>
    <row r="174" spans="1:20" x14ac:dyDescent="0.2">
      <c r="A174">
        <v>175</v>
      </c>
      <c r="B174">
        <v>1</v>
      </c>
      <c r="C174" t="s">
        <v>833</v>
      </c>
      <c r="D174" t="s">
        <v>834</v>
      </c>
      <c r="E174" t="s">
        <v>830</v>
      </c>
      <c r="F174" t="s">
        <v>835</v>
      </c>
      <c r="G174" t="s">
        <v>836</v>
      </c>
      <c r="H174" t="s">
        <v>67</v>
      </c>
      <c r="I174" t="s">
        <v>67</v>
      </c>
      <c r="J174" t="s">
        <v>26</v>
      </c>
      <c r="K174" t="s">
        <v>650</v>
      </c>
      <c r="L174" s="2">
        <v>400486.02470990678</v>
      </c>
      <c r="M174" s="3">
        <v>0.27608079688752468</v>
      </c>
      <c r="N174" s="3">
        <v>0</v>
      </c>
      <c r="O174" s="3">
        <v>0.16308500486716249</v>
      </c>
      <c r="P174" s="3">
        <v>0.17576413743246419</v>
      </c>
      <c r="Q174" s="3">
        <v>0.38507006081284861</v>
      </c>
      <c r="R174" s="3">
        <v>0.3388491422996267</v>
      </c>
      <c r="S174" t="s">
        <v>69</v>
      </c>
      <c r="T174" s="4">
        <f t="shared" si="2"/>
        <v>112.95</v>
      </c>
    </row>
    <row r="175" spans="1:20" x14ac:dyDescent="0.2">
      <c r="A175">
        <v>176</v>
      </c>
      <c r="B175">
        <v>1</v>
      </c>
      <c r="C175" t="s">
        <v>837</v>
      </c>
      <c r="D175" t="s">
        <v>838</v>
      </c>
      <c r="E175" t="s">
        <v>830</v>
      </c>
      <c r="F175" t="s">
        <v>839</v>
      </c>
      <c r="G175" t="s">
        <v>840</v>
      </c>
      <c r="H175" t="s">
        <v>67</v>
      </c>
      <c r="I175" t="s">
        <v>841</v>
      </c>
      <c r="J175" t="s">
        <v>92</v>
      </c>
      <c r="K175" t="s">
        <v>626</v>
      </c>
      <c r="L175" s="2">
        <v>400486.02470990678</v>
      </c>
      <c r="M175" s="3">
        <v>0.98856590674333955</v>
      </c>
      <c r="N175" s="3">
        <v>0</v>
      </c>
      <c r="O175" s="3">
        <v>5.1111649548862374E-3</v>
      </c>
      <c r="P175" s="3">
        <v>0</v>
      </c>
      <c r="Q175" s="3">
        <v>6.3229283017741666E-3</v>
      </c>
      <c r="R175" s="3">
        <v>5.1111649548862374E-3</v>
      </c>
      <c r="S175" t="s">
        <v>28</v>
      </c>
      <c r="T175" s="4">
        <f t="shared" si="2"/>
        <v>99.88</v>
      </c>
    </row>
    <row r="176" spans="1:20" x14ac:dyDescent="0.2">
      <c r="A176">
        <v>177</v>
      </c>
      <c r="B176">
        <v>1</v>
      </c>
      <c r="C176" t="s">
        <v>842</v>
      </c>
      <c r="D176" t="s">
        <v>843</v>
      </c>
      <c r="E176" t="s">
        <v>830</v>
      </c>
      <c r="F176" t="s">
        <v>844</v>
      </c>
      <c r="G176" t="s">
        <v>845</v>
      </c>
      <c r="H176" t="s">
        <v>67</v>
      </c>
      <c r="I176" t="s">
        <v>67</v>
      </c>
      <c r="J176" t="s">
        <v>34</v>
      </c>
      <c r="K176" t="s">
        <v>210</v>
      </c>
      <c r="L176" s="2">
        <v>400486.02470990678</v>
      </c>
      <c r="M176" s="3">
        <v>0.29947978932769592</v>
      </c>
      <c r="N176" s="3">
        <v>0</v>
      </c>
      <c r="O176" s="3">
        <v>0.1660098119105741</v>
      </c>
      <c r="P176" s="3">
        <v>0.27459993520372822</v>
      </c>
      <c r="Q176" s="3">
        <v>0.25991046355800179</v>
      </c>
      <c r="R176" s="3">
        <v>0.44060974711430229</v>
      </c>
      <c r="S176" t="s">
        <v>125</v>
      </c>
      <c r="T176" s="4">
        <f t="shared" si="2"/>
        <v>145.53</v>
      </c>
    </row>
    <row r="177" spans="1:20" x14ac:dyDescent="0.2">
      <c r="A177">
        <v>179</v>
      </c>
      <c r="B177">
        <v>1</v>
      </c>
      <c r="C177" t="s">
        <v>846</v>
      </c>
      <c r="D177" t="s">
        <v>847</v>
      </c>
      <c r="E177" t="s">
        <v>848</v>
      </c>
      <c r="F177" t="s">
        <v>849</v>
      </c>
      <c r="G177" t="s">
        <v>850</v>
      </c>
      <c r="H177" t="s">
        <v>25</v>
      </c>
      <c r="I177" t="s">
        <v>25</v>
      </c>
      <c r="J177" t="s">
        <v>26</v>
      </c>
      <c r="K177" t="s">
        <v>86</v>
      </c>
      <c r="L177" s="2">
        <v>400486.02470990678</v>
      </c>
      <c r="M177" s="3">
        <v>0.13940777163644361</v>
      </c>
      <c r="N177" s="3">
        <v>0</v>
      </c>
      <c r="O177" s="3">
        <v>0.2493737917591041</v>
      </c>
      <c r="P177" s="3">
        <v>0.20958491949019581</v>
      </c>
      <c r="Q177" s="3">
        <v>0.40163351711425649</v>
      </c>
      <c r="R177" s="3">
        <v>0.45895871124929988</v>
      </c>
      <c r="S177" t="s">
        <v>125</v>
      </c>
      <c r="T177" s="4">
        <f t="shared" si="2"/>
        <v>126.69</v>
      </c>
    </row>
    <row r="178" spans="1:20" x14ac:dyDescent="0.2">
      <c r="A178">
        <v>180</v>
      </c>
      <c r="B178">
        <v>1</v>
      </c>
      <c r="C178" t="s">
        <v>851</v>
      </c>
      <c r="D178" t="s">
        <v>852</v>
      </c>
      <c r="E178" t="s">
        <v>853</v>
      </c>
      <c r="F178" t="s">
        <v>854</v>
      </c>
      <c r="G178" t="s">
        <v>855</v>
      </c>
      <c r="H178" t="s">
        <v>67</v>
      </c>
      <c r="I178" t="s">
        <v>67</v>
      </c>
      <c r="J178" t="s">
        <v>26</v>
      </c>
      <c r="K178" t="s">
        <v>193</v>
      </c>
      <c r="L178" s="2">
        <v>400486.02470990678</v>
      </c>
      <c r="M178" s="3">
        <v>0</v>
      </c>
      <c r="N178" s="3">
        <v>0</v>
      </c>
      <c r="O178" s="3">
        <v>4.7252119537936087E-2</v>
      </c>
      <c r="P178" s="3">
        <v>0.74607609687646226</v>
      </c>
      <c r="Q178" s="3">
        <v>0.2066717835856017</v>
      </c>
      <c r="R178" s="3">
        <v>0.79332821641439832</v>
      </c>
      <c r="S178" t="s">
        <v>44</v>
      </c>
      <c r="T178" s="4">
        <f t="shared" si="2"/>
        <v>233.27</v>
      </c>
    </row>
    <row r="179" spans="1:20" x14ac:dyDescent="0.2">
      <c r="A179">
        <v>181</v>
      </c>
      <c r="B179">
        <v>3</v>
      </c>
      <c r="C179" t="s">
        <v>856</v>
      </c>
      <c r="D179" t="s">
        <v>857</v>
      </c>
      <c r="E179" t="s">
        <v>858</v>
      </c>
      <c r="H179" t="s">
        <v>67</v>
      </c>
      <c r="I179" t="s">
        <v>67</v>
      </c>
      <c r="J179" t="s">
        <v>26</v>
      </c>
      <c r="K179" t="s">
        <v>540</v>
      </c>
      <c r="L179" s="2">
        <v>1201458.07412972</v>
      </c>
      <c r="M179" s="3">
        <v>2.5836376400357598E-3</v>
      </c>
      <c r="N179" s="3">
        <v>0</v>
      </c>
      <c r="O179" s="3">
        <v>0.299405538638156</v>
      </c>
      <c r="P179" s="3">
        <v>0.25792867698197169</v>
      </c>
      <c r="Q179" s="3">
        <v>0.44008214673983659</v>
      </c>
      <c r="R179" s="3">
        <v>0.55733421562012775</v>
      </c>
      <c r="S179" t="s">
        <v>125</v>
      </c>
      <c r="T179" s="4">
        <f t="shared" si="2"/>
        <v>137.52000000000001</v>
      </c>
    </row>
    <row r="180" spans="1:20" x14ac:dyDescent="0.2">
      <c r="A180">
        <v>182</v>
      </c>
      <c r="B180">
        <v>4</v>
      </c>
      <c r="C180" t="s">
        <v>859</v>
      </c>
      <c r="D180" t="s">
        <v>860</v>
      </c>
      <c r="E180" t="s">
        <v>861</v>
      </c>
      <c r="H180" t="s">
        <v>67</v>
      </c>
      <c r="I180" t="s">
        <v>67</v>
      </c>
      <c r="J180" t="s">
        <v>26</v>
      </c>
      <c r="K180" t="s">
        <v>585</v>
      </c>
      <c r="L180" s="2">
        <v>1601944.0988396271</v>
      </c>
      <c r="M180" s="3">
        <v>6.5860788762258163E-2</v>
      </c>
      <c r="N180" s="3">
        <v>0</v>
      </c>
      <c r="O180" s="3">
        <v>0.18396700566258811</v>
      </c>
      <c r="P180" s="3">
        <v>5.1682958371053557E-2</v>
      </c>
      <c r="Q180" s="3">
        <v>0.69848924720410022</v>
      </c>
      <c r="R180" s="3">
        <v>0.23564996403364169</v>
      </c>
      <c r="S180" t="s">
        <v>69</v>
      </c>
      <c r="T180" s="4">
        <f t="shared" si="2"/>
        <v>58.88</v>
      </c>
    </row>
    <row r="181" spans="1:20" x14ac:dyDescent="0.2">
      <c r="A181">
        <v>183</v>
      </c>
      <c r="B181">
        <v>1</v>
      </c>
      <c r="C181" t="s">
        <v>862</v>
      </c>
      <c r="D181" t="s">
        <v>863</v>
      </c>
      <c r="E181" t="s">
        <v>456</v>
      </c>
      <c r="F181" t="s">
        <v>864</v>
      </c>
      <c r="G181" t="s">
        <v>865</v>
      </c>
      <c r="H181" t="s">
        <v>25</v>
      </c>
      <c r="I181" t="s">
        <v>25</v>
      </c>
      <c r="J181" t="s">
        <v>92</v>
      </c>
      <c r="K181" t="s">
        <v>230</v>
      </c>
      <c r="L181" s="2">
        <v>400486.02470990678</v>
      </c>
      <c r="M181" s="3">
        <v>0.88416554020779492</v>
      </c>
      <c r="N181" s="3">
        <v>0</v>
      </c>
      <c r="O181" s="3">
        <v>0.1152595964555849</v>
      </c>
      <c r="P181" s="3">
        <v>0</v>
      </c>
      <c r="Q181" s="3">
        <v>5.7486333662026823E-4</v>
      </c>
      <c r="R181" s="3">
        <v>0.1152595964555849</v>
      </c>
      <c r="S181" t="s">
        <v>36</v>
      </c>
      <c r="T181" s="4">
        <f t="shared" si="2"/>
        <v>111.47</v>
      </c>
    </row>
    <row r="182" spans="1:20" x14ac:dyDescent="0.2">
      <c r="A182">
        <v>184</v>
      </c>
      <c r="B182">
        <v>1</v>
      </c>
      <c r="C182" t="s">
        <v>866</v>
      </c>
      <c r="D182" t="s">
        <v>867</v>
      </c>
      <c r="E182" t="s">
        <v>868</v>
      </c>
      <c r="H182" t="s">
        <v>80</v>
      </c>
      <c r="I182" t="s">
        <v>80</v>
      </c>
      <c r="J182" t="s">
        <v>26</v>
      </c>
      <c r="K182" t="s">
        <v>149</v>
      </c>
      <c r="L182" s="2">
        <v>400486.02470990678</v>
      </c>
      <c r="M182" s="3">
        <v>0.66905491590523203</v>
      </c>
      <c r="N182" s="3">
        <v>0</v>
      </c>
      <c r="O182" s="3">
        <v>0.1025810873943446</v>
      </c>
      <c r="P182" s="3">
        <v>7.3560714205951505E-2</v>
      </c>
      <c r="Q182" s="3">
        <v>0.15480328249447181</v>
      </c>
      <c r="R182" s="3">
        <v>0.17614180160029611</v>
      </c>
      <c r="S182" t="s">
        <v>36</v>
      </c>
      <c r="T182" s="4">
        <f t="shared" si="2"/>
        <v>109.49</v>
      </c>
    </row>
    <row r="183" spans="1:20" x14ac:dyDescent="0.2">
      <c r="A183">
        <v>185</v>
      </c>
      <c r="B183">
        <v>1</v>
      </c>
      <c r="C183" t="s">
        <v>869</v>
      </c>
      <c r="D183" t="s">
        <v>870</v>
      </c>
      <c r="E183" t="s">
        <v>871</v>
      </c>
      <c r="F183" t="s">
        <v>872</v>
      </c>
      <c r="G183" t="s">
        <v>345</v>
      </c>
      <c r="H183" t="s">
        <v>25</v>
      </c>
      <c r="I183" t="s">
        <v>25</v>
      </c>
      <c r="J183" t="s">
        <v>92</v>
      </c>
      <c r="K183" t="s">
        <v>118</v>
      </c>
      <c r="L183" s="2">
        <v>400486.02470990678</v>
      </c>
      <c r="M183" s="3">
        <v>0.75589201145801199</v>
      </c>
      <c r="N183" s="3">
        <v>2.8946107953157701E-2</v>
      </c>
      <c r="O183" s="3">
        <v>0.1405786889546774</v>
      </c>
      <c r="P183" s="3">
        <v>1.326559626971489E-2</v>
      </c>
      <c r="Q183" s="3">
        <v>6.1317595364438038E-2</v>
      </c>
      <c r="R183" s="3">
        <v>0.15384428522439231</v>
      </c>
      <c r="S183" t="s">
        <v>36</v>
      </c>
      <c r="T183" s="4">
        <f t="shared" si="2"/>
        <v>107.68</v>
      </c>
    </row>
    <row r="184" spans="1:20" x14ac:dyDescent="0.2">
      <c r="A184">
        <v>186</v>
      </c>
      <c r="B184">
        <v>1</v>
      </c>
      <c r="C184" t="s">
        <v>873</v>
      </c>
      <c r="D184" t="s">
        <v>874</v>
      </c>
      <c r="E184" t="s">
        <v>871</v>
      </c>
      <c r="F184" t="s">
        <v>875</v>
      </c>
      <c r="G184" t="s">
        <v>876</v>
      </c>
      <c r="H184" t="s">
        <v>25</v>
      </c>
      <c r="I184" t="s">
        <v>877</v>
      </c>
      <c r="J184" t="s">
        <v>92</v>
      </c>
      <c r="K184" t="s">
        <v>878</v>
      </c>
      <c r="L184" s="2">
        <v>400486.02470990678</v>
      </c>
      <c r="M184" s="3">
        <v>0.48800880208735209</v>
      </c>
      <c r="N184" s="3">
        <v>1.1873641924909769E-2</v>
      </c>
      <c r="O184" s="3">
        <v>0.20524651861987561</v>
      </c>
      <c r="P184" s="3">
        <v>0.1491150794127109</v>
      </c>
      <c r="Q184" s="3">
        <v>0.14575595795515159</v>
      </c>
      <c r="R184" s="3">
        <v>0.35436159803258649</v>
      </c>
      <c r="S184" t="s">
        <v>69</v>
      </c>
      <c r="T184" s="4">
        <f t="shared" si="2"/>
        <v>134.58000000000001</v>
      </c>
    </row>
    <row r="185" spans="1:20" x14ac:dyDescent="0.2">
      <c r="A185">
        <v>187</v>
      </c>
      <c r="B185">
        <v>1</v>
      </c>
      <c r="C185" t="s">
        <v>879</v>
      </c>
      <c r="D185" t="s">
        <v>880</v>
      </c>
      <c r="E185" t="s">
        <v>871</v>
      </c>
      <c r="F185" t="s">
        <v>881</v>
      </c>
      <c r="G185" t="s">
        <v>882</v>
      </c>
      <c r="H185" t="s">
        <v>67</v>
      </c>
      <c r="I185" t="s">
        <v>67</v>
      </c>
      <c r="J185" t="s">
        <v>26</v>
      </c>
      <c r="K185" t="s">
        <v>124</v>
      </c>
      <c r="L185" s="2">
        <v>400486.02470990678</v>
      </c>
      <c r="M185" s="3">
        <v>0.32991411558762318</v>
      </c>
      <c r="N185" s="3">
        <v>0</v>
      </c>
      <c r="O185" s="3">
        <v>0.26016428114888129</v>
      </c>
      <c r="P185" s="3">
        <v>0.32031862459470262</v>
      </c>
      <c r="Q185" s="3">
        <v>8.9602978668792854E-2</v>
      </c>
      <c r="R185" s="3">
        <v>0.58048290574358385</v>
      </c>
      <c r="S185" t="s">
        <v>125</v>
      </c>
      <c r="T185" s="4">
        <f t="shared" si="2"/>
        <v>181.12</v>
      </c>
    </row>
    <row r="186" spans="1:20" x14ac:dyDescent="0.2">
      <c r="A186">
        <v>188</v>
      </c>
      <c r="B186">
        <v>1</v>
      </c>
      <c r="C186" t="s">
        <v>883</v>
      </c>
      <c r="D186" t="s">
        <v>884</v>
      </c>
      <c r="E186" t="s">
        <v>871</v>
      </c>
      <c r="F186" t="s">
        <v>885</v>
      </c>
      <c r="G186" t="s">
        <v>886</v>
      </c>
      <c r="H186" t="s">
        <v>67</v>
      </c>
      <c r="I186" t="s">
        <v>67</v>
      </c>
      <c r="J186" t="s">
        <v>26</v>
      </c>
      <c r="K186" t="s">
        <v>561</v>
      </c>
      <c r="L186" s="2">
        <v>400486.02470990678</v>
      </c>
      <c r="M186" s="3">
        <v>0.16994258471127241</v>
      </c>
      <c r="N186" s="3">
        <v>0</v>
      </c>
      <c r="O186" s="3">
        <v>0.20534416730695401</v>
      </c>
      <c r="P186" s="3">
        <v>0.1028625946197972</v>
      </c>
      <c r="Q186" s="3">
        <v>0.52185065336197622</v>
      </c>
      <c r="R186" s="3">
        <v>0.30820676192675123</v>
      </c>
      <c r="S186" t="s">
        <v>69</v>
      </c>
      <c r="T186" s="4">
        <f t="shared" si="2"/>
        <v>88.92</v>
      </c>
    </row>
    <row r="187" spans="1:20" x14ac:dyDescent="0.2">
      <c r="A187">
        <v>189</v>
      </c>
      <c r="B187">
        <v>1</v>
      </c>
      <c r="C187" t="s">
        <v>887</v>
      </c>
      <c r="D187" t="s">
        <v>888</v>
      </c>
      <c r="E187" t="s">
        <v>871</v>
      </c>
      <c r="F187" t="s">
        <v>889</v>
      </c>
      <c r="G187" t="s">
        <v>890</v>
      </c>
      <c r="H187" t="s">
        <v>67</v>
      </c>
      <c r="I187" t="s">
        <v>67</v>
      </c>
      <c r="J187" t="s">
        <v>26</v>
      </c>
      <c r="K187" t="s">
        <v>891</v>
      </c>
      <c r="L187" s="2">
        <v>400486.02470990678</v>
      </c>
      <c r="M187" s="3">
        <v>0.4202428710523492</v>
      </c>
      <c r="N187" s="3">
        <v>0</v>
      </c>
      <c r="O187" s="3">
        <v>0.19120430643019659</v>
      </c>
      <c r="P187" s="3">
        <v>9.8414885208765096E-2</v>
      </c>
      <c r="Q187" s="3">
        <v>0.2901379373086892</v>
      </c>
      <c r="R187" s="3">
        <v>0.28961919163896171</v>
      </c>
      <c r="S187" t="s">
        <v>69</v>
      </c>
      <c r="T187" s="4">
        <f t="shared" si="2"/>
        <v>109.79</v>
      </c>
    </row>
    <row r="188" spans="1:20" x14ac:dyDescent="0.2">
      <c r="A188">
        <v>190</v>
      </c>
      <c r="B188">
        <v>1</v>
      </c>
      <c r="C188" t="s">
        <v>892</v>
      </c>
      <c r="D188" t="s">
        <v>893</v>
      </c>
      <c r="E188" t="s">
        <v>894</v>
      </c>
      <c r="H188" t="s">
        <v>25</v>
      </c>
      <c r="I188" t="s">
        <v>25</v>
      </c>
      <c r="J188" t="s">
        <v>34</v>
      </c>
      <c r="K188" t="s">
        <v>878</v>
      </c>
      <c r="L188" s="2">
        <v>400486.02470990678</v>
      </c>
      <c r="M188" s="3">
        <v>0</v>
      </c>
      <c r="N188" s="3">
        <v>0</v>
      </c>
      <c r="O188" s="3">
        <v>0.30845874004822821</v>
      </c>
      <c r="P188" s="3">
        <v>0.41768472398044743</v>
      </c>
      <c r="Q188" s="3">
        <v>0.27385653597132448</v>
      </c>
      <c r="R188" s="3">
        <v>0.72614346402867558</v>
      </c>
      <c r="S188" t="s">
        <v>44</v>
      </c>
      <c r="T188" s="4">
        <f t="shared" si="2"/>
        <v>187</v>
      </c>
    </row>
    <row r="189" spans="1:20" x14ac:dyDescent="0.2">
      <c r="A189">
        <v>191</v>
      </c>
      <c r="B189">
        <v>1</v>
      </c>
      <c r="C189" t="s">
        <v>895</v>
      </c>
      <c r="D189" t="s">
        <v>896</v>
      </c>
      <c r="E189" t="s">
        <v>474</v>
      </c>
      <c r="F189" t="s">
        <v>897</v>
      </c>
      <c r="G189" t="s">
        <v>898</v>
      </c>
      <c r="H189" t="s">
        <v>25</v>
      </c>
      <c r="I189" t="s">
        <v>25</v>
      </c>
      <c r="J189" t="s">
        <v>26</v>
      </c>
      <c r="K189" t="s">
        <v>891</v>
      </c>
      <c r="L189" s="2">
        <v>400486.02470990678</v>
      </c>
      <c r="M189" s="3">
        <v>0.51638999568229937</v>
      </c>
      <c r="N189" s="3">
        <v>0</v>
      </c>
      <c r="O189" s="3">
        <v>0.1277228699551228</v>
      </c>
      <c r="P189" s="3">
        <v>3.0012686148812119E-2</v>
      </c>
      <c r="Q189" s="3">
        <v>0.32587444821376571</v>
      </c>
      <c r="R189" s="3">
        <v>0.15773555610393489</v>
      </c>
      <c r="S189" t="s">
        <v>36</v>
      </c>
      <c r="T189" s="4">
        <f t="shared" si="2"/>
        <v>86.19</v>
      </c>
    </row>
    <row r="190" spans="1:20" x14ac:dyDescent="0.2">
      <c r="A190">
        <v>192</v>
      </c>
      <c r="B190">
        <v>1</v>
      </c>
      <c r="C190" t="s">
        <v>899</v>
      </c>
      <c r="D190" t="s">
        <v>900</v>
      </c>
      <c r="E190" t="s">
        <v>474</v>
      </c>
      <c r="H190" t="s">
        <v>67</v>
      </c>
      <c r="I190" t="s">
        <v>67</v>
      </c>
      <c r="J190" t="s">
        <v>26</v>
      </c>
      <c r="K190" t="s">
        <v>161</v>
      </c>
      <c r="L190" s="2">
        <v>400486.02470990678</v>
      </c>
      <c r="M190" s="3">
        <v>6.1804120774694687E-2</v>
      </c>
      <c r="N190" s="3">
        <v>2.252106584252761E-3</v>
      </c>
      <c r="O190" s="3">
        <v>0.37838528885553091</v>
      </c>
      <c r="P190" s="3">
        <v>0.49342515083685229</v>
      </c>
      <c r="Q190" s="3">
        <v>6.4133332948669297E-2</v>
      </c>
      <c r="R190" s="3">
        <v>0.87181043969238314</v>
      </c>
      <c r="S190" t="s">
        <v>44</v>
      </c>
      <c r="T190" s="4">
        <f t="shared" si="2"/>
        <v>229.89</v>
      </c>
    </row>
    <row r="191" spans="1:20" x14ac:dyDescent="0.2">
      <c r="A191">
        <v>193</v>
      </c>
      <c r="B191">
        <v>1</v>
      </c>
      <c r="C191" t="s">
        <v>901</v>
      </c>
      <c r="D191" t="s">
        <v>902</v>
      </c>
      <c r="E191" t="s">
        <v>903</v>
      </c>
      <c r="F191" t="s">
        <v>709</v>
      </c>
      <c r="G191" t="s">
        <v>710</v>
      </c>
      <c r="H191" t="s">
        <v>25</v>
      </c>
      <c r="I191" t="s">
        <v>25</v>
      </c>
      <c r="J191" t="s">
        <v>26</v>
      </c>
      <c r="K191" t="s">
        <v>904</v>
      </c>
      <c r="L191" s="2">
        <v>400486.02470986679</v>
      </c>
      <c r="M191" s="3">
        <v>0.84113861578309568</v>
      </c>
      <c r="N191" s="3">
        <v>0</v>
      </c>
      <c r="O191" s="3">
        <v>0.1066840218755532</v>
      </c>
      <c r="P191" s="3">
        <v>5.2177362341364643E-2</v>
      </c>
      <c r="Q191" s="3">
        <v>0</v>
      </c>
      <c r="R191" s="3">
        <v>0.15886138421691781</v>
      </c>
      <c r="S191" t="s">
        <v>36</v>
      </c>
      <c r="T191" s="4">
        <f t="shared" si="2"/>
        <v>121.1</v>
      </c>
    </row>
    <row r="192" spans="1:20" x14ac:dyDescent="0.2">
      <c r="A192">
        <v>194</v>
      </c>
      <c r="B192">
        <v>1</v>
      </c>
      <c r="C192" t="s">
        <v>905</v>
      </c>
      <c r="D192" t="s">
        <v>906</v>
      </c>
      <c r="E192" t="s">
        <v>907</v>
      </c>
      <c r="F192" t="s">
        <v>908</v>
      </c>
      <c r="G192" t="s">
        <v>909</v>
      </c>
      <c r="H192" t="s">
        <v>25</v>
      </c>
      <c r="I192" t="s">
        <v>25</v>
      </c>
      <c r="J192" t="s">
        <v>92</v>
      </c>
      <c r="K192" t="s">
        <v>210</v>
      </c>
      <c r="L192" s="2">
        <v>400486.02470986679</v>
      </c>
      <c r="M192" s="3">
        <v>0.49384846580865299</v>
      </c>
      <c r="N192" s="3">
        <v>0</v>
      </c>
      <c r="O192" s="3">
        <v>0.1295923793725979</v>
      </c>
      <c r="P192" s="3">
        <v>1.42155653120687E-2</v>
      </c>
      <c r="Q192" s="3">
        <v>0.36234358950668027</v>
      </c>
      <c r="R192" s="3">
        <v>0.14380794468466659</v>
      </c>
      <c r="S192" t="s">
        <v>36</v>
      </c>
      <c r="T192" s="4">
        <f t="shared" si="2"/>
        <v>79.569999999999993</v>
      </c>
    </row>
    <row r="193" spans="1:20" x14ac:dyDescent="0.2">
      <c r="A193">
        <v>195</v>
      </c>
      <c r="B193">
        <v>1</v>
      </c>
      <c r="C193" t="s">
        <v>910</v>
      </c>
      <c r="D193" t="s">
        <v>911</v>
      </c>
      <c r="E193" t="s">
        <v>907</v>
      </c>
      <c r="F193" t="s">
        <v>912</v>
      </c>
      <c r="G193" t="s">
        <v>913</v>
      </c>
      <c r="H193" t="s">
        <v>25</v>
      </c>
      <c r="I193" t="s">
        <v>25</v>
      </c>
      <c r="J193" t="s">
        <v>34</v>
      </c>
      <c r="K193" t="s">
        <v>210</v>
      </c>
      <c r="L193" s="2">
        <v>400486.02470986679</v>
      </c>
      <c r="M193" s="3">
        <v>0.9545327543238159</v>
      </c>
      <c r="N193" s="3">
        <v>0</v>
      </c>
      <c r="O193" s="3">
        <v>3.006187752394994E-2</v>
      </c>
      <c r="P193" s="3">
        <v>0</v>
      </c>
      <c r="Q193" s="3">
        <v>1.5405368152234139E-2</v>
      </c>
      <c r="R193" s="3">
        <v>3.006187752394994E-2</v>
      </c>
      <c r="S193" t="s">
        <v>28</v>
      </c>
      <c r="T193" s="4">
        <f t="shared" si="2"/>
        <v>101.47</v>
      </c>
    </row>
    <row r="194" spans="1:20" x14ac:dyDescent="0.2">
      <c r="A194">
        <v>196</v>
      </c>
      <c r="B194">
        <v>1</v>
      </c>
      <c r="C194" t="s">
        <v>914</v>
      </c>
      <c r="D194" t="s">
        <v>915</v>
      </c>
      <c r="E194" t="s">
        <v>907</v>
      </c>
      <c r="F194" t="s">
        <v>916</v>
      </c>
      <c r="G194" t="s">
        <v>917</v>
      </c>
      <c r="H194" t="s">
        <v>25</v>
      </c>
      <c r="I194" t="s">
        <v>25</v>
      </c>
      <c r="J194" t="s">
        <v>34</v>
      </c>
      <c r="K194" t="s">
        <v>210</v>
      </c>
      <c r="L194" s="2">
        <v>400486.02470986679</v>
      </c>
      <c r="M194" s="3">
        <v>0.99225879378228754</v>
      </c>
      <c r="N194" s="3">
        <v>0</v>
      </c>
      <c r="O194" s="3">
        <v>7.7412062177259133E-3</v>
      </c>
      <c r="P194" s="3">
        <v>0</v>
      </c>
      <c r="Q194" s="3">
        <v>0</v>
      </c>
      <c r="R194" s="3">
        <v>7.7412062177259133E-3</v>
      </c>
      <c r="S194" t="s">
        <v>28</v>
      </c>
      <c r="T194" s="4">
        <f t="shared" ref="T194:T257" si="3">ROUND((M194*100*1)+(O194*100*2)+(P194*100*3),2)</f>
        <v>100.77</v>
      </c>
    </row>
    <row r="195" spans="1:20" x14ac:dyDescent="0.2">
      <c r="A195">
        <v>197</v>
      </c>
      <c r="B195">
        <v>1</v>
      </c>
      <c r="C195" t="s">
        <v>918</v>
      </c>
      <c r="D195" t="s">
        <v>919</v>
      </c>
      <c r="E195" t="s">
        <v>903</v>
      </c>
      <c r="F195" t="s">
        <v>920</v>
      </c>
      <c r="G195" t="s">
        <v>921</v>
      </c>
      <c r="H195" t="s">
        <v>25</v>
      </c>
      <c r="I195" t="s">
        <v>25</v>
      </c>
      <c r="J195" t="s">
        <v>34</v>
      </c>
      <c r="K195" t="s">
        <v>210</v>
      </c>
      <c r="L195" s="2">
        <v>400486.02470986679</v>
      </c>
      <c r="M195" s="3">
        <v>0.3267134389951985</v>
      </c>
      <c r="N195" s="3">
        <v>0</v>
      </c>
      <c r="O195" s="3">
        <v>3.4021931331135E-2</v>
      </c>
      <c r="P195" s="3">
        <v>0</v>
      </c>
      <c r="Q195" s="3">
        <v>0.63926462967366648</v>
      </c>
      <c r="R195" s="3">
        <v>3.4021931331135E-2</v>
      </c>
      <c r="S195" t="s">
        <v>28</v>
      </c>
      <c r="T195" s="4">
        <f t="shared" si="3"/>
        <v>39.479999999999997</v>
      </c>
    </row>
    <row r="196" spans="1:20" x14ac:dyDescent="0.2">
      <c r="A196">
        <v>198</v>
      </c>
      <c r="B196">
        <v>1</v>
      </c>
      <c r="C196" t="s">
        <v>922</v>
      </c>
      <c r="D196" t="s">
        <v>923</v>
      </c>
      <c r="E196" t="s">
        <v>109</v>
      </c>
      <c r="F196" t="s">
        <v>924</v>
      </c>
      <c r="G196" t="s">
        <v>925</v>
      </c>
      <c r="H196" t="s">
        <v>25</v>
      </c>
      <c r="I196" t="s">
        <v>25</v>
      </c>
      <c r="J196" t="s">
        <v>26</v>
      </c>
      <c r="K196" t="s">
        <v>187</v>
      </c>
      <c r="L196" s="2">
        <v>400486.02470986679</v>
      </c>
      <c r="M196" s="3">
        <v>0.98045756259683214</v>
      </c>
      <c r="N196" s="3">
        <v>0</v>
      </c>
      <c r="O196" s="3">
        <v>1.9542437403176571E-2</v>
      </c>
      <c r="P196" s="3">
        <v>0</v>
      </c>
      <c r="Q196" s="3">
        <v>0</v>
      </c>
      <c r="R196" s="3">
        <v>1.9542437403176571E-2</v>
      </c>
      <c r="S196" t="s">
        <v>28</v>
      </c>
      <c r="T196" s="4">
        <f t="shared" si="3"/>
        <v>101.95</v>
      </c>
    </row>
    <row r="197" spans="1:20" x14ac:dyDescent="0.2">
      <c r="A197">
        <v>199</v>
      </c>
      <c r="B197">
        <v>1</v>
      </c>
      <c r="C197" t="s">
        <v>926</v>
      </c>
      <c r="D197" t="s">
        <v>927</v>
      </c>
      <c r="E197" t="s">
        <v>928</v>
      </c>
      <c r="F197" t="s">
        <v>929</v>
      </c>
      <c r="G197" t="s">
        <v>148</v>
      </c>
      <c r="H197" t="s">
        <v>25</v>
      </c>
      <c r="I197" t="s">
        <v>25</v>
      </c>
      <c r="J197" t="s">
        <v>92</v>
      </c>
      <c r="K197" t="s">
        <v>210</v>
      </c>
      <c r="L197" s="2">
        <v>400486.02470986679</v>
      </c>
      <c r="M197" s="3">
        <v>0</v>
      </c>
      <c r="N197" s="3">
        <v>0</v>
      </c>
      <c r="O197" s="3">
        <v>7.4109479875099749E-2</v>
      </c>
      <c r="P197" s="3">
        <v>5.7686159113374567E-2</v>
      </c>
      <c r="Q197" s="3">
        <v>0.86820436101152565</v>
      </c>
      <c r="R197" s="3">
        <v>0.1317956389884743</v>
      </c>
      <c r="S197" t="s">
        <v>36</v>
      </c>
      <c r="T197" s="4">
        <f t="shared" si="3"/>
        <v>32.130000000000003</v>
      </c>
    </row>
    <row r="198" spans="1:20" x14ac:dyDescent="0.2">
      <c r="A198">
        <v>200</v>
      </c>
      <c r="B198">
        <v>1</v>
      </c>
      <c r="C198" t="s">
        <v>930</v>
      </c>
      <c r="D198" t="s">
        <v>931</v>
      </c>
      <c r="E198" t="s">
        <v>932</v>
      </c>
      <c r="F198" t="s">
        <v>933</v>
      </c>
      <c r="G198" t="s">
        <v>934</v>
      </c>
      <c r="H198" t="s">
        <v>25</v>
      </c>
      <c r="I198" t="s">
        <v>25</v>
      </c>
      <c r="J198" t="s">
        <v>26</v>
      </c>
      <c r="K198" t="s">
        <v>56</v>
      </c>
      <c r="L198" s="2">
        <v>400486.02470986679</v>
      </c>
      <c r="M198" s="3">
        <v>0.95601337328873404</v>
      </c>
      <c r="N198" s="3">
        <v>0</v>
      </c>
      <c r="O198" s="3">
        <v>4.3986626711300637E-2</v>
      </c>
      <c r="P198" s="3">
        <v>0</v>
      </c>
      <c r="Q198" s="3">
        <v>0</v>
      </c>
      <c r="R198" s="3">
        <v>4.3986626711300637E-2</v>
      </c>
      <c r="S198" t="s">
        <v>28</v>
      </c>
      <c r="T198" s="4">
        <f t="shared" si="3"/>
        <v>104.4</v>
      </c>
    </row>
    <row r="199" spans="1:20" x14ac:dyDescent="0.2">
      <c r="A199">
        <v>201</v>
      </c>
      <c r="B199">
        <v>1</v>
      </c>
      <c r="C199" t="s">
        <v>935</v>
      </c>
      <c r="D199" t="s">
        <v>936</v>
      </c>
      <c r="E199" t="s">
        <v>937</v>
      </c>
      <c r="F199" t="s">
        <v>109</v>
      </c>
      <c r="G199" t="s">
        <v>609</v>
      </c>
      <c r="H199" t="s">
        <v>25</v>
      </c>
      <c r="I199" t="s">
        <v>25</v>
      </c>
      <c r="J199" t="s">
        <v>26</v>
      </c>
      <c r="K199" t="s">
        <v>210</v>
      </c>
      <c r="L199" s="2">
        <v>400486.02470986679</v>
      </c>
      <c r="M199" s="3">
        <v>0</v>
      </c>
      <c r="N199" s="3">
        <v>0.23866853849189179</v>
      </c>
      <c r="O199" s="3">
        <v>0</v>
      </c>
      <c r="P199" s="3">
        <v>0</v>
      </c>
      <c r="Q199" s="3">
        <v>0.76133146150810815</v>
      </c>
      <c r="R199" s="3">
        <v>0</v>
      </c>
      <c r="S199" t="s">
        <v>28</v>
      </c>
      <c r="T199" s="4">
        <f t="shared" si="3"/>
        <v>0</v>
      </c>
    </row>
    <row r="200" spans="1:20" x14ac:dyDescent="0.2">
      <c r="A200">
        <v>202</v>
      </c>
      <c r="B200">
        <v>1</v>
      </c>
      <c r="C200" t="s">
        <v>938</v>
      </c>
      <c r="D200" t="s">
        <v>939</v>
      </c>
      <c r="E200" t="s">
        <v>937</v>
      </c>
      <c r="F200" t="s">
        <v>940</v>
      </c>
      <c r="G200" t="s">
        <v>941</v>
      </c>
      <c r="H200" t="s">
        <v>25</v>
      </c>
      <c r="I200" t="s">
        <v>25</v>
      </c>
      <c r="J200" t="s">
        <v>26</v>
      </c>
      <c r="K200" t="s">
        <v>210</v>
      </c>
      <c r="L200" s="2">
        <v>400486.02470986679</v>
      </c>
      <c r="M200" s="3">
        <v>0.1262402796260966</v>
      </c>
      <c r="N200" s="3">
        <v>0</v>
      </c>
      <c r="O200" s="3">
        <v>7.1032943915243424E-2</v>
      </c>
      <c r="P200" s="3">
        <v>1.5191995557199581E-3</v>
      </c>
      <c r="Q200" s="3">
        <v>0.80120757690293998</v>
      </c>
      <c r="R200" s="3">
        <v>7.2552143470963379E-2</v>
      </c>
      <c r="S200" t="s">
        <v>28</v>
      </c>
      <c r="T200" s="4">
        <f t="shared" si="3"/>
        <v>27.29</v>
      </c>
    </row>
    <row r="201" spans="1:20" x14ac:dyDescent="0.2">
      <c r="A201">
        <v>203</v>
      </c>
      <c r="B201">
        <v>1</v>
      </c>
      <c r="C201" t="s">
        <v>942</v>
      </c>
      <c r="D201" t="s">
        <v>943</v>
      </c>
      <c r="E201" t="s">
        <v>944</v>
      </c>
      <c r="F201" t="s">
        <v>945</v>
      </c>
      <c r="G201" t="s">
        <v>946</v>
      </c>
      <c r="H201" t="s">
        <v>67</v>
      </c>
      <c r="I201" t="s">
        <v>67</v>
      </c>
      <c r="J201" t="s">
        <v>26</v>
      </c>
      <c r="K201" t="s">
        <v>187</v>
      </c>
      <c r="L201" s="2">
        <v>400486.02470986679</v>
      </c>
      <c r="M201" s="3">
        <v>0.82334738495680981</v>
      </c>
      <c r="N201" s="3">
        <v>0</v>
      </c>
      <c r="O201" s="3">
        <v>4.6974443133828932E-2</v>
      </c>
      <c r="P201" s="3">
        <v>0</v>
      </c>
      <c r="Q201" s="3">
        <v>0.12967817190936129</v>
      </c>
      <c r="R201" s="3">
        <v>4.6974443133828932E-2</v>
      </c>
      <c r="S201" t="s">
        <v>28</v>
      </c>
      <c r="T201" s="4">
        <f t="shared" si="3"/>
        <v>91.73</v>
      </c>
    </row>
    <row r="202" spans="1:20" x14ac:dyDescent="0.2">
      <c r="A202">
        <v>204</v>
      </c>
      <c r="B202">
        <v>2</v>
      </c>
      <c r="C202" t="s">
        <v>947</v>
      </c>
      <c r="D202" t="s">
        <v>948</v>
      </c>
      <c r="E202" t="s">
        <v>944</v>
      </c>
      <c r="F202" t="s">
        <v>949</v>
      </c>
      <c r="G202" t="s">
        <v>950</v>
      </c>
      <c r="H202" t="s">
        <v>25</v>
      </c>
      <c r="I202" t="s">
        <v>25</v>
      </c>
      <c r="J202" t="s">
        <v>26</v>
      </c>
      <c r="K202" t="s">
        <v>27</v>
      </c>
      <c r="L202" s="2">
        <v>800972.04941973358</v>
      </c>
      <c r="M202" s="3">
        <v>0.55605839244053079</v>
      </c>
      <c r="N202" s="3">
        <v>0</v>
      </c>
      <c r="O202" s="3">
        <v>7.4503419599334028E-2</v>
      </c>
      <c r="P202" s="3">
        <v>0</v>
      </c>
      <c r="Q202" s="3">
        <v>0.36943818796013522</v>
      </c>
      <c r="R202" s="3">
        <v>7.4503419599334028E-2</v>
      </c>
      <c r="S202" t="s">
        <v>28</v>
      </c>
      <c r="T202" s="4">
        <f t="shared" si="3"/>
        <v>70.510000000000005</v>
      </c>
    </row>
    <row r="203" spans="1:20" x14ac:dyDescent="0.2">
      <c r="A203">
        <v>205</v>
      </c>
      <c r="B203">
        <v>2</v>
      </c>
      <c r="C203" t="s">
        <v>951</v>
      </c>
      <c r="D203" t="s">
        <v>952</v>
      </c>
      <c r="E203" t="s">
        <v>953</v>
      </c>
      <c r="F203" t="s">
        <v>954</v>
      </c>
      <c r="G203" t="s">
        <v>955</v>
      </c>
      <c r="H203" t="s">
        <v>67</v>
      </c>
      <c r="I203" t="s">
        <v>67</v>
      </c>
      <c r="J203" t="s">
        <v>26</v>
      </c>
      <c r="K203" t="s">
        <v>210</v>
      </c>
      <c r="L203" s="2">
        <v>800972.04941973358</v>
      </c>
      <c r="M203" s="3">
        <v>0.9823326539505417</v>
      </c>
      <c r="N203" s="3">
        <v>0</v>
      </c>
      <c r="O203" s="3">
        <v>1.7667346049475448E-2</v>
      </c>
      <c r="P203" s="3">
        <v>0</v>
      </c>
      <c r="Q203" s="3">
        <v>0</v>
      </c>
      <c r="R203" s="3">
        <v>1.7667346049475448E-2</v>
      </c>
      <c r="S203" t="s">
        <v>28</v>
      </c>
      <c r="T203" s="4">
        <f t="shared" si="3"/>
        <v>101.77</v>
      </c>
    </row>
    <row r="204" spans="1:20" x14ac:dyDescent="0.2">
      <c r="A204">
        <v>206</v>
      </c>
      <c r="B204">
        <v>1</v>
      </c>
      <c r="C204" t="s">
        <v>956</v>
      </c>
      <c r="D204" t="s">
        <v>957</v>
      </c>
      <c r="E204" t="s">
        <v>953</v>
      </c>
      <c r="F204" t="s">
        <v>958</v>
      </c>
      <c r="G204" t="s">
        <v>959</v>
      </c>
      <c r="H204" t="s">
        <v>25</v>
      </c>
      <c r="I204" t="s">
        <v>25</v>
      </c>
      <c r="J204" t="s">
        <v>26</v>
      </c>
      <c r="K204" t="s">
        <v>210</v>
      </c>
      <c r="L204" s="2">
        <v>400486.02470986679</v>
      </c>
      <c r="M204" s="3">
        <v>0</v>
      </c>
      <c r="N204" s="3">
        <v>0</v>
      </c>
      <c r="O204" s="3">
        <v>9.2544338254947817E-2</v>
      </c>
      <c r="P204" s="3">
        <v>0</v>
      </c>
      <c r="Q204" s="3">
        <v>0.90745566174505221</v>
      </c>
      <c r="R204" s="3">
        <v>9.2544338254947817E-2</v>
      </c>
      <c r="S204" t="s">
        <v>28</v>
      </c>
      <c r="T204" s="4">
        <f t="shared" si="3"/>
        <v>18.510000000000002</v>
      </c>
    </row>
    <row r="205" spans="1:20" x14ac:dyDescent="0.2">
      <c r="A205">
        <v>207</v>
      </c>
      <c r="B205">
        <v>1</v>
      </c>
      <c r="C205" t="s">
        <v>960</v>
      </c>
      <c r="D205" t="s">
        <v>961</v>
      </c>
      <c r="E205" t="s">
        <v>953</v>
      </c>
      <c r="F205" t="s">
        <v>962</v>
      </c>
      <c r="G205" t="s">
        <v>963</v>
      </c>
      <c r="H205" t="s">
        <v>25</v>
      </c>
      <c r="I205" t="s">
        <v>25</v>
      </c>
      <c r="J205" t="s">
        <v>34</v>
      </c>
      <c r="K205" t="s">
        <v>210</v>
      </c>
      <c r="L205" s="2">
        <v>400486.02470986679</v>
      </c>
      <c r="M205" s="3">
        <v>0.52902550972722728</v>
      </c>
      <c r="N205" s="3">
        <v>0</v>
      </c>
      <c r="O205" s="3">
        <v>6.146343134207171E-2</v>
      </c>
      <c r="P205" s="3">
        <v>0</v>
      </c>
      <c r="Q205" s="3">
        <v>0.40951105893070111</v>
      </c>
      <c r="R205" s="3">
        <v>6.146343134207171E-2</v>
      </c>
      <c r="S205" t="s">
        <v>28</v>
      </c>
      <c r="T205" s="4">
        <f t="shared" si="3"/>
        <v>65.2</v>
      </c>
    </row>
    <row r="206" spans="1:20" x14ac:dyDescent="0.2">
      <c r="A206">
        <v>208</v>
      </c>
      <c r="B206">
        <v>1</v>
      </c>
      <c r="C206" t="s">
        <v>964</v>
      </c>
      <c r="D206" t="s">
        <v>965</v>
      </c>
      <c r="E206" t="s">
        <v>966</v>
      </c>
      <c r="F206" t="s">
        <v>967</v>
      </c>
      <c r="G206" t="s">
        <v>968</v>
      </c>
      <c r="H206" t="s">
        <v>25</v>
      </c>
      <c r="I206" t="s">
        <v>25</v>
      </c>
      <c r="J206" t="s">
        <v>26</v>
      </c>
      <c r="K206" t="s">
        <v>187</v>
      </c>
      <c r="L206" s="2">
        <v>400486.02470986679</v>
      </c>
      <c r="M206" s="3">
        <v>0.38909083480751439</v>
      </c>
      <c r="N206" s="3">
        <v>0</v>
      </c>
      <c r="O206" s="3">
        <v>4.1770301536091708E-2</v>
      </c>
      <c r="P206" s="3">
        <v>0</v>
      </c>
      <c r="Q206" s="3">
        <v>0.56913886365639388</v>
      </c>
      <c r="R206" s="3">
        <v>4.1770301536091708E-2</v>
      </c>
      <c r="S206" t="s">
        <v>28</v>
      </c>
      <c r="T206" s="4">
        <f t="shared" si="3"/>
        <v>47.26</v>
      </c>
    </row>
    <row r="207" spans="1:20" x14ac:dyDescent="0.2">
      <c r="A207">
        <v>209</v>
      </c>
      <c r="B207">
        <v>1</v>
      </c>
      <c r="C207" t="s">
        <v>969</v>
      </c>
      <c r="D207" t="s">
        <v>970</v>
      </c>
      <c r="E207" t="s">
        <v>971</v>
      </c>
      <c r="F207" t="s">
        <v>972</v>
      </c>
      <c r="G207" t="s">
        <v>973</v>
      </c>
      <c r="H207" t="s">
        <v>25</v>
      </c>
      <c r="I207" t="s">
        <v>25</v>
      </c>
      <c r="J207" t="s">
        <v>92</v>
      </c>
      <c r="K207" t="s">
        <v>130</v>
      </c>
      <c r="L207" s="2">
        <v>400486.02470986679</v>
      </c>
      <c r="M207" s="3">
        <v>0.84601690020041831</v>
      </c>
      <c r="N207" s="3">
        <v>0</v>
      </c>
      <c r="O207" s="3">
        <v>4.6949488891538188E-2</v>
      </c>
      <c r="P207" s="3">
        <v>0</v>
      </c>
      <c r="Q207" s="3">
        <v>0.1070336109080435</v>
      </c>
      <c r="R207" s="3">
        <v>4.6949488891538188E-2</v>
      </c>
      <c r="S207" t="s">
        <v>28</v>
      </c>
      <c r="T207" s="4">
        <f t="shared" si="3"/>
        <v>93.99</v>
      </c>
    </row>
    <row r="208" spans="1:20" x14ac:dyDescent="0.2">
      <c r="A208">
        <v>210</v>
      </c>
      <c r="B208">
        <v>1</v>
      </c>
      <c r="C208" t="s">
        <v>974</v>
      </c>
      <c r="D208" t="s">
        <v>975</v>
      </c>
      <c r="E208" t="s">
        <v>971</v>
      </c>
      <c r="F208" t="s">
        <v>976</v>
      </c>
      <c r="G208" t="s">
        <v>977</v>
      </c>
      <c r="H208" t="s">
        <v>25</v>
      </c>
      <c r="I208" t="s">
        <v>25</v>
      </c>
      <c r="J208" t="s">
        <v>26</v>
      </c>
      <c r="K208" t="s">
        <v>210</v>
      </c>
      <c r="L208" s="2">
        <v>400486.02470986679</v>
      </c>
      <c r="M208" s="3">
        <v>7.8512717372747898E-2</v>
      </c>
      <c r="N208" s="3">
        <v>0</v>
      </c>
      <c r="O208" s="3">
        <v>2.794240925544406E-2</v>
      </c>
      <c r="P208" s="3">
        <v>0</v>
      </c>
      <c r="Q208" s="3">
        <v>0.8935448733718081</v>
      </c>
      <c r="R208" s="3">
        <v>2.794240925544406E-2</v>
      </c>
      <c r="S208" t="s">
        <v>28</v>
      </c>
      <c r="T208" s="4">
        <f t="shared" si="3"/>
        <v>13.44</v>
      </c>
    </row>
    <row r="209" spans="1:20" x14ac:dyDescent="0.2">
      <c r="A209">
        <v>211</v>
      </c>
      <c r="B209">
        <v>1</v>
      </c>
      <c r="C209" t="s">
        <v>978</v>
      </c>
      <c r="D209" t="s">
        <v>979</v>
      </c>
      <c r="E209" t="s">
        <v>971</v>
      </c>
      <c r="F209" t="s">
        <v>980</v>
      </c>
      <c r="G209" t="s">
        <v>981</v>
      </c>
      <c r="H209" t="s">
        <v>67</v>
      </c>
      <c r="I209" t="s">
        <v>67</v>
      </c>
      <c r="J209" t="s">
        <v>26</v>
      </c>
      <c r="K209" t="s">
        <v>210</v>
      </c>
      <c r="L209" s="2">
        <v>400486.02470986679</v>
      </c>
      <c r="M209" s="3">
        <v>0.74791207832660533</v>
      </c>
      <c r="N209" s="3">
        <v>0</v>
      </c>
      <c r="O209" s="3">
        <v>0.1106284064687304</v>
      </c>
      <c r="P209" s="3">
        <v>0</v>
      </c>
      <c r="Q209" s="3">
        <v>0.14145951520466421</v>
      </c>
      <c r="R209" s="3">
        <v>0.1106284064687304</v>
      </c>
      <c r="S209" t="s">
        <v>36</v>
      </c>
      <c r="T209" s="4">
        <f t="shared" si="3"/>
        <v>96.92</v>
      </c>
    </row>
    <row r="210" spans="1:20" x14ac:dyDescent="0.2">
      <c r="A210">
        <v>212</v>
      </c>
      <c r="B210">
        <v>1</v>
      </c>
      <c r="C210" t="s">
        <v>982</v>
      </c>
      <c r="D210" t="s">
        <v>983</v>
      </c>
      <c r="E210" t="s">
        <v>984</v>
      </c>
      <c r="F210" t="s">
        <v>985</v>
      </c>
      <c r="G210" t="s">
        <v>986</v>
      </c>
      <c r="H210" t="s">
        <v>336</v>
      </c>
      <c r="I210" t="s">
        <v>336</v>
      </c>
      <c r="J210" t="s">
        <v>987</v>
      </c>
      <c r="K210" t="s">
        <v>187</v>
      </c>
      <c r="L210" s="2">
        <v>400486.02470986679</v>
      </c>
      <c r="M210" s="3">
        <v>0.74337568961835876</v>
      </c>
      <c r="N210" s="3">
        <v>0</v>
      </c>
      <c r="O210" s="3">
        <v>0</v>
      </c>
      <c r="P210" s="3">
        <v>0</v>
      </c>
      <c r="Q210" s="3">
        <v>0.25662431038164119</v>
      </c>
      <c r="R210" s="3">
        <v>0</v>
      </c>
      <c r="S210" t="s">
        <v>28</v>
      </c>
      <c r="T210" s="4">
        <f t="shared" si="3"/>
        <v>74.34</v>
      </c>
    </row>
    <row r="211" spans="1:20" x14ac:dyDescent="0.2">
      <c r="A211">
        <v>213</v>
      </c>
      <c r="B211">
        <v>1</v>
      </c>
      <c r="C211" t="s">
        <v>988</v>
      </c>
      <c r="D211" t="s">
        <v>989</v>
      </c>
      <c r="E211" t="s">
        <v>990</v>
      </c>
      <c r="F211" t="s">
        <v>991</v>
      </c>
      <c r="G211" t="s">
        <v>992</v>
      </c>
      <c r="H211" t="s">
        <v>336</v>
      </c>
      <c r="I211" t="s">
        <v>336</v>
      </c>
      <c r="J211" t="s">
        <v>26</v>
      </c>
      <c r="K211" t="s">
        <v>187</v>
      </c>
      <c r="L211" s="2">
        <v>400486.02470986679</v>
      </c>
      <c r="M211" s="3">
        <v>0</v>
      </c>
      <c r="N211" s="3">
        <v>0</v>
      </c>
      <c r="O211" s="3">
        <v>0.13804233389224721</v>
      </c>
      <c r="P211" s="3">
        <v>0.113237797409732</v>
      </c>
      <c r="Q211" s="3">
        <v>0.74871986869802087</v>
      </c>
      <c r="R211" s="3">
        <v>0.25128013130197918</v>
      </c>
      <c r="S211" t="s">
        <v>69</v>
      </c>
      <c r="T211" s="4">
        <f t="shared" si="3"/>
        <v>61.58</v>
      </c>
    </row>
    <row r="212" spans="1:20" x14ac:dyDescent="0.2">
      <c r="A212">
        <v>214</v>
      </c>
      <c r="B212">
        <v>4</v>
      </c>
      <c r="C212" t="s">
        <v>993</v>
      </c>
      <c r="D212" t="s">
        <v>994</v>
      </c>
      <c r="E212" t="s">
        <v>995</v>
      </c>
      <c r="F212" t="s">
        <v>996</v>
      </c>
      <c r="G212" t="s">
        <v>997</v>
      </c>
      <c r="H212" t="s">
        <v>25</v>
      </c>
      <c r="I212" t="s">
        <v>25</v>
      </c>
      <c r="J212" t="s">
        <v>92</v>
      </c>
      <c r="K212" t="s">
        <v>210</v>
      </c>
      <c r="L212" s="2">
        <v>1601944.0988394669</v>
      </c>
      <c r="M212" s="3">
        <v>0.1217445886589832</v>
      </c>
      <c r="N212" s="3">
        <v>0</v>
      </c>
      <c r="O212" s="3">
        <v>0.1897915840386965</v>
      </c>
      <c r="P212" s="3">
        <v>1.311251753530183E-2</v>
      </c>
      <c r="Q212" s="3">
        <v>0.67535130976701852</v>
      </c>
      <c r="R212" s="3">
        <v>0.2029041015739983</v>
      </c>
      <c r="S212" t="s">
        <v>69</v>
      </c>
      <c r="T212" s="4">
        <f t="shared" si="3"/>
        <v>54.07</v>
      </c>
    </row>
    <row r="213" spans="1:20" x14ac:dyDescent="0.2">
      <c r="A213">
        <v>215</v>
      </c>
      <c r="B213">
        <v>1</v>
      </c>
      <c r="C213" t="s">
        <v>998</v>
      </c>
      <c r="D213" t="s">
        <v>999</v>
      </c>
      <c r="E213" t="s">
        <v>1000</v>
      </c>
      <c r="F213" t="s">
        <v>1001</v>
      </c>
      <c r="G213" t="s">
        <v>1002</v>
      </c>
      <c r="H213" t="s">
        <v>25</v>
      </c>
      <c r="I213" t="s">
        <v>25</v>
      </c>
      <c r="J213" t="s">
        <v>92</v>
      </c>
      <c r="K213" t="s">
        <v>56</v>
      </c>
      <c r="L213" s="2">
        <v>400486.02470986679</v>
      </c>
      <c r="M213" s="3">
        <v>0.92252763875868449</v>
      </c>
      <c r="N213" s="3">
        <v>0</v>
      </c>
      <c r="O213" s="3">
        <v>4.9165609469240083E-2</v>
      </c>
      <c r="P213" s="3">
        <v>1.6365614284257751E-4</v>
      </c>
      <c r="Q213" s="3">
        <v>2.8143095629232891E-2</v>
      </c>
      <c r="R213" s="3">
        <v>4.9329265612082659E-2</v>
      </c>
      <c r="S213" t="s">
        <v>28</v>
      </c>
      <c r="T213" s="4">
        <f t="shared" si="3"/>
        <v>102.13</v>
      </c>
    </row>
    <row r="214" spans="1:20" x14ac:dyDescent="0.2">
      <c r="A214">
        <v>216</v>
      </c>
      <c r="B214">
        <v>1</v>
      </c>
      <c r="C214" t="s">
        <v>1003</v>
      </c>
      <c r="D214" t="s">
        <v>1004</v>
      </c>
      <c r="E214" t="s">
        <v>1005</v>
      </c>
      <c r="F214" t="s">
        <v>1006</v>
      </c>
      <c r="G214" t="s">
        <v>1007</v>
      </c>
      <c r="H214" t="s">
        <v>80</v>
      </c>
      <c r="I214" t="s">
        <v>80</v>
      </c>
      <c r="J214" t="s">
        <v>34</v>
      </c>
      <c r="K214" t="s">
        <v>193</v>
      </c>
      <c r="L214" s="2">
        <v>400486.02470986679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t="s">
        <v>28</v>
      </c>
      <c r="T214" s="4">
        <f t="shared" si="3"/>
        <v>100</v>
      </c>
    </row>
    <row r="215" spans="1:20" x14ac:dyDescent="0.2">
      <c r="A215">
        <v>217</v>
      </c>
      <c r="B215">
        <v>2</v>
      </c>
      <c r="C215" t="s">
        <v>1008</v>
      </c>
      <c r="D215" t="s">
        <v>1009</v>
      </c>
      <c r="E215" t="s">
        <v>1010</v>
      </c>
      <c r="F215" t="s">
        <v>1011</v>
      </c>
      <c r="G215" t="s">
        <v>1012</v>
      </c>
      <c r="H215" t="s">
        <v>25</v>
      </c>
      <c r="I215" t="s">
        <v>25</v>
      </c>
      <c r="J215" t="s">
        <v>26</v>
      </c>
      <c r="K215" t="s">
        <v>56</v>
      </c>
      <c r="L215" s="2">
        <v>800972.04941973358</v>
      </c>
      <c r="M215" s="3">
        <v>0.55576920325109336</v>
      </c>
      <c r="N215" s="3">
        <v>0</v>
      </c>
      <c r="O215" s="3">
        <v>4.3768379158009789E-2</v>
      </c>
      <c r="P215" s="3">
        <v>0</v>
      </c>
      <c r="Q215" s="3">
        <v>0.40046241759089679</v>
      </c>
      <c r="R215" s="3">
        <v>4.3768379158009789E-2</v>
      </c>
      <c r="S215" t="s">
        <v>28</v>
      </c>
      <c r="T215" s="4">
        <f t="shared" si="3"/>
        <v>64.33</v>
      </c>
    </row>
    <row r="216" spans="1:20" x14ac:dyDescent="0.2">
      <c r="A216">
        <v>218</v>
      </c>
      <c r="B216">
        <v>1</v>
      </c>
      <c r="C216" t="s">
        <v>1013</v>
      </c>
      <c r="D216" t="s">
        <v>1014</v>
      </c>
      <c r="E216" t="s">
        <v>1015</v>
      </c>
      <c r="F216" t="s">
        <v>1016</v>
      </c>
      <c r="H216" t="s">
        <v>25</v>
      </c>
      <c r="I216" t="s">
        <v>25</v>
      </c>
      <c r="J216" t="s">
        <v>92</v>
      </c>
      <c r="K216" t="s">
        <v>210</v>
      </c>
      <c r="L216" s="2">
        <v>400486.02470986679</v>
      </c>
      <c r="M216" s="3">
        <v>0.97956763655842849</v>
      </c>
      <c r="N216" s="3">
        <v>0</v>
      </c>
      <c r="O216" s="3">
        <v>2.0432363441580351E-2</v>
      </c>
      <c r="P216" s="3">
        <v>0</v>
      </c>
      <c r="Q216" s="3">
        <v>0</v>
      </c>
      <c r="R216" s="3">
        <v>2.0432363441580351E-2</v>
      </c>
      <c r="S216" t="s">
        <v>28</v>
      </c>
      <c r="T216" s="4">
        <f t="shared" si="3"/>
        <v>102.04</v>
      </c>
    </row>
    <row r="217" spans="1:20" x14ac:dyDescent="0.2">
      <c r="A217">
        <v>219</v>
      </c>
      <c r="B217">
        <v>1</v>
      </c>
      <c r="C217" t="s">
        <v>1017</v>
      </c>
      <c r="D217" t="s">
        <v>1018</v>
      </c>
      <c r="E217" t="s">
        <v>1019</v>
      </c>
      <c r="F217" t="s">
        <v>1020</v>
      </c>
      <c r="G217" t="s">
        <v>1021</v>
      </c>
      <c r="H217" t="s">
        <v>25</v>
      </c>
      <c r="I217" t="s">
        <v>25</v>
      </c>
      <c r="J217" t="s">
        <v>92</v>
      </c>
      <c r="K217" t="s">
        <v>210</v>
      </c>
      <c r="L217" s="2">
        <v>400486.02470986679</v>
      </c>
      <c r="M217" s="3">
        <v>0.14175592008589941</v>
      </c>
      <c r="N217" s="3">
        <v>0</v>
      </c>
      <c r="O217" s="3">
        <v>2.757774186832759E-2</v>
      </c>
      <c r="P217" s="3">
        <v>0</v>
      </c>
      <c r="Q217" s="3">
        <v>0.83066633804577295</v>
      </c>
      <c r="R217" s="3">
        <v>2.757774186832759E-2</v>
      </c>
      <c r="S217" t="s">
        <v>28</v>
      </c>
      <c r="T217" s="4">
        <f t="shared" si="3"/>
        <v>19.690000000000001</v>
      </c>
    </row>
    <row r="218" spans="1:20" x14ac:dyDescent="0.2">
      <c r="A218">
        <v>220</v>
      </c>
      <c r="B218">
        <v>1</v>
      </c>
      <c r="C218" t="s">
        <v>1022</v>
      </c>
      <c r="D218" t="s">
        <v>1023</v>
      </c>
      <c r="E218" t="s">
        <v>1019</v>
      </c>
      <c r="F218" t="s">
        <v>1024</v>
      </c>
      <c r="G218" t="s">
        <v>1025</v>
      </c>
      <c r="H218" t="s">
        <v>25</v>
      </c>
      <c r="I218" t="s">
        <v>25</v>
      </c>
      <c r="J218" t="s">
        <v>26</v>
      </c>
      <c r="K218" t="s">
        <v>210</v>
      </c>
      <c r="L218" s="2">
        <v>400486.02470986679</v>
      </c>
      <c r="M218" s="3">
        <v>0</v>
      </c>
      <c r="N218" s="3">
        <v>0</v>
      </c>
      <c r="O218" s="3">
        <v>3.2195063645993081E-2</v>
      </c>
      <c r="P218" s="3">
        <v>0</v>
      </c>
      <c r="Q218" s="3">
        <v>0.96780493635400688</v>
      </c>
      <c r="R218" s="3">
        <v>3.2195063645993081E-2</v>
      </c>
      <c r="S218" t="s">
        <v>28</v>
      </c>
      <c r="T218" s="4">
        <f t="shared" si="3"/>
        <v>6.44</v>
      </c>
    </row>
    <row r="219" spans="1:20" x14ac:dyDescent="0.2">
      <c r="A219">
        <v>221</v>
      </c>
      <c r="B219">
        <v>1</v>
      </c>
      <c r="C219" t="s">
        <v>1026</v>
      </c>
      <c r="D219" t="s">
        <v>1027</v>
      </c>
      <c r="E219" t="s">
        <v>1019</v>
      </c>
      <c r="F219" t="s">
        <v>1028</v>
      </c>
      <c r="G219" t="s">
        <v>1029</v>
      </c>
      <c r="H219" t="s">
        <v>25</v>
      </c>
      <c r="I219" t="s">
        <v>25</v>
      </c>
      <c r="J219" t="s">
        <v>26</v>
      </c>
      <c r="K219" t="s">
        <v>56</v>
      </c>
      <c r="L219" s="2">
        <v>400486.02470986679</v>
      </c>
      <c r="M219" s="3">
        <v>0.27088210538314322</v>
      </c>
      <c r="N219" s="3">
        <v>0</v>
      </c>
      <c r="O219" s="3">
        <v>0.17886686492834589</v>
      </c>
      <c r="P219" s="3">
        <v>2.263337578497443E-2</v>
      </c>
      <c r="Q219" s="3">
        <v>0.52761765390353643</v>
      </c>
      <c r="R219" s="3">
        <v>0.20150024071332029</v>
      </c>
      <c r="S219" t="s">
        <v>69</v>
      </c>
      <c r="T219" s="4">
        <f t="shared" si="3"/>
        <v>69.650000000000006</v>
      </c>
    </row>
    <row r="220" spans="1:20" x14ac:dyDescent="0.2">
      <c r="A220">
        <v>222</v>
      </c>
      <c r="B220">
        <v>1</v>
      </c>
      <c r="C220" t="s">
        <v>1030</v>
      </c>
      <c r="D220" t="s">
        <v>1031</v>
      </c>
      <c r="E220" t="s">
        <v>1019</v>
      </c>
      <c r="F220" t="s">
        <v>1032</v>
      </c>
      <c r="G220" t="s">
        <v>1033</v>
      </c>
      <c r="H220" t="s">
        <v>25</v>
      </c>
      <c r="I220" t="s">
        <v>25</v>
      </c>
      <c r="J220" t="s">
        <v>92</v>
      </c>
      <c r="K220" t="s">
        <v>210</v>
      </c>
      <c r="L220" s="2">
        <v>400486.02470986679</v>
      </c>
      <c r="M220" s="3">
        <v>5.7873848706742103E-3</v>
      </c>
      <c r="N220" s="3">
        <v>0</v>
      </c>
      <c r="O220" s="3">
        <v>0.15714752502950721</v>
      </c>
      <c r="P220" s="3">
        <v>0.1342679473069173</v>
      </c>
      <c r="Q220" s="3">
        <v>0.7027971427929014</v>
      </c>
      <c r="R220" s="3">
        <v>0.29141547233642451</v>
      </c>
      <c r="S220" t="s">
        <v>69</v>
      </c>
      <c r="T220" s="4">
        <f t="shared" si="3"/>
        <v>72.290000000000006</v>
      </c>
    </row>
    <row r="221" spans="1:20" x14ac:dyDescent="0.2">
      <c r="A221">
        <v>223</v>
      </c>
      <c r="B221">
        <v>3</v>
      </c>
      <c r="C221" t="s">
        <v>1034</v>
      </c>
      <c r="D221" t="s">
        <v>1035</v>
      </c>
      <c r="E221" t="s">
        <v>1019</v>
      </c>
      <c r="F221" t="s">
        <v>1036</v>
      </c>
      <c r="G221" t="s">
        <v>1037</v>
      </c>
      <c r="H221" t="s">
        <v>25</v>
      </c>
      <c r="I221" t="s">
        <v>25</v>
      </c>
      <c r="J221" t="s">
        <v>26</v>
      </c>
      <c r="K221" t="s">
        <v>210</v>
      </c>
      <c r="L221" s="2">
        <v>1201458.0741296001</v>
      </c>
      <c r="M221" s="3">
        <v>0</v>
      </c>
      <c r="N221" s="3">
        <v>0</v>
      </c>
      <c r="O221" s="3">
        <v>6.6805610703168594E-2</v>
      </c>
      <c r="P221" s="3">
        <v>0.12011572962996531</v>
      </c>
      <c r="Q221" s="3">
        <v>0.81307865966686621</v>
      </c>
      <c r="R221" s="3">
        <v>0.1869213403331339</v>
      </c>
      <c r="S221" t="s">
        <v>36</v>
      </c>
      <c r="T221" s="4">
        <f t="shared" si="3"/>
        <v>49.4</v>
      </c>
    </row>
    <row r="222" spans="1:20" x14ac:dyDescent="0.2">
      <c r="A222">
        <v>224</v>
      </c>
      <c r="B222">
        <v>1</v>
      </c>
      <c r="C222" t="s">
        <v>1038</v>
      </c>
      <c r="D222" t="s">
        <v>1039</v>
      </c>
      <c r="E222" t="s">
        <v>1040</v>
      </c>
      <c r="F222" t="s">
        <v>1041</v>
      </c>
      <c r="G222" t="s">
        <v>1042</v>
      </c>
      <c r="H222" t="s">
        <v>25</v>
      </c>
      <c r="I222" t="s">
        <v>25</v>
      </c>
      <c r="J222" t="s">
        <v>92</v>
      </c>
      <c r="K222" t="s">
        <v>210</v>
      </c>
      <c r="L222" s="2">
        <v>400486.02470986679</v>
      </c>
      <c r="M222" s="3">
        <v>0</v>
      </c>
      <c r="N222" s="3">
        <v>0</v>
      </c>
      <c r="O222" s="3">
        <v>7.2292037444711285E-2</v>
      </c>
      <c r="P222" s="3">
        <v>4.3423278728546059E-2</v>
      </c>
      <c r="Q222" s="3">
        <v>0.88428468382674263</v>
      </c>
      <c r="R222" s="3">
        <v>0.1157153161732573</v>
      </c>
      <c r="S222" t="s">
        <v>36</v>
      </c>
      <c r="T222" s="4">
        <f t="shared" si="3"/>
        <v>27.49</v>
      </c>
    </row>
    <row r="223" spans="1:20" x14ac:dyDescent="0.2">
      <c r="A223">
        <v>225</v>
      </c>
      <c r="B223">
        <v>1</v>
      </c>
      <c r="C223" t="s">
        <v>1043</v>
      </c>
      <c r="D223" t="s">
        <v>1044</v>
      </c>
      <c r="E223" t="s">
        <v>22</v>
      </c>
      <c r="F223" t="s">
        <v>1045</v>
      </c>
      <c r="G223" t="s">
        <v>1046</v>
      </c>
      <c r="H223" t="s">
        <v>67</v>
      </c>
      <c r="I223" t="s">
        <v>67</v>
      </c>
      <c r="J223" t="s">
        <v>92</v>
      </c>
      <c r="K223" t="s">
        <v>27</v>
      </c>
      <c r="L223" s="2">
        <v>400486.02470986679</v>
      </c>
      <c r="M223" s="3">
        <v>0</v>
      </c>
      <c r="N223" s="3">
        <v>0</v>
      </c>
      <c r="O223" s="3">
        <v>0.15886399645786131</v>
      </c>
      <c r="P223" s="3">
        <v>0</v>
      </c>
      <c r="Q223" s="3">
        <v>0.84113600354213869</v>
      </c>
      <c r="R223" s="3">
        <v>0.15886399645786131</v>
      </c>
      <c r="S223" t="s">
        <v>36</v>
      </c>
      <c r="T223" s="4">
        <f t="shared" si="3"/>
        <v>31.77</v>
      </c>
    </row>
    <row r="224" spans="1:20" x14ac:dyDescent="0.2">
      <c r="A224">
        <v>226</v>
      </c>
      <c r="B224">
        <v>3</v>
      </c>
      <c r="C224" t="s">
        <v>1047</v>
      </c>
      <c r="D224" t="s">
        <v>1048</v>
      </c>
      <c r="E224" t="s">
        <v>1049</v>
      </c>
      <c r="F224" t="s">
        <v>1050</v>
      </c>
      <c r="G224" t="s">
        <v>1051</v>
      </c>
      <c r="H224" t="s">
        <v>25</v>
      </c>
      <c r="I224" t="s">
        <v>25</v>
      </c>
      <c r="J224" t="s">
        <v>92</v>
      </c>
      <c r="K224" t="s">
        <v>56</v>
      </c>
      <c r="L224" s="2">
        <v>1201458.0741296001</v>
      </c>
      <c r="M224" s="3">
        <v>9.2443020964212946E-2</v>
      </c>
      <c r="N224" s="3">
        <v>0</v>
      </c>
      <c r="O224" s="3">
        <v>0.1114789078123722</v>
      </c>
      <c r="P224" s="3">
        <v>0</v>
      </c>
      <c r="Q224" s="3">
        <v>0.7960780712234149</v>
      </c>
      <c r="R224" s="3">
        <v>0.1114789078123722</v>
      </c>
      <c r="S224" t="s">
        <v>36</v>
      </c>
      <c r="T224" s="4">
        <f t="shared" si="3"/>
        <v>31.54</v>
      </c>
    </row>
    <row r="225" spans="1:20" x14ac:dyDescent="0.2">
      <c r="A225">
        <v>227</v>
      </c>
      <c r="B225">
        <v>4</v>
      </c>
      <c r="C225" t="s">
        <v>1052</v>
      </c>
      <c r="D225" t="s">
        <v>1053</v>
      </c>
      <c r="E225" t="s">
        <v>1054</v>
      </c>
      <c r="F225" t="s">
        <v>1055</v>
      </c>
      <c r="G225" t="s">
        <v>1056</v>
      </c>
      <c r="H225" t="s">
        <v>67</v>
      </c>
      <c r="I225" t="s">
        <v>67</v>
      </c>
      <c r="J225" t="s">
        <v>26</v>
      </c>
      <c r="K225" t="s">
        <v>1057</v>
      </c>
      <c r="L225" s="2">
        <v>1601944.0988394669</v>
      </c>
      <c r="M225" s="3">
        <v>0.35772133487819863</v>
      </c>
      <c r="N225" s="3">
        <v>0</v>
      </c>
      <c r="O225" s="3">
        <v>5.7046958258508133E-2</v>
      </c>
      <c r="P225" s="3">
        <v>0</v>
      </c>
      <c r="Q225" s="3">
        <v>0.58523170686329329</v>
      </c>
      <c r="R225" s="3">
        <v>5.7046958258508133E-2</v>
      </c>
      <c r="S225" t="s">
        <v>28</v>
      </c>
      <c r="T225" s="4">
        <f t="shared" si="3"/>
        <v>47.18</v>
      </c>
    </row>
    <row r="226" spans="1:20" x14ac:dyDescent="0.2">
      <c r="A226">
        <v>228</v>
      </c>
      <c r="B226">
        <v>8</v>
      </c>
      <c r="C226" t="s">
        <v>1058</v>
      </c>
      <c r="D226" t="s">
        <v>1059</v>
      </c>
      <c r="E226" t="s">
        <v>1054</v>
      </c>
      <c r="F226" t="s">
        <v>1060</v>
      </c>
      <c r="G226" t="s">
        <v>1061</v>
      </c>
      <c r="H226" t="s">
        <v>67</v>
      </c>
      <c r="I226" t="s">
        <v>67</v>
      </c>
      <c r="J226" t="s">
        <v>26</v>
      </c>
      <c r="K226" t="s">
        <v>1057</v>
      </c>
      <c r="L226" s="2">
        <v>3203888.1976789339</v>
      </c>
      <c r="M226" s="3">
        <v>0.81427952020103966</v>
      </c>
      <c r="N226" s="3">
        <v>0</v>
      </c>
      <c r="O226" s="3">
        <v>3.5837957775384462E-2</v>
      </c>
      <c r="P226" s="3">
        <v>0</v>
      </c>
      <c r="Q226" s="3">
        <v>0.14988252202357591</v>
      </c>
      <c r="R226" s="3">
        <v>3.5837957775384462E-2</v>
      </c>
      <c r="S226" t="s">
        <v>28</v>
      </c>
      <c r="T226" s="4">
        <f t="shared" si="3"/>
        <v>88.6</v>
      </c>
    </row>
    <row r="227" spans="1:20" x14ac:dyDescent="0.2">
      <c r="A227">
        <v>229</v>
      </c>
      <c r="B227">
        <v>1</v>
      </c>
      <c r="C227" t="s">
        <v>1062</v>
      </c>
      <c r="D227" t="s">
        <v>1063</v>
      </c>
      <c r="E227" t="s">
        <v>971</v>
      </c>
      <c r="F227" t="s">
        <v>65</v>
      </c>
      <c r="G227" t="s">
        <v>66</v>
      </c>
      <c r="H227" t="s">
        <v>25</v>
      </c>
      <c r="I227" t="s">
        <v>25</v>
      </c>
      <c r="J227" t="s">
        <v>26</v>
      </c>
      <c r="K227" t="s">
        <v>210</v>
      </c>
      <c r="L227" s="2">
        <v>400486.02470986679</v>
      </c>
      <c r="M227" s="3">
        <v>0.76938358227387427</v>
      </c>
      <c r="N227" s="3">
        <v>0</v>
      </c>
      <c r="O227" s="3">
        <v>3.8475060203478038E-2</v>
      </c>
      <c r="P227" s="3">
        <v>0</v>
      </c>
      <c r="Q227" s="3">
        <v>0.1921413575226476</v>
      </c>
      <c r="R227" s="3">
        <v>3.8475060203478038E-2</v>
      </c>
      <c r="S227" t="s">
        <v>28</v>
      </c>
      <c r="T227" s="4">
        <f t="shared" si="3"/>
        <v>84.63</v>
      </c>
    </row>
    <row r="228" spans="1:20" x14ac:dyDescent="0.2">
      <c r="A228">
        <v>230</v>
      </c>
      <c r="B228">
        <v>1</v>
      </c>
      <c r="C228" t="s">
        <v>1064</v>
      </c>
      <c r="D228" t="s">
        <v>1065</v>
      </c>
      <c r="E228" t="s">
        <v>1066</v>
      </c>
      <c r="H228" t="s">
        <v>336</v>
      </c>
      <c r="I228" t="s">
        <v>336</v>
      </c>
      <c r="J228" t="s">
        <v>987</v>
      </c>
      <c r="K228" t="s">
        <v>210</v>
      </c>
      <c r="L228" s="2">
        <v>400486.02470986679</v>
      </c>
      <c r="M228" s="3">
        <v>4.3498123312430963E-2</v>
      </c>
      <c r="N228" s="3">
        <v>0</v>
      </c>
      <c r="O228" s="3">
        <v>0.30623029843814648</v>
      </c>
      <c r="P228" s="3">
        <v>0.65027157824949644</v>
      </c>
      <c r="Q228" s="3">
        <v>0</v>
      </c>
      <c r="R228" s="3">
        <v>0.95650187668764297</v>
      </c>
      <c r="S228" t="s">
        <v>44</v>
      </c>
      <c r="T228" s="4">
        <f t="shared" si="3"/>
        <v>260.68</v>
      </c>
    </row>
    <row r="229" spans="1:20" x14ac:dyDescent="0.2">
      <c r="A229">
        <v>231</v>
      </c>
      <c r="B229">
        <v>1</v>
      </c>
      <c r="C229" t="s">
        <v>1067</v>
      </c>
      <c r="D229" t="s">
        <v>1068</v>
      </c>
      <c r="E229" t="s">
        <v>1069</v>
      </c>
      <c r="F229" t="s">
        <v>1070</v>
      </c>
      <c r="G229" t="s">
        <v>1071</v>
      </c>
      <c r="H229" t="s">
        <v>25</v>
      </c>
      <c r="I229" t="s">
        <v>25</v>
      </c>
      <c r="J229" t="s">
        <v>92</v>
      </c>
      <c r="K229" t="s">
        <v>210</v>
      </c>
      <c r="L229" s="2">
        <v>400486.02470986679</v>
      </c>
      <c r="M229" s="3">
        <v>0.48470916193598979</v>
      </c>
      <c r="N229" s="3">
        <v>0</v>
      </c>
      <c r="O229" s="3">
        <v>1.059352828680196E-2</v>
      </c>
      <c r="P229" s="3">
        <v>0</v>
      </c>
      <c r="Q229" s="3">
        <v>0.50469730977720828</v>
      </c>
      <c r="R229" s="3">
        <v>1.059352828680196E-2</v>
      </c>
      <c r="S229" t="s">
        <v>28</v>
      </c>
      <c r="T229" s="4">
        <f t="shared" si="3"/>
        <v>50.59</v>
      </c>
    </row>
    <row r="230" spans="1:20" x14ac:dyDescent="0.2">
      <c r="A230">
        <v>232</v>
      </c>
      <c r="B230">
        <v>1</v>
      </c>
      <c r="C230" t="s">
        <v>1072</v>
      </c>
      <c r="D230" t="s">
        <v>1073</v>
      </c>
      <c r="E230" t="s">
        <v>1069</v>
      </c>
      <c r="F230" t="s">
        <v>1074</v>
      </c>
      <c r="G230" t="s">
        <v>1075</v>
      </c>
      <c r="H230" t="s">
        <v>67</v>
      </c>
      <c r="I230" t="s">
        <v>67</v>
      </c>
      <c r="J230" t="s">
        <v>26</v>
      </c>
      <c r="K230" t="s">
        <v>904</v>
      </c>
      <c r="L230" s="2">
        <v>400486.02470986679</v>
      </c>
      <c r="M230" s="3">
        <v>0.8913052183328618</v>
      </c>
      <c r="N230" s="3">
        <v>0</v>
      </c>
      <c r="O230" s="3">
        <v>0.10869478166712419</v>
      </c>
      <c r="P230" s="3">
        <v>0</v>
      </c>
      <c r="Q230" s="3">
        <v>1.3988810110276969E-14</v>
      </c>
      <c r="R230" s="3">
        <v>0.10869478166712419</v>
      </c>
      <c r="S230" t="s">
        <v>36</v>
      </c>
      <c r="T230" s="4">
        <f t="shared" si="3"/>
        <v>110.87</v>
      </c>
    </row>
    <row r="231" spans="1:20" x14ac:dyDescent="0.2">
      <c r="A231">
        <v>233</v>
      </c>
      <c r="B231">
        <v>2</v>
      </c>
      <c r="C231" t="s">
        <v>1076</v>
      </c>
      <c r="D231" t="s">
        <v>1077</v>
      </c>
      <c r="E231" t="s">
        <v>1078</v>
      </c>
      <c r="F231" t="s">
        <v>1079</v>
      </c>
      <c r="G231" t="s">
        <v>1080</v>
      </c>
      <c r="H231" t="s">
        <v>67</v>
      </c>
      <c r="I231" t="s">
        <v>67</v>
      </c>
      <c r="J231" t="s">
        <v>26</v>
      </c>
      <c r="K231" t="s">
        <v>193</v>
      </c>
      <c r="L231" s="2">
        <v>800972.04941973358</v>
      </c>
      <c r="M231" s="3">
        <v>0.9659857559453191</v>
      </c>
      <c r="N231" s="3">
        <v>0</v>
      </c>
      <c r="O231" s="3">
        <v>3.2680260062680232E-2</v>
      </c>
      <c r="P231" s="3">
        <v>0</v>
      </c>
      <c r="Q231" s="3">
        <v>1.3339839920006871E-3</v>
      </c>
      <c r="R231" s="3">
        <v>3.2680260062680232E-2</v>
      </c>
      <c r="S231" t="s">
        <v>28</v>
      </c>
      <c r="T231" s="4">
        <f t="shared" si="3"/>
        <v>103.13</v>
      </c>
    </row>
    <row r="232" spans="1:20" x14ac:dyDescent="0.2">
      <c r="A232">
        <v>234</v>
      </c>
      <c r="B232">
        <v>1</v>
      </c>
      <c r="C232" t="s">
        <v>1081</v>
      </c>
      <c r="D232" t="s">
        <v>1082</v>
      </c>
      <c r="E232" t="s">
        <v>1019</v>
      </c>
      <c r="F232" t="s">
        <v>1083</v>
      </c>
      <c r="G232" t="s">
        <v>1084</v>
      </c>
      <c r="H232" t="s">
        <v>25</v>
      </c>
      <c r="I232" t="s">
        <v>25</v>
      </c>
      <c r="J232" t="s">
        <v>92</v>
      </c>
      <c r="K232" t="s">
        <v>210</v>
      </c>
      <c r="L232" s="2">
        <v>400486.02470986679</v>
      </c>
      <c r="M232" s="3">
        <v>0.94499410264792993</v>
      </c>
      <c r="N232" s="3">
        <v>0</v>
      </c>
      <c r="O232" s="3">
        <v>5.500589735210884E-2</v>
      </c>
      <c r="P232" s="3">
        <v>0</v>
      </c>
      <c r="Q232" s="3">
        <v>0</v>
      </c>
      <c r="R232" s="3">
        <v>5.500589735210884E-2</v>
      </c>
      <c r="S232" t="s">
        <v>28</v>
      </c>
      <c r="T232" s="4">
        <f t="shared" si="3"/>
        <v>105.5</v>
      </c>
    </row>
    <row r="233" spans="1:20" x14ac:dyDescent="0.2">
      <c r="A233">
        <v>235</v>
      </c>
      <c r="B233">
        <v>1</v>
      </c>
      <c r="C233" t="s">
        <v>1085</v>
      </c>
      <c r="D233" t="s">
        <v>1086</v>
      </c>
      <c r="E233" t="s">
        <v>1087</v>
      </c>
      <c r="F233" t="s">
        <v>1088</v>
      </c>
      <c r="G233" t="s">
        <v>1089</v>
      </c>
      <c r="H233" t="s">
        <v>25</v>
      </c>
      <c r="I233" t="s">
        <v>25</v>
      </c>
      <c r="J233" t="s">
        <v>92</v>
      </c>
      <c r="K233" t="s">
        <v>540</v>
      </c>
      <c r="L233" s="2">
        <v>400486.02470986679</v>
      </c>
      <c r="M233" s="3">
        <v>2.2108453940408439E-2</v>
      </c>
      <c r="N233" s="3">
        <v>0</v>
      </c>
      <c r="O233" s="3">
        <v>3.5498286049915138E-2</v>
      </c>
      <c r="P233" s="3">
        <v>0</v>
      </c>
      <c r="Q233" s="3">
        <v>0.94239326000967638</v>
      </c>
      <c r="R233" s="3">
        <v>3.5498286049915138E-2</v>
      </c>
      <c r="S233" t="s">
        <v>28</v>
      </c>
      <c r="T233" s="4">
        <f t="shared" si="3"/>
        <v>9.31</v>
      </c>
    </row>
    <row r="234" spans="1:20" x14ac:dyDescent="0.2">
      <c r="A234">
        <v>236</v>
      </c>
      <c r="B234">
        <v>1</v>
      </c>
      <c r="C234" t="s">
        <v>1090</v>
      </c>
      <c r="D234" t="s">
        <v>1091</v>
      </c>
      <c r="E234" t="s">
        <v>1087</v>
      </c>
      <c r="F234" t="s">
        <v>1092</v>
      </c>
      <c r="G234" t="s">
        <v>1093</v>
      </c>
      <c r="H234" t="s">
        <v>25</v>
      </c>
      <c r="I234" t="s">
        <v>25</v>
      </c>
      <c r="J234" t="s">
        <v>26</v>
      </c>
      <c r="K234" t="s">
        <v>210</v>
      </c>
      <c r="L234" s="2">
        <v>400486.02470986679</v>
      </c>
      <c r="M234" s="3">
        <v>0.63185253211337655</v>
      </c>
      <c r="N234" s="3">
        <v>0</v>
      </c>
      <c r="O234" s="3">
        <v>0.14393839231069161</v>
      </c>
      <c r="P234" s="3">
        <v>0.17678557542850351</v>
      </c>
      <c r="Q234" s="3">
        <v>4.7423500147428348E-2</v>
      </c>
      <c r="R234" s="3">
        <v>0.32072396773919509</v>
      </c>
      <c r="S234" t="s">
        <v>69</v>
      </c>
      <c r="T234" s="4">
        <f t="shared" si="3"/>
        <v>145.01</v>
      </c>
    </row>
    <row r="235" spans="1:20" x14ac:dyDescent="0.2">
      <c r="A235">
        <v>237</v>
      </c>
      <c r="B235">
        <v>1</v>
      </c>
      <c r="C235" t="s">
        <v>1094</v>
      </c>
      <c r="D235" t="s">
        <v>1095</v>
      </c>
      <c r="E235" t="s">
        <v>1087</v>
      </c>
      <c r="F235" t="s">
        <v>1096</v>
      </c>
      <c r="G235" t="s">
        <v>1097</v>
      </c>
      <c r="H235" t="s">
        <v>25</v>
      </c>
      <c r="I235" t="s">
        <v>25</v>
      </c>
      <c r="J235" t="s">
        <v>26</v>
      </c>
      <c r="K235" t="s">
        <v>540</v>
      </c>
      <c r="L235" s="2">
        <v>400486.02470986679</v>
      </c>
      <c r="M235" s="3">
        <v>0.36150323006598228</v>
      </c>
      <c r="N235" s="3">
        <v>0</v>
      </c>
      <c r="O235" s="3">
        <v>5.0630887007705891E-2</v>
      </c>
      <c r="P235" s="3">
        <v>0</v>
      </c>
      <c r="Q235" s="3">
        <v>0.5878658829263117</v>
      </c>
      <c r="R235" s="3">
        <v>5.0630887007705891E-2</v>
      </c>
      <c r="S235" t="s">
        <v>28</v>
      </c>
      <c r="T235" s="4">
        <f t="shared" si="3"/>
        <v>46.28</v>
      </c>
    </row>
    <row r="236" spans="1:20" x14ac:dyDescent="0.2">
      <c r="A236">
        <v>238</v>
      </c>
      <c r="B236">
        <v>1</v>
      </c>
      <c r="C236" t="s">
        <v>1098</v>
      </c>
      <c r="D236" t="s">
        <v>1099</v>
      </c>
      <c r="E236" t="s">
        <v>1100</v>
      </c>
      <c r="F236" t="s">
        <v>1101</v>
      </c>
      <c r="G236" t="s">
        <v>1102</v>
      </c>
      <c r="H236" t="s">
        <v>25</v>
      </c>
      <c r="I236" t="s">
        <v>25</v>
      </c>
      <c r="J236" t="s">
        <v>26</v>
      </c>
      <c r="K236" t="s">
        <v>50</v>
      </c>
      <c r="L236" s="2">
        <v>400486.02470986679</v>
      </c>
      <c r="M236" s="3">
        <v>0.93831158017961713</v>
      </c>
      <c r="N236" s="3">
        <v>0</v>
      </c>
      <c r="O236" s="3">
        <v>4.7072377749601622E-2</v>
      </c>
      <c r="P236" s="3">
        <v>0</v>
      </c>
      <c r="Q236" s="3">
        <v>1.4616042070781271E-2</v>
      </c>
      <c r="R236" s="3">
        <v>4.7072377749601622E-2</v>
      </c>
      <c r="S236" t="s">
        <v>28</v>
      </c>
      <c r="T236" s="4">
        <f t="shared" si="3"/>
        <v>103.25</v>
      </c>
    </row>
    <row r="237" spans="1:20" x14ac:dyDescent="0.2">
      <c r="A237">
        <v>239</v>
      </c>
      <c r="B237">
        <v>1</v>
      </c>
      <c r="C237" t="s">
        <v>1103</v>
      </c>
      <c r="D237" t="s">
        <v>1104</v>
      </c>
      <c r="E237" t="s">
        <v>1105</v>
      </c>
      <c r="F237" t="s">
        <v>1106</v>
      </c>
      <c r="G237" t="s">
        <v>1107</v>
      </c>
      <c r="H237" t="s">
        <v>25</v>
      </c>
      <c r="I237" t="s">
        <v>25</v>
      </c>
      <c r="J237" t="s">
        <v>26</v>
      </c>
      <c r="K237" t="s">
        <v>1108</v>
      </c>
      <c r="L237" s="2">
        <v>400486.02470990678</v>
      </c>
      <c r="M237" s="3">
        <v>0.65491904470092832</v>
      </c>
      <c r="N237" s="3">
        <v>8.4291747585005395E-3</v>
      </c>
      <c r="O237" s="3">
        <v>4.5352184703700393E-2</v>
      </c>
      <c r="P237" s="3">
        <v>0</v>
      </c>
      <c r="Q237" s="3">
        <v>0.29129959583687071</v>
      </c>
      <c r="R237" s="3">
        <v>4.5352184703700393E-2</v>
      </c>
      <c r="S237" t="s">
        <v>28</v>
      </c>
      <c r="T237" s="4">
        <f t="shared" si="3"/>
        <v>74.56</v>
      </c>
    </row>
    <row r="238" spans="1:20" x14ac:dyDescent="0.2">
      <c r="A238">
        <v>240</v>
      </c>
      <c r="B238">
        <v>1</v>
      </c>
      <c r="C238" t="s">
        <v>1109</v>
      </c>
      <c r="D238" t="s">
        <v>1110</v>
      </c>
      <c r="E238" t="s">
        <v>1105</v>
      </c>
      <c r="F238" t="s">
        <v>1111</v>
      </c>
      <c r="G238" t="s">
        <v>1112</v>
      </c>
      <c r="H238" t="s">
        <v>25</v>
      </c>
      <c r="I238" t="s">
        <v>25</v>
      </c>
      <c r="J238" t="s">
        <v>34</v>
      </c>
      <c r="K238" t="s">
        <v>1108</v>
      </c>
      <c r="L238" s="2">
        <v>400486.02470990678</v>
      </c>
      <c r="M238" s="3">
        <v>0.88680748441657264</v>
      </c>
      <c r="N238" s="3">
        <v>0</v>
      </c>
      <c r="O238" s="3">
        <v>9.9262455374186112E-2</v>
      </c>
      <c r="P238" s="3">
        <v>1.32163215175584E-2</v>
      </c>
      <c r="Q238" s="3">
        <v>7.1373869168289705E-4</v>
      </c>
      <c r="R238" s="3">
        <v>0.1124787768917445</v>
      </c>
      <c r="S238" t="s">
        <v>36</v>
      </c>
      <c r="T238" s="4">
        <f t="shared" si="3"/>
        <v>112.5</v>
      </c>
    </row>
    <row r="239" spans="1:20" x14ac:dyDescent="0.2">
      <c r="A239">
        <v>241</v>
      </c>
      <c r="B239">
        <v>2</v>
      </c>
      <c r="C239" t="s">
        <v>1113</v>
      </c>
      <c r="D239" t="s">
        <v>1114</v>
      </c>
      <c r="E239" t="s">
        <v>1105</v>
      </c>
      <c r="F239" t="s">
        <v>1115</v>
      </c>
      <c r="G239" t="s">
        <v>1116</v>
      </c>
      <c r="H239" t="s">
        <v>67</v>
      </c>
      <c r="I239" t="s">
        <v>67</v>
      </c>
      <c r="J239" t="s">
        <v>26</v>
      </c>
      <c r="K239" t="s">
        <v>1108</v>
      </c>
      <c r="L239" s="2">
        <v>800972.04941981356</v>
      </c>
      <c r="M239" s="3">
        <v>0.86965637673809781</v>
      </c>
      <c r="N239" s="3">
        <v>6.5870499679156818E-3</v>
      </c>
      <c r="O239" s="3">
        <v>0.1072517179295522</v>
      </c>
      <c r="P239" s="3">
        <v>4.6521520821110341E-4</v>
      </c>
      <c r="Q239" s="3">
        <v>1.6039640156223171E-2</v>
      </c>
      <c r="R239" s="3">
        <v>0.1077169331377633</v>
      </c>
      <c r="S239" t="s">
        <v>36</v>
      </c>
      <c r="T239" s="4">
        <f t="shared" si="3"/>
        <v>108.56</v>
      </c>
    </row>
    <row r="240" spans="1:20" x14ac:dyDescent="0.2">
      <c r="A240">
        <v>242</v>
      </c>
      <c r="B240">
        <v>1</v>
      </c>
      <c r="C240" t="s">
        <v>1117</v>
      </c>
      <c r="D240" t="s">
        <v>1118</v>
      </c>
      <c r="E240" t="s">
        <v>1105</v>
      </c>
      <c r="F240" t="s">
        <v>1119</v>
      </c>
      <c r="G240" t="s">
        <v>1120</v>
      </c>
      <c r="H240" t="s">
        <v>25</v>
      </c>
      <c r="I240" t="s">
        <v>25</v>
      </c>
      <c r="J240" t="s">
        <v>26</v>
      </c>
      <c r="K240" t="s">
        <v>43</v>
      </c>
      <c r="L240" s="2">
        <v>400486.02470990678</v>
      </c>
      <c r="M240" s="3">
        <v>0.87053986991050392</v>
      </c>
      <c r="N240" s="3">
        <v>0</v>
      </c>
      <c r="O240" s="3">
        <v>0.115685179554603</v>
      </c>
      <c r="P240" s="3">
        <v>1.360906438733194E-2</v>
      </c>
      <c r="Q240" s="3">
        <v>1.6588614756118949E-4</v>
      </c>
      <c r="R240" s="3">
        <v>0.12929424394193489</v>
      </c>
      <c r="S240" t="s">
        <v>36</v>
      </c>
      <c r="T240" s="4">
        <f t="shared" si="3"/>
        <v>114.27</v>
      </c>
    </row>
    <row r="241" spans="1:20" x14ac:dyDescent="0.2">
      <c r="A241">
        <v>243</v>
      </c>
      <c r="B241">
        <v>1</v>
      </c>
      <c r="C241" t="s">
        <v>1121</v>
      </c>
      <c r="D241" t="s">
        <v>1122</v>
      </c>
      <c r="E241" t="s">
        <v>1105</v>
      </c>
      <c r="F241" t="s">
        <v>1123</v>
      </c>
      <c r="G241" t="s">
        <v>1124</v>
      </c>
      <c r="H241" t="s">
        <v>67</v>
      </c>
      <c r="I241" t="s">
        <v>67</v>
      </c>
      <c r="J241" t="s">
        <v>26</v>
      </c>
      <c r="K241" t="s">
        <v>43</v>
      </c>
      <c r="L241" s="2">
        <v>400486.02470990678</v>
      </c>
      <c r="M241" s="3">
        <v>0.78512929570574064</v>
      </c>
      <c r="N241" s="3">
        <v>0</v>
      </c>
      <c r="O241" s="3">
        <v>0.1000026089169586</v>
      </c>
      <c r="P241" s="3">
        <v>8.150116877991536E-3</v>
      </c>
      <c r="Q241" s="3">
        <v>0.10671797849930929</v>
      </c>
      <c r="R241" s="3">
        <v>0.1081527257949501</v>
      </c>
      <c r="S241" t="s">
        <v>36</v>
      </c>
      <c r="T241" s="4">
        <f t="shared" si="3"/>
        <v>100.96</v>
      </c>
    </row>
    <row r="242" spans="1:20" x14ac:dyDescent="0.2">
      <c r="A242">
        <v>244</v>
      </c>
      <c r="B242">
        <v>1</v>
      </c>
      <c r="C242" t="s">
        <v>1125</v>
      </c>
      <c r="D242" t="s">
        <v>1126</v>
      </c>
      <c r="E242" t="s">
        <v>1105</v>
      </c>
      <c r="F242" t="s">
        <v>1127</v>
      </c>
      <c r="G242" t="s">
        <v>1128</v>
      </c>
      <c r="H242" t="s">
        <v>25</v>
      </c>
      <c r="I242" t="s">
        <v>25</v>
      </c>
      <c r="J242" t="s">
        <v>26</v>
      </c>
      <c r="K242" t="s">
        <v>43</v>
      </c>
      <c r="L242" s="2">
        <v>400486.02470990678</v>
      </c>
      <c r="M242" s="3">
        <v>0.87291746875812815</v>
      </c>
      <c r="N242" s="3">
        <v>0</v>
      </c>
      <c r="O242" s="3">
        <v>0.10121940295560231</v>
      </c>
      <c r="P242" s="3">
        <v>3.326226037441466E-3</v>
      </c>
      <c r="Q242" s="3">
        <v>2.2536902248828091E-2</v>
      </c>
      <c r="R242" s="3">
        <v>0.1045456289930438</v>
      </c>
      <c r="S242" t="s">
        <v>36</v>
      </c>
      <c r="T242" s="4">
        <f t="shared" si="3"/>
        <v>108.53</v>
      </c>
    </row>
    <row r="243" spans="1:20" x14ac:dyDescent="0.2">
      <c r="A243">
        <v>245</v>
      </c>
      <c r="B243">
        <v>1</v>
      </c>
      <c r="C243" t="s">
        <v>1129</v>
      </c>
      <c r="D243" t="s">
        <v>1130</v>
      </c>
      <c r="E243" t="s">
        <v>1131</v>
      </c>
      <c r="F243" t="s">
        <v>1132</v>
      </c>
      <c r="G243" t="s">
        <v>1132</v>
      </c>
      <c r="H243" t="s">
        <v>25</v>
      </c>
      <c r="I243" t="s">
        <v>25</v>
      </c>
      <c r="J243" t="s">
        <v>26</v>
      </c>
      <c r="K243" t="s">
        <v>43</v>
      </c>
      <c r="L243" s="2">
        <v>400486.02470992767</v>
      </c>
      <c r="M243" s="3">
        <v>0.89743750101065412</v>
      </c>
      <c r="N243" s="3">
        <v>0</v>
      </c>
      <c r="O243" s="3">
        <v>1.647712363741512E-2</v>
      </c>
      <c r="P243" s="3">
        <v>2.85346372899014E-2</v>
      </c>
      <c r="Q243" s="3">
        <v>5.7550738062029372E-2</v>
      </c>
      <c r="R243" s="3">
        <v>4.5011760927316527E-2</v>
      </c>
      <c r="S243" t="s">
        <v>28</v>
      </c>
      <c r="T243" s="4">
        <f t="shared" si="3"/>
        <v>101.6</v>
      </c>
    </row>
    <row r="244" spans="1:20" x14ac:dyDescent="0.2">
      <c r="A244">
        <v>246</v>
      </c>
      <c r="B244">
        <v>1</v>
      </c>
      <c r="C244" t="s">
        <v>1133</v>
      </c>
      <c r="D244" t="s">
        <v>1134</v>
      </c>
      <c r="E244" t="s">
        <v>1131</v>
      </c>
      <c r="F244" t="s">
        <v>1135</v>
      </c>
      <c r="G244" t="s">
        <v>1135</v>
      </c>
      <c r="H244" t="s">
        <v>25</v>
      </c>
      <c r="I244" t="s">
        <v>25</v>
      </c>
      <c r="J244" t="s">
        <v>92</v>
      </c>
      <c r="K244" t="s">
        <v>43</v>
      </c>
      <c r="L244" s="2">
        <v>400486.02470986679</v>
      </c>
      <c r="M244" s="3">
        <v>0.18502869929629659</v>
      </c>
      <c r="N244" s="3">
        <v>0</v>
      </c>
      <c r="O244" s="3">
        <v>0.12693627610022001</v>
      </c>
      <c r="P244" s="3">
        <v>5.6932177532422183E-2</v>
      </c>
      <c r="Q244" s="3">
        <v>0.63110284707106112</v>
      </c>
      <c r="R244" s="3">
        <v>0.1838684536326422</v>
      </c>
      <c r="S244" t="s">
        <v>36</v>
      </c>
      <c r="T244" s="4">
        <f t="shared" si="3"/>
        <v>60.97</v>
      </c>
    </row>
    <row r="245" spans="1:20" x14ac:dyDescent="0.2">
      <c r="A245">
        <v>247</v>
      </c>
      <c r="B245">
        <v>1</v>
      </c>
      <c r="C245" t="s">
        <v>1136</v>
      </c>
      <c r="D245" t="s">
        <v>1137</v>
      </c>
      <c r="E245" t="s">
        <v>1131</v>
      </c>
      <c r="F245" t="s">
        <v>1138</v>
      </c>
      <c r="G245" t="s">
        <v>1138</v>
      </c>
      <c r="H245" t="s">
        <v>25</v>
      </c>
      <c r="I245" t="s">
        <v>25</v>
      </c>
      <c r="J245" t="s">
        <v>26</v>
      </c>
      <c r="K245" t="s">
        <v>43</v>
      </c>
      <c r="L245" s="2">
        <v>400486.02470986679</v>
      </c>
      <c r="M245" s="3">
        <v>0.37008985155424989</v>
      </c>
      <c r="N245" s="3">
        <v>0</v>
      </c>
      <c r="O245" s="3">
        <v>0.1846536789824966</v>
      </c>
      <c r="P245" s="3">
        <v>0.35241604193962478</v>
      </c>
      <c r="Q245" s="3">
        <v>9.2840427523628533E-2</v>
      </c>
      <c r="R245" s="3">
        <v>0.53706972092212146</v>
      </c>
      <c r="S245" t="s">
        <v>125</v>
      </c>
      <c r="T245" s="4">
        <f t="shared" si="3"/>
        <v>179.66</v>
      </c>
    </row>
    <row r="246" spans="1:20" x14ac:dyDescent="0.2">
      <c r="A246">
        <v>248</v>
      </c>
      <c r="B246">
        <v>1</v>
      </c>
      <c r="C246" t="s">
        <v>1139</v>
      </c>
      <c r="D246" t="s">
        <v>1140</v>
      </c>
      <c r="E246" t="s">
        <v>1141</v>
      </c>
      <c r="F246" t="s">
        <v>1142</v>
      </c>
      <c r="G246" t="s">
        <v>1143</v>
      </c>
      <c r="H246" t="s">
        <v>25</v>
      </c>
      <c r="I246" t="s">
        <v>25</v>
      </c>
      <c r="J246" t="s">
        <v>26</v>
      </c>
      <c r="K246" t="s">
        <v>1108</v>
      </c>
      <c r="L246" s="2">
        <v>400486.02470990678</v>
      </c>
      <c r="M246" s="3">
        <v>0.93762377791549389</v>
      </c>
      <c r="N246" s="3">
        <v>0</v>
      </c>
      <c r="O246" s="3">
        <v>6.2376222084552103E-2</v>
      </c>
      <c r="P246" s="3">
        <v>0</v>
      </c>
      <c r="Q246" s="3">
        <v>0</v>
      </c>
      <c r="R246" s="3">
        <v>6.2376222084552103E-2</v>
      </c>
      <c r="S246" t="s">
        <v>28</v>
      </c>
      <c r="T246" s="4">
        <f t="shared" si="3"/>
        <v>106.24</v>
      </c>
    </row>
    <row r="247" spans="1:20" x14ac:dyDescent="0.2">
      <c r="A247">
        <v>249</v>
      </c>
      <c r="B247">
        <v>1</v>
      </c>
      <c r="C247" t="s">
        <v>1144</v>
      </c>
      <c r="D247" t="s">
        <v>1145</v>
      </c>
      <c r="E247" t="s">
        <v>1141</v>
      </c>
      <c r="F247" t="s">
        <v>1146</v>
      </c>
      <c r="G247" t="s">
        <v>1147</v>
      </c>
      <c r="H247" t="s">
        <v>25</v>
      </c>
      <c r="I247" t="s">
        <v>25</v>
      </c>
      <c r="J247" t="s">
        <v>34</v>
      </c>
      <c r="K247" t="s">
        <v>1108</v>
      </c>
      <c r="L247" s="2">
        <v>400486.02470990678</v>
      </c>
      <c r="M247" s="3">
        <v>0.78486911454318065</v>
      </c>
      <c r="N247" s="3">
        <v>0</v>
      </c>
      <c r="O247" s="3">
        <v>5.8649098265696448E-2</v>
      </c>
      <c r="P247" s="3">
        <v>0</v>
      </c>
      <c r="Q247" s="3">
        <v>0.15648178719112291</v>
      </c>
      <c r="R247" s="3">
        <v>5.8649098265696448E-2</v>
      </c>
      <c r="S247" t="s">
        <v>28</v>
      </c>
      <c r="T247" s="4">
        <f t="shared" si="3"/>
        <v>90.22</v>
      </c>
    </row>
    <row r="248" spans="1:20" x14ac:dyDescent="0.2">
      <c r="A248">
        <v>250</v>
      </c>
      <c r="B248">
        <v>1</v>
      </c>
      <c r="C248" t="s">
        <v>1148</v>
      </c>
      <c r="D248" t="s">
        <v>1149</v>
      </c>
      <c r="E248" t="s">
        <v>1141</v>
      </c>
      <c r="F248" t="s">
        <v>1150</v>
      </c>
      <c r="G248" t="s">
        <v>1151</v>
      </c>
      <c r="H248" t="s">
        <v>25</v>
      </c>
      <c r="I248" t="s">
        <v>25</v>
      </c>
      <c r="J248" t="s">
        <v>34</v>
      </c>
      <c r="K248" t="s">
        <v>1108</v>
      </c>
      <c r="L248" s="2">
        <v>400486.02470990678</v>
      </c>
      <c r="M248" s="3">
        <v>0.94900600300450777</v>
      </c>
      <c r="N248" s="3">
        <v>0</v>
      </c>
      <c r="O248" s="3">
        <v>5.099399699549223E-2</v>
      </c>
      <c r="P248" s="3">
        <v>0</v>
      </c>
      <c r="Q248" s="3">
        <v>0</v>
      </c>
      <c r="R248" s="3">
        <v>5.099399699549223E-2</v>
      </c>
      <c r="S248" t="s">
        <v>28</v>
      </c>
      <c r="T248" s="4">
        <f t="shared" si="3"/>
        <v>105.1</v>
      </c>
    </row>
    <row r="249" spans="1:20" x14ac:dyDescent="0.2">
      <c r="A249">
        <v>251</v>
      </c>
      <c r="B249">
        <v>1</v>
      </c>
      <c r="C249" t="s">
        <v>1152</v>
      </c>
      <c r="D249" t="s">
        <v>1153</v>
      </c>
      <c r="E249" t="s">
        <v>1141</v>
      </c>
      <c r="F249" t="s">
        <v>1154</v>
      </c>
      <c r="G249" t="s">
        <v>1155</v>
      </c>
      <c r="H249" t="s">
        <v>25</v>
      </c>
      <c r="I249" t="s">
        <v>25</v>
      </c>
      <c r="J249" t="s">
        <v>26</v>
      </c>
      <c r="K249" t="s">
        <v>43</v>
      </c>
      <c r="L249" s="2">
        <v>400486.02470990678</v>
      </c>
      <c r="M249" s="3">
        <v>0.95600389356705495</v>
      </c>
      <c r="N249" s="3">
        <v>0</v>
      </c>
      <c r="O249" s="3">
        <v>4.399610643297569E-2</v>
      </c>
      <c r="P249" s="3">
        <v>0</v>
      </c>
      <c r="Q249" s="3">
        <v>0</v>
      </c>
      <c r="R249" s="3">
        <v>4.399610643297569E-2</v>
      </c>
      <c r="S249" t="s">
        <v>28</v>
      </c>
      <c r="T249" s="4">
        <f t="shared" si="3"/>
        <v>104.4</v>
      </c>
    </row>
    <row r="250" spans="1:20" x14ac:dyDescent="0.2">
      <c r="A250">
        <v>252</v>
      </c>
      <c r="B250">
        <v>1</v>
      </c>
      <c r="C250" t="s">
        <v>1156</v>
      </c>
      <c r="D250" t="s">
        <v>1157</v>
      </c>
      <c r="E250" t="s">
        <v>1141</v>
      </c>
      <c r="F250" t="s">
        <v>1158</v>
      </c>
      <c r="G250" t="s">
        <v>1159</v>
      </c>
      <c r="H250" t="s">
        <v>25</v>
      </c>
      <c r="I250" t="s">
        <v>25</v>
      </c>
      <c r="J250" t="s">
        <v>26</v>
      </c>
      <c r="K250" t="s">
        <v>1108</v>
      </c>
      <c r="L250" s="2">
        <v>400486.02470990678</v>
      </c>
      <c r="M250" s="3">
        <v>0.99999999999999989</v>
      </c>
      <c r="N250" s="3">
        <v>0</v>
      </c>
      <c r="O250" s="3">
        <v>0</v>
      </c>
      <c r="P250" s="3">
        <v>0</v>
      </c>
      <c r="Q250" s="3">
        <v>1.110223024625157E-16</v>
      </c>
      <c r="R250" s="3">
        <v>0</v>
      </c>
      <c r="S250" t="s">
        <v>28</v>
      </c>
      <c r="T250" s="4">
        <f t="shared" si="3"/>
        <v>100</v>
      </c>
    </row>
    <row r="251" spans="1:20" x14ac:dyDescent="0.2">
      <c r="A251">
        <v>253</v>
      </c>
      <c r="B251">
        <v>1</v>
      </c>
      <c r="C251" t="s">
        <v>1160</v>
      </c>
      <c r="D251" t="s">
        <v>1161</v>
      </c>
      <c r="E251" t="s">
        <v>1162</v>
      </c>
      <c r="F251" t="s">
        <v>1163</v>
      </c>
      <c r="G251" t="s">
        <v>1164</v>
      </c>
      <c r="H251" t="s">
        <v>25</v>
      </c>
      <c r="I251" t="s">
        <v>25</v>
      </c>
      <c r="J251" t="s">
        <v>34</v>
      </c>
      <c r="K251" t="s">
        <v>35</v>
      </c>
      <c r="L251" s="2">
        <v>400486.02470990678</v>
      </c>
      <c r="M251" s="3">
        <v>0.94942195127645168</v>
      </c>
      <c r="N251" s="3">
        <v>0</v>
      </c>
      <c r="O251" s="3">
        <v>5.057804872356108E-2</v>
      </c>
      <c r="P251" s="3">
        <v>0</v>
      </c>
      <c r="Q251" s="3">
        <v>0</v>
      </c>
      <c r="R251" s="3">
        <v>5.057804872356108E-2</v>
      </c>
      <c r="S251" t="s">
        <v>28</v>
      </c>
      <c r="T251" s="4">
        <f t="shared" si="3"/>
        <v>105.06</v>
      </c>
    </row>
    <row r="252" spans="1:20" x14ac:dyDescent="0.2">
      <c r="A252">
        <v>254</v>
      </c>
      <c r="B252">
        <v>1</v>
      </c>
      <c r="C252" t="s">
        <v>1165</v>
      </c>
      <c r="D252" t="s">
        <v>1166</v>
      </c>
      <c r="E252" t="s">
        <v>1162</v>
      </c>
      <c r="F252" t="s">
        <v>1167</v>
      </c>
      <c r="G252" t="s">
        <v>1168</v>
      </c>
      <c r="H252" t="s">
        <v>25</v>
      </c>
      <c r="I252" t="s">
        <v>25</v>
      </c>
      <c r="J252" t="s">
        <v>26</v>
      </c>
      <c r="K252" t="s">
        <v>35</v>
      </c>
      <c r="L252" s="2">
        <v>400486.02470990678</v>
      </c>
      <c r="M252" s="3">
        <v>0.9628588681021204</v>
      </c>
      <c r="N252" s="3">
        <v>0</v>
      </c>
      <c r="O252" s="3">
        <v>3.7141131897879473E-2</v>
      </c>
      <c r="P252" s="3">
        <v>0</v>
      </c>
      <c r="Q252" s="3">
        <v>1.110223024625157E-16</v>
      </c>
      <c r="R252" s="3">
        <v>3.7141131897879473E-2</v>
      </c>
      <c r="S252" t="s">
        <v>28</v>
      </c>
      <c r="T252" s="4">
        <f t="shared" si="3"/>
        <v>103.71</v>
      </c>
    </row>
    <row r="253" spans="1:20" x14ac:dyDescent="0.2">
      <c r="A253">
        <v>255</v>
      </c>
      <c r="B253">
        <v>1</v>
      </c>
      <c r="C253" t="s">
        <v>1169</v>
      </c>
      <c r="D253" t="s">
        <v>1170</v>
      </c>
      <c r="E253" t="s">
        <v>1162</v>
      </c>
      <c r="F253" t="s">
        <v>1171</v>
      </c>
      <c r="G253" t="s">
        <v>1172</v>
      </c>
      <c r="H253" t="s">
        <v>25</v>
      </c>
      <c r="I253" t="s">
        <v>25</v>
      </c>
      <c r="J253" t="s">
        <v>34</v>
      </c>
      <c r="K253" t="s">
        <v>35</v>
      </c>
      <c r="L253" s="2">
        <v>400486.02470990678</v>
      </c>
      <c r="M253" s="3">
        <v>0.91322148031728978</v>
      </c>
      <c r="N253" s="3">
        <v>0</v>
      </c>
      <c r="O253" s="3">
        <v>8.6778519682731009E-2</v>
      </c>
      <c r="P253" s="3">
        <v>0</v>
      </c>
      <c r="Q253" s="3">
        <v>0</v>
      </c>
      <c r="R253" s="3">
        <v>8.6778519682731009E-2</v>
      </c>
      <c r="S253" t="s">
        <v>28</v>
      </c>
      <c r="T253" s="4">
        <f t="shared" si="3"/>
        <v>108.68</v>
      </c>
    </row>
    <row r="254" spans="1:20" x14ac:dyDescent="0.2">
      <c r="A254">
        <v>256</v>
      </c>
      <c r="B254">
        <v>1</v>
      </c>
      <c r="C254" t="s">
        <v>1173</v>
      </c>
      <c r="D254" t="s">
        <v>1174</v>
      </c>
      <c r="E254" t="s">
        <v>1162</v>
      </c>
      <c r="F254" t="s">
        <v>1175</v>
      </c>
      <c r="G254" t="s">
        <v>1176</v>
      </c>
      <c r="H254" t="s">
        <v>25</v>
      </c>
      <c r="I254" t="s">
        <v>25</v>
      </c>
      <c r="J254" t="s">
        <v>26</v>
      </c>
      <c r="K254" t="s">
        <v>35</v>
      </c>
      <c r="L254" s="2">
        <v>400486.02470990678</v>
      </c>
      <c r="M254" s="3">
        <v>6.2212917548471892E-2</v>
      </c>
      <c r="N254" s="3">
        <v>0</v>
      </c>
      <c r="O254" s="3">
        <v>0.1750464709741015</v>
      </c>
      <c r="P254" s="3">
        <v>0.76274061147745165</v>
      </c>
      <c r="Q254" s="3">
        <v>0</v>
      </c>
      <c r="R254" s="3">
        <v>0.93778708245155318</v>
      </c>
      <c r="S254" t="s">
        <v>44</v>
      </c>
      <c r="T254" s="4">
        <f t="shared" si="3"/>
        <v>270.05</v>
      </c>
    </row>
    <row r="255" spans="1:20" x14ac:dyDescent="0.2">
      <c r="A255">
        <v>257</v>
      </c>
      <c r="B255">
        <v>1</v>
      </c>
      <c r="C255" t="s">
        <v>1177</v>
      </c>
      <c r="D255" t="s">
        <v>1178</v>
      </c>
      <c r="E255" t="s">
        <v>1179</v>
      </c>
      <c r="F255" t="s">
        <v>1180</v>
      </c>
      <c r="G255" t="s">
        <v>1180</v>
      </c>
      <c r="H255" t="s">
        <v>25</v>
      </c>
      <c r="I255" t="s">
        <v>25</v>
      </c>
      <c r="J255" t="s">
        <v>26</v>
      </c>
      <c r="K255" t="s">
        <v>43</v>
      </c>
      <c r="L255" s="2">
        <v>400486.02470986679</v>
      </c>
      <c r="M255" s="3">
        <v>0.15581739089970911</v>
      </c>
      <c r="N255" s="3">
        <v>0</v>
      </c>
      <c r="O255" s="3">
        <v>9.8055223286578133E-2</v>
      </c>
      <c r="P255" s="3">
        <v>8.878937636908811E-2</v>
      </c>
      <c r="Q255" s="3">
        <v>0.65733800944462462</v>
      </c>
      <c r="R255" s="3">
        <v>0.18684459965566619</v>
      </c>
      <c r="S255" t="s">
        <v>36</v>
      </c>
      <c r="T255" s="4">
        <f t="shared" si="3"/>
        <v>61.83</v>
      </c>
    </row>
    <row r="256" spans="1:20" x14ac:dyDescent="0.2">
      <c r="A256">
        <v>258</v>
      </c>
      <c r="B256">
        <v>2</v>
      </c>
      <c r="C256" t="s">
        <v>1181</v>
      </c>
      <c r="D256" t="s">
        <v>1182</v>
      </c>
      <c r="E256" t="s">
        <v>1183</v>
      </c>
      <c r="F256" t="s">
        <v>1184</v>
      </c>
      <c r="G256" t="s">
        <v>1185</v>
      </c>
      <c r="H256" t="s">
        <v>67</v>
      </c>
      <c r="I256" t="s">
        <v>67</v>
      </c>
      <c r="J256" t="s">
        <v>92</v>
      </c>
      <c r="K256" t="s">
        <v>35</v>
      </c>
      <c r="L256" s="2">
        <v>800972.04941973358</v>
      </c>
      <c r="M256" s="3">
        <v>0.20342615746049311</v>
      </c>
      <c r="N256" s="3">
        <v>0</v>
      </c>
      <c r="O256" s="3">
        <v>0.17952856558092731</v>
      </c>
      <c r="P256" s="3">
        <v>3.2912249331380171E-2</v>
      </c>
      <c r="Q256" s="3">
        <v>0.58413302762719943</v>
      </c>
      <c r="R256" s="3">
        <v>0.21244081491230751</v>
      </c>
      <c r="S256" t="s">
        <v>69</v>
      </c>
      <c r="T256" s="4">
        <f t="shared" si="3"/>
        <v>66.12</v>
      </c>
    </row>
    <row r="257" spans="1:20" x14ac:dyDescent="0.2">
      <c r="A257">
        <v>259</v>
      </c>
      <c r="B257">
        <v>1</v>
      </c>
      <c r="C257" t="s">
        <v>1186</v>
      </c>
      <c r="D257" t="s">
        <v>1187</v>
      </c>
      <c r="E257" t="s">
        <v>1179</v>
      </c>
      <c r="F257" t="s">
        <v>1188</v>
      </c>
      <c r="G257" t="s">
        <v>1189</v>
      </c>
      <c r="H257" t="s">
        <v>25</v>
      </c>
      <c r="I257" t="s">
        <v>25</v>
      </c>
      <c r="J257" t="s">
        <v>26</v>
      </c>
      <c r="K257" t="s">
        <v>43</v>
      </c>
      <c r="L257" s="2">
        <v>400486.02470986679</v>
      </c>
      <c r="M257" s="3">
        <v>0.91873082537029227</v>
      </c>
      <c r="N257" s="3">
        <v>0</v>
      </c>
      <c r="O257" s="3">
        <v>2.6300142962889982E-2</v>
      </c>
      <c r="P257" s="3">
        <v>0</v>
      </c>
      <c r="Q257" s="3">
        <v>5.4969031666817762E-2</v>
      </c>
      <c r="R257" s="3">
        <v>2.6300142962889982E-2</v>
      </c>
      <c r="S257" t="s">
        <v>28</v>
      </c>
      <c r="T257" s="4">
        <f t="shared" si="3"/>
        <v>97.13</v>
      </c>
    </row>
    <row r="258" spans="1:20" x14ac:dyDescent="0.2">
      <c r="A258">
        <v>260</v>
      </c>
      <c r="B258">
        <v>1</v>
      </c>
      <c r="C258" t="s">
        <v>1190</v>
      </c>
      <c r="D258" t="s">
        <v>1191</v>
      </c>
      <c r="E258" t="s">
        <v>1179</v>
      </c>
      <c r="F258" t="s">
        <v>1192</v>
      </c>
      <c r="G258" t="s">
        <v>1193</v>
      </c>
      <c r="H258" t="s">
        <v>25</v>
      </c>
      <c r="I258" t="s">
        <v>25</v>
      </c>
      <c r="J258" t="s">
        <v>26</v>
      </c>
      <c r="K258" t="s">
        <v>43</v>
      </c>
      <c r="L258" s="2">
        <v>400486.02470986679</v>
      </c>
      <c r="M258" s="3">
        <v>0.49774172280447548</v>
      </c>
      <c r="N258" s="3">
        <v>0</v>
      </c>
      <c r="O258" s="3">
        <v>0</v>
      </c>
      <c r="P258" s="3">
        <v>0</v>
      </c>
      <c r="Q258" s="3">
        <v>0.50225827719552452</v>
      </c>
      <c r="R258" s="3">
        <v>0</v>
      </c>
      <c r="S258" t="s">
        <v>28</v>
      </c>
      <c r="T258" s="4">
        <f t="shared" ref="T258:T321" si="4">ROUND((M258*100*1)+(O258*100*2)+(P258*100*3),2)</f>
        <v>49.77</v>
      </c>
    </row>
    <row r="259" spans="1:20" x14ac:dyDescent="0.2">
      <c r="A259">
        <v>261</v>
      </c>
      <c r="B259">
        <v>1</v>
      </c>
      <c r="C259" t="s">
        <v>1194</v>
      </c>
      <c r="D259" t="s">
        <v>1195</v>
      </c>
      <c r="E259" t="s">
        <v>1196</v>
      </c>
      <c r="F259" t="s">
        <v>1197</v>
      </c>
      <c r="G259" t="s">
        <v>1198</v>
      </c>
      <c r="H259" t="s">
        <v>25</v>
      </c>
      <c r="I259" t="s">
        <v>25</v>
      </c>
      <c r="J259" t="s">
        <v>34</v>
      </c>
      <c r="K259" t="s">
        <v>1108</v>
      </c>
      <c r="L259" s="2">
        <v>400486.02470990678</v>
      </c>
      <c r="M259" s="3">
        <v>0.86445970853659082</v>
      </c>
      <c r="N259" s="3">
        <v>0</v>
      </c>
      <c r="O259" s="3">
        <v>0.1057985425455589</v>
      </c>
      <c r="P259" s="3">
        <v>1.6985611205319151E-3</v>
      </c>
      <c r="Q259" s="3">
        <v>2.8043187797318399E-2</v>
      </c>
      <c r="R259" s="3">
        <v>0.1074971036660908</v>
      </c>
      <c r="S259" t="s">
        <v>36</v>
      </c>
      <c r="T259" s="4">
        <f t="shared" si="4"/>
        <v>108.12</v>
      </c>
    </row>
    <row r="260" spans="1:20" x14ac:dyDescent="0.2">
      <c r="A260">
        <v>262</v>
      </c>
      <c r="B260">
        <v>1</v>
      </c>
      <c r="C260" t="s">
        <v>1199</v>
      </c>
      <c r="D260" t="s">
        <v>1200</v>
      </c>
      <c r="E260" t="s">
        <v>1196</v>
      </c>
      <c r="F260" t="s">
        <v>1201</v>
      </c>
      <c r="G260" t="s">
        <v>1202</v>
      </c>
      <c r="H260" t="s">
        <v>25</v>
      </c>
      <c r="I260" t="s">
        <v>25</v>
      </c>
      <c r="J260" t="s">
        <v>92</v>
      </c>
      <c r="K260" t="s">
        <v>1108</v>
      </c>
      <c r="L260" s="2">
        <v>400486.02470990678</v>
      </c>
      <c r="M260" s="3">
        <v>0.76036289000528068</v>
      </c>
      <c r="N260" s="3">
        <v>0</v>
      </c>
      <c r="O260" s="3">
        <v>0.1015491701708864</v>
      </c>
      <c r="P260" s="3">
        <v>0.1017324253482062</v>
      </c>
      <c r="Q260" s="3">
        <v>3.6355514475626682E-2</v>
      </c>
      <c r="R260" s="3">
        <v>0.20328159551909261</v>
      </c>
      <c r="S260" t="s">
        <v>69</v>
      </c>
      <c r="T260" s="4">
        <f t="shared" si="4"/>
        <v>126.87</v>
      </c>
    </row>
    <row r="261" spans="1:20" x14ac:dyDescent="0.2">
      <c r="A261">
        <v>263</v>
      </c>
      <c r="B261">
        <v>1</v>
      </c>
      <c r="C261" t="s">
        <v>1203</v>
      </c>
      <c r="D261" t="s">
        <v>1204</v>
      </c>
      <c r="E261" t="s">
        <v>1196</v>
      </c>
      <c r="F261" t="s">
        <v>1205</v>
      </c>
      <c r="G261" t="s">
        <v>1206</v>
      </c>
      <c r="H261" t="s">
        <v>25</v>
      </c>
      <c r="I261" t="s">
        <v>25</v>
      </c>
      <c r="J261" t="s">
        <v>26</v>
      </c>
      <c r="K261" t="s">
        <v>1108</v>
      </c>
      <c r="L261" s="2">
        <v>400486.02470990678</v>
      </c>
      <c r="M261" s="3">
        <v>0.78625953625062572</v>
      </c>
      <c r="N261" s="3">
        <v>0</v>
      </c>
      <c r="O261" s="3">
        <v>0.1202732693462045</v>
      </c>
      <c r="P261" s="3">
        <v>3.6340957545001711E-3</v>
      </c>
      <c r="Q261" s="3">
        <v>8.9833098648669618E-2</v>
      </c>
      <c r="R261" s="3">
        <v>0.1239073651007047</v>
      </c>
      <c r="S261" t="s">
        <v>36</v>
      </c>
      <c r="T261" s="4">
        <f t="shared" si="4"/>
        <v>103.77</v>
      </c>
    </row>
    <row r="262" spans="1:20" x14ac:dyDescent="0.2">
      <c r="A262">
        <v>264</v>
      </c>
      <c r="B262">
        <v>1</v>
      </c>
      <c r="C262" t="s">
        <v>1207</v>
      </c>
      <c r="D262" t="s">
        <v>1208</v>
      </c>
      <c r="E262" t="s">
        <v>1196</v>
      </c>
      <c r="F262" t="s">
        <v>1209</v>
      </c>
      <c r="G262" t="s">
        <v>1210</v>
      </c>
      <c r="H262" t="s">
        <v>25</v>
      </c>
      <c r="I262" t="s">
        <v>25</v>
      </c>
      <c r="J262" t="s">
        <v>26</v>
      </c>
      <c r="K262" t="s">
        <v>1108</v>
      </c>
      <c r="L262" s="2">
        <v>400486.02470990678</v>
      </c>
      <c r="M262" s="3">
        <v>0.90961381903115257</v>
      </c>
      <c r="N262" s="3">
        <v>0</v>
      </c>
      <c r="O262" s="3">
        <v>9.0386180968903052E-2</v>
      </c>
      <c r="P262" s="3">
        <v>0</v>
      </c>
      <c r="Q262" s="3">
        <v>0</v>
      </c>
      <c r="R262" s="3">
        <v>9.0386180968903052E-2</v>
      </c>
      <c r="S262" t="s">
        <v>28</v>
      </c>
      <c r="T262" s="4">
        <f t="shared" si="4"/>
        <v>109.04</v>
      </c>
    </row>
    <row r="263" spans="1:20" x14ac:dyDescent="0.2">
      <c r="A263">
        <v>265</v>
      </c>
      <c r="B263">
        <v>1</v>
      </c>
      <c r="C263" t="s">
        <v>1211</v>
      </c>
      <c r="D263" t="s">
        <v>1212</v>
      </c>
      <c r="E263" t="s">
        <v>1196</v>
      </c>
      <c r="F263" t="s">
        <v>1213</v>
      </c>
      <c r="G263" t="s">
        <v>1213</v>
      </c>
      <c r="H263" t="s">
        <v>25</v>
      </c>
      <c r="I263" t="s">
        <v>25</v>
      </c>
      <c r="J263" t="s">
        <v>92</v>
      </c>
      <c r="K263" t="s">
        <v>1108</v>
      </c>
      <c r="L263" s="2">
        <v>400486.02470990678</v>
      </c>
      <c r="M263" s="3">
        <v>0.9640355890660085</v>
      </c>
      <c r="N263" s="3">
        <v>0</v>
      </c>
      <c r="O263" s="3">
        <v>3.5291329430267103E-2</v>
      </c>
      <c r="P263" s="3">
        <v>6.7308150372642913E-4</v>
      </c>
      <c r="Q263" s="3">
        <v>0</v>
      </c>
      <c r="R263" s="3">
        <v>3.5964410933993531E-2</v>
      </c>
      <c r="S263" t="s">
        <v>28</v>
      </c>
      <c r="T263" s="4">
        <f t="shared" si="4"/>
        <v>103.66</v>
      </c>
    </row>
    <row r="264" spans="1:20" x14ac:dyDescent="0.2">
      <c r="A264">
        <v>266</v>
      </c>
      <c r="B264">
        <v>1</v>
      </c>
      <c r="C264" t="s">
        <v>1214</v>
      </c>
      <c r="D264" t="s">
        <v>1215</v>
      </c>
      <c r="E264" t="s">
        <v>1216</v>
      </c>
      <c r="F264" t="s">
        <v>1055</v>
      </c>
      <c r="G264" t="s">
        <v>1217</v>
      </c>
      <c r="H264" t="s">
        <v>25</v>
      </c>
      <c r="I264" t="s">
        <v>25</v>
      </c>
      <c r="J264" t="s">
        <v>26</v>
      </c>
      <c r="K264" t="s">
        <v>650</v>
      </c>
      <c r="L264" s="2">
        <v>400486.02470990678</v>
      </c>
      <c r="M264" s="3">
        <v>0.39254350860295989</v>
      </c>
      <c r="N264" s="3">
        <v>0</v>
      </c>
      <c r="O264" s="3">
        <v>0.17588334378627371</v>
      </c>
      <c r="P264" s="3">
        <v>0.43157314761067089</v>
      </c>
      <c r="Q264" s="3">
        <v>9.5479180117763462E-14</v>
      </c>
      <c r="R264" s="3">
        <v>0.60745649139694458</v>
      </c>
      <c r="S264" t="s">
        <v>44</v>
      </c>
      <c r="T264" s="4">
        <f t="shared" si="4"/>
        <v>203.9</v>
      </c>
    </row>
    <row r="265" spans="1:20" x14ac:dyDescent="0.2">
      <c r="A265">
        <v>267</v>
      </c>
      <c r="B265">
        <v>1</v>
      </c>
      <c r="C265" t="s">
        <v>1218</v>
      </c>
      <c r="D265" t="s">
        <v>1219</v>
      </c>
      <c r="E265" t="s">
        <v>1220</v>
      </c>
      <c r="F265" t="s">
        <v>1221</v>
      </c>
      <c r="G265" t="s">
        <v>1222</v>
      </c>
      <c r="H265" t="s">
        <v>25</v>
      </c>
      <c r="I265" t="s">
        <v>25</v>
      </c>
      <c r="J265" t="s">
        <v>34</v>
      </c>
      <c r="K265" t="s">
        <v>1108</v>
      </c>
      <c r="L265" s="2">
        <v>400486.02470990678</v>
      </c>
      <c r="M265" s="3">
        <v>0.33392461815677948</v>
      </c>
      <c r="N265" s="3">
        <v>0</v>
      </c>
      <c r="O265" s="3">
        <v>8.7342818683511195E-2</v>
      </c>
      <c r="P265" s="3">
        <v>3.1416572943345931E-3</v>
      </c>
      <c r="Q265" s="3">
        <v>0.57559090586537476</v>
      </c>
      <c r="R265" s="3">
        <v>9.0484475977845785E-2</v>
      </c>
      <c r="S265" t="s">
        <v>28</v>
      </c>
      <c r="T265" s="4">
        <f t="shared" si="4"/>
        <v>51.8</v>
      </c>
    </row>
    <row r="266" spans="1:20" x14ac:dyDescent="0.2">
      <c r="A266">
        <v>268</v>
      </c>
      <c r="B266">
        <v>3</v>
      </c>
      <c r="C266" t="s">
        <v>1223</v>
      </c>
      <c r="D266" t="s">
        <v>1224</v>
      </c>
      <c r="E266" t="s">
        <v>1220</v>
      </c>
      <c r="F266" t="s">
        <v>171</v>
      </c>
      <c r="G266" t="s">
        <v>172</v>
      </c>
      <c r="H266" t="s">
        <v>25</v>
      </c>
      <c r="I266" t="s">
        <v>25</v>
      </c>
      <c r="J266" t="s">
        <v>34</v>
      </c>
      <c r="K266" t="s">
        <v>1108</v>
      </c>
      <c r="L266" s="2">
        <v>1201458.07412972</v>
      </c>
      <c r="M266" s="3">
        <v>0.66987650182970015</v>
      </c>
      <c r="N266" s="3">
        <v>0</v>
      </c>
      <c r="O266" s="3">
        <v>8.1867377273136616E-2</v>
      </c>
      <c r="P266" s="3">
        <v>5.5596168073831446E-3</v>
      </c>
      <c r="Q266" s="3">
        <v>0.24269650408978019</v>
      </c>
      <c r="R266" s="3">
        <v>8.7426994080519765E-2</v>
      </c>
      <c r="S266" t="s">
        <v>28</v>
      </c>
      <c r="T266" s="4">
        <f t="shared" si="4"/>
        <v>85.03</v>
      </c>
    </row>
    <row r="267" spans="1:20" x14ac:dyDescent="0.2">
      <c r="A267">
        <v>269</v>
      </c>
      <c r="B267">
        <v>2</v>
      </c>
      <c r="C267" t="s">
        <v>1225</v>
      </c>
      <c r="D267" t="s">
        <v>1226</v>
      </c>
      <c r="E267" t="s">
        <v>1227</v>
      </c>
      <c r="F267" t="s">
        <v>1228</v>
      </c>
      <c r="G267" t="s">
        <v>1229</v>
      </c>
      <c r="H267" t="s">
        <v>25</v>
      </c>
      <c r="I267" t="s">
        <v>25</v>
      </c>
      <c r="J267" t="s">
        <v>26</v>
      </c>
      <c r="K267" t="s">
        <v>1108</v>
      </c>
      <c r="L267" s="2">
        <v>800972.04941981356</v>
      </c>
      <c r="M267" s="3">
        <v>0.96024379455694642</v>
      </c>
      <c r="N267" s="3">
        <v>0</v>
      </c>
      <c r="O267" s="3">
        <v>3.9536251899997148E-2</v>
      </c>
      <c r="P267" s="3">
        <v>1.6708616594467501E-4</v>
      </c>
      <c r="Q267" s="3">
        <v>5.2867377111853748E-5</v>
      </c>
      <c r="R267" s="3">
        <v>3.9703338065941833E-2</v>
      </c>
      <c r="S267" t="s">
        <v>28</v>
      </c>
      <c r="T267" s="4">
        <f t="shared" si="4"/>
        <v>103.98</v>
      </c>
    </row>
    <row r="268" spans="1:20" x14ac:dyDescent="0.2">
      <c r="A268">
        <v>270</v>
      </c>
      <c r="B268">
        <v>1</v>
      </c>
      <c r="C268" t="s">
        <v>1230</v>
      </c>
      <c r="D268" t="s">
        <v>1231</v>
      </c>
      <c r="E268" t="s">
        <v>1227</v>
      </c>
      <c r="F268" t="s">
        <v>1232</v>
      </c>
      <c r="G268" t="s">
        <v>1233</v>
      </c>
      <c r="H268" t="s">
        <v>25</v>
      </c>
      <c r="I268" t="s">
        <v>25</v>
      </c>
      <c r="J268" t="s">
        <v>34</v>
      </c>
      <c r="K268" t="s">
        <v>1108</v>
      </c>
      <c r="L268" s="2">
        <v>400486.02470990678</v>
      </c>
      <c r="M268" s="3">
        <v>0.99993256301130273</v>
      </c>
      <c r="N268" s="3">
        <v>0</v>
      </c>
      <c r="O268" s="3">
        <v>6.7436988700348612E-5</v>
      </c>
      <c r="P268" s="3">
        <v>0</v>
      </c>
      <c r="Q268" s="3">
        <v>0</v>
      </c>
      <c r="R268" s="3">
        <v>6.7436988700348612E-5</v>
      </c>
      <c r="S268" t="s">
        <v>28</v>
      </c>
      <c r="T268" s="4">
        <f t="shared" si="4"/>
        <v>100.01</v>
      </c>
    </row>
    <row r="269" spans="1:20" x14ac:dyDescent="0.2">
      <c r="A269">
        <v>271</v>
      </c>
      <c r="B269">
        <v>1</v>
      </c>
      <c r="C269" t="s">
        <v>1234</v>
      </c>
      <c r="D269" t="s">
        <v>1235</v>
      </c>
      <c r="E269" t="s">
        <v>1227</v>
      </c>
      <c r="F269" t="s">
        <v>1236</v>
      </c>
      <c r="G269" t="s">
        <v>1237</v>
      </c>
      <c r="H269" t="s">
        <v>25</v>
      </c>
      <c r="I269" t="s">
        <v>25</v>
      </c>
      <c r="J269" t="s">
        <v>26</v>
      </c>
      <c r="K269" t="s">
        <v>1108</v>
      </c>
      <c r="L269" s="2">
        <v>400486.02470990678</v>
      </c>
      <c r="M269" s="3">
        <v>0.9060792563516189</v>
      </c>
      <c r="N269" s="3">
        <v>0</v>
      </c>
      <c r="O269" s="3">
        <v>9.0485636854443316E-2</v>
      </c>
      <c r="P269" s="3">
        <v>2.6894712579459959E-3</v>
      </c>
      <c r="Q269" s="3">
        <v>7.4563553599182864E-4</v>
      </c>
      <c r="R269" s="3">
        <v>9.3175108112389313E-2</v>
      </c>
      <c r="S269" t="s">
        <v>28</v>
      </c>
      <c r="T269" s="4">
        <f t="shared" si="4"/>
        <v>109.51</v>
      </c>
    </row>
    <row r="270" spans="1:20" x14ac:dyDescent="0.2">
      <c r="A270">
        <v>272</v>
      </c>
      <c r="B270">
        <v>1</v>
      </c>
      <c r="C270" t="s">
        <v>1238</v>
      </c>
      <c r="D270" t="s">
        <v>1239</v>
      </c>
      <c r="E270" t="s">
        <v>1227</v>
      </c>
      <c r="F270" t="s">
        <v>1240</v>
      </c>
      <c r="G270" t="s">
        <v>1241</v>
      </c>
      <c r="H270" t="s">
        <v>25</v>
      </c>
      <c r="I270" t="s">
        <v>25</v>
      </c>
      <c r="J270" t="s">
        <v>92</v>
      </c>
      <c r="K270" t="s">
        <v>1108</v>
      </c>
      <c r="L270" s="2">
        <v>400486.02470990678</v>
      </c>
      <c r="M270" s="3">
        <v>0.96631428120919172</v>
      </c>
      <c r="N270" s="3">
        <v>0</v>
      </c>
      <c r="O270" s="3">
        <v>3.3685718790799693E-2</v>
      </c>
      <c r="P270" s="3">
        <v>0</v>
      </c>
      <c r="Q270" s="3">
        <v>8.5487172896137054E-15</v>
      </c>
      <c r="R270" s="3">
        <v>3.3685718790799693E-2</v>
      </c>
      <c r="S270" t="s">
        <v>28</v>
      </c>
      <c r="T270" s="4">
        <f t="shared" si="4"/>
        <v>103.37</v>
      </c>
    </row>
    <row r="271" spans="1:20" x14ac:dyDescent="0.2">
      <c r="A271">
        <v>273</v>
      </c>
      <c r="B271">
        <v>1</v>
      </c>
      <c r="C271" t="s">
        <v>1242</v>
      </c>
      <c r="D271" t="s">
        <v>1243</v>
      </c>
      <c r="E271" t="s">
        <v>1244</v>
      </c>
      <c r="F271" t="s">
        <v>1245</v>
      </c>
      <c r="G271" t="s">
        <v>1046</v>
      </c>
      <c r="H271" t="s">
        <v>25</v>
      </c>
      <c r="I271" t="s">
        <v>25</v>
      </c>
      <c r="J271" t="s">
        <v>26</v>
      </c>
      <c r="K271" t="s">
        <v>650</v>
      </c>
      <c r="L271" s="2">
        <v>400486.02470990678</v>
      </c>
      <c r="M271" s="3">
        <v>0.61583481943566609</v>
      </c>
      <c r="N271" s="3">
        <v>0</v>
      </c>
      <c r="O271" s="3">
        <v>0.1794304583606639</v>
      </c>
      <c r="P271" s="3">
        <v>0.2047347222035982</v>
      </c>
      <c r="Q271" s="3">
        <v>7.1720407390785113E-14</v>
      </c>
      <c r="R271" s="3">
        <v>0.38416518056426208</v>
      </c>
      <c r="S271" t="s">
        <v>69</v>
      </c>
      <c r="T271" s="4">
        <f t="shared" si="4"/>
        <v>158.88999999999999</v>
      </c>
    </row>
    <row r="272" spans="1:20" x14ac:dyDescent="0.2">
      <c r="A272">
        <v>274</v>
      </c>
      <c r="B272">
        <v>1</v>
      </c>
      <c r="C272" t="s">
        <v>1246</v>
      </c>
      <c r="D272" t="s">
        <v>1247</v>
      </c>
      <c r="E272" t="s">
        <v>1244</v>
      </c>
      <c r="F272" t="s">
        <v>1248</v>
      </c>
      <c r="G272" t="s">
        <v>1249</v>
      </c>
      <c r="H272" t="s">
        <v>25</v>
      </c>
      <c r="I272" t="s">
        <v>25</v>
      </c>
      <c r="J272" t="s">
        <v>34</v>
      </c>
      <c r="K272" t="s">
        <v>650</v>
      </c>
      <c r="L272" s="2">
        <v>400486.02470990678</v>
      </c>
      <c r="M272" s="3">
        <v>0.87929135308014295</v>
      </c>
      <c r="N272" s="3">
        <v>0</v>
      </c>
      <c r="O272" s="3">
        <v>0.12070864691987521</v>
      </c>
      <c r="P272" s="3">
        <v>0</v>
      </c>
      <c r="Q272" s="3">
        <v>0</v>
      </c>
      <c r="R272" s="3">
        <v>0.12070864691987521</v>
      </c>
      <c r="S272" t="s">
        <v>36</v>
      </c>
      <c r="T272" s="4">
        <f t="shared" si="4"/>
        <v>112.07</v>
      </c>
    </row>
    <row r="273" spans="1:20" x14ac:dyDescent="0.2">
      <c r="A273">
        <v>275</v>
      </c>
      <c r="B273">
        <v>1</v>
      </c>
      <c r="C273" t="s">
        <v>1250</v>
      </c>
      <c r="D273" t="s">
        <v>1251</v>
      </c>
      <c r="E273" t="s">
        <v>1244</v>
      </c>
      <c r="F273" t="s">
        <v>1252</v>
      </c>
      <c r="G273" t="s">
        <v>1253</v>
      </c>
      <c r="H273" t="s">
        <v>25</v>
      </c>
      <c r="I273" t="s">
        <v>25</v>
      </c>
      <c r="J273" t="s">
        <v>34</v>
      </c>
      <c r="K273" t="s">
        <v>650</v>
      </c>
      <c r="L273" s="2">
        <v>400486.02470990678</v>
      </c>
      <c r="M273" s="3">
        <v>0.14449633529617509</v>
      </c>
      <c r="N273" s="3">
        <v>0</v>
      </c>
      <c r="O273" s="3">
        <v>0.15270688311125261</v>
      </c>
      <c r="P273" s="3">
        <v>0.70279678159259185</v>
      </c>
      <c r="Q273" s="3">
        <v>0</v>
      </c>
      <c r="R273" s="3">
        <v>0.85550366470384442</v>
      </c>
      <c r="S273" t="s">
        <v>44</v>
      </c>
      <c r="T273" s="4">
        <f t="shared" si="4"/>
        <v>255.83</v>
      </c>
    </row>
    <row r="274" spans="1:20" x14ac:dyDescent="0.2">
      <c r="A274">
        <v>276</v>
      </c>
      <c r="B274">
        <v>1</v>
      </c>
      <c r="C274" t="s">
        <v>1254</v>
      </c>
      <c r="D274" t="s">
        <v>1255</v>
      </c>
      <c r="E274" t="s">
        <v>1244</v>
      </c>
      <c r="F274" t="s">
        <v>1256</v>
      </c>
      <c r="G274" t="s">
        <v>1257</v>
      </c>
      <c r="H274" t="s">
        <v>25</v>
      </c>
      <c r="I274" t="s">
        <v>25</v>
      </c>
      <c r="J274" t="s">
        <v>26</v>
      </c>
      <c r="K274" t="s">
        <v>650</v>
      </c>
      <c r="L274" s="2">
        <v>400486.02470990678</v>
      </c>
      <c r="M274" s="3">
        <v>0.1754177266285544</v>
      </c>
      <c r="N274" s="3">
        <v>0</v>
      </c>
      <c r="O274" s="3">
        <v>0.15894690870423539</v>
      </c>
      <c r="P274" s="3">
        <v>0.66563536466718065</v>
      </c>
      <c r="Q274" s="3">
        <v>2.9531932455029158E-14</v>
      </c>
      <c r="R274" s="3">
        <v>0.8245822733714161</v>
      </c>
      <c r="S274" t="s">
        <v>44</v>
      </c>
      <c r="T274" s="4">
        <f t="shared" si="4"/>
        <v>249.02</v>
      </c>
    </row>
    <row r="275" spans="1:20" x14ac:dyDescent="0.2">
      <c r="A275">
        <v>277</v>
      </c>
      <c r="B275">
        <v>1</v>
      </c>
      <c r="C275" t="s">
        <v>1258</v>
      </c>
      <c r="D275" t="s">
        <v>1259</v>
      </c>
      <c r="E275" t="s">
        <v>1260</v>
      </c>
      <c r="F275" t="s">
        <v>1261</v>
      </c>
      <c r="G275" t="s">
        <v>1262</v>
      </c>
      <c r="H275" t="s">
        <v>67</v>
      </c>
      <c r="I275" t="s">
        <v>67</v>
      </c>
      <c r="J275" t="s">
        <v>92</v>
      </c>
      <c r="K275" t="s">
        <v>363</v>
      </c>
      <c r="L275" s="2">
        <v>400486.02470990678</v>
      </c>
      <c r="M275" s="3">
        <v>0.65643094358162957</v>
      </c>
      <c r="N275" s="3">
        <v>0</v>
      </c>
      <c r="O275" s="3">
        <v>6.1662724509125029E-2</v>
      </c>
      <c r="P275" s="3">
        <v>4.603387207078026E-2</v>
      </c>
      <c r="Q275" s="3">
        <v>0.23587245983846519</v>
      </c>
      <c r="R275" s="3">
        <v>0.1076965965799053</v>
      </c>
      <c r="S275" t="s">
        <v>36</v>
      </c>
      <c r="T275" s="4">
        <f t="shared" si="4"/>
        <v>91.79</v>
      </c>
    </row>
    <row r="276" spans="1:20" x14ac:dyDescent="0.2">
      <c r="A276">
        <v>278</v>
      </c>
      <c r="B276">
        <v>2</v>
      </c>
      <c r="C276" t="s">
        <v>1263</v>
      </c>
      <c r="D276" t="s">
        <v>1264</v>
      </c>
      <c r="E276" t="s">
        <v>1265</v>
      </c>
      <c r="F276" t="s">
        <v>683</v>
      </c>
      <c r="G276" t="s">
        <v>684</v>
      </c>
      <c r="H276" t="s">
        <v>25</v>
      </c>
      <c r="I276" t="s">
        <v>25</v>
      </c>
      <c r="J276" t="s">
        <v>26</v>
      </c>
      <c r="K276" t="s">
        <v>1108</v>
      </c>
      <c r="L276" s="2">
        <v>800972.04941981356</v>
      </c>
      <c r="M276" s="3">
        <v>0.52193936961086529</v>
      </c>
      <c r="N276" s="3">
        <v>0</v>
      </c>
      <c r="O276" s="3">
        <v>0.1787065994634971</v>
      </c>
      <c r="P276" s="3">
        <v>0.18392428927963339</v>
      </c>
      <c r="Q276" s="3">
        <v>0.1154297416460042</v>
      </c>
      <c r="R276" s="3">
        <v>0.36263088874313038</v>
      </c>
      <c r="S276" t="s">
        <v>69</v>
      </c>
      <c r="T276" s="4">
        <f t="shared" si="4"/>
        <v>143.11000000000001</v>
      </c>
    </row>
    <row r="277" spans="1:20" x14ac:dyDescent="0.2">
      <c r="A277">
        <v>279</v>
      </c>
      <c r="B277">
        <v>1</v>
      </c>
      <c r="C277" t="s">
        <v>1266</v>
      </c>
      <c r="D277" t="s">
        <v>1267</v>
      </c>
      <c r="E277" t="s">
        <v>1265</v>
      </c>
      <c r="F277" t="s">
        <v>1268</v>
      </c>
      <c r="G277" t="s">
        <v>1269</v>
      </c>
      <c r="H277" t="s">
        <v>25</v>
      </c>
      <c r="I277" t="s">
        <v>25</v>
      </c>
      <c r="J277" t="s">
        <v>26</v>
      </c>
      <c r="K277" t="s">
        <v>1108</v>
      </c>
      <c r="L277" s="2">
        <v>400486.02470990678</v>
      </c>
      <c r="M277" s="3">
        <v>0.9056428615490637</v>
      </c>
      <c r="N277" s="3">
        <v>0</v>
      </c>
      <c r="O277" s="3">
        <v>9.4357138450950021E-2</v>
      </c>
      <c r="P277" s="3">
        <v>0</v>
      </c>
      <c r="Q277" s="3">
        <v>0</v>
      </c>
      <c r="R277" s="3">
        <v>9.4357138450950021E-2</v>
      </c>
      <c r="S277" t="s">
        <v>28</v>
      </c>
      <c r="T277" s="4">
        <f t="shared" si="4"/>
        <v>109.44</v>
      </c>
    </row>
    <row r="278" spans="1:20" x14ac:dyDescent="0.2">
      <c r="A278">
        <v>280</v>
      </c>
      <c r="B278">
        <v>1</v>
      </c>
      <c r="C278" t="s">
        <v>1270</v>
      </c>
      <c r="D278" t="s">
        <v>1271</v>
      </c>
      <c r="E278" t="s">
        <v>1265</v>
      </c>
      <c r="F278" t="s">
        <v>1146</v>
      </c>
      <c r="G278" t="s">
        <v>1272</v>
      </c>
      <c r="H278" t="s">
        <v>25</v>
      </c>
      <c r="I278" t="s">
        <v>25</v>
      </c>
      <c r="J278" t="s">
        <v>26</v>
      </c>
      <c r="K278" t="s">
        <v>43</v>
      </c>
      <c r="L278" s="2">
        <v>400486.02470990678</v>
      </c>
      <c r="M278" s="3">
        <v>0.99057863189093087</v>
      </c>
      <c r="N278" s="3">
        <v>0</v>
      </c>
      <c r="O278" s="3">
        <v>9.4213681090697388E-3</v>
      </c>
      <c r="P278" s="3">
        <v>0</v>
      </c>
      <c r="Q278" s="3">
        <v>0</v>
      </c>
      <c r="R278" s="3">
        <v>9.4213681090697388E-3</v>
      </c>
      <c r="S278" t="s">
        <v>28</v>
      </c>
      <c r="T278" s="4">
        <f t="shared" si="4"/>
        <v>100.94</v>
      </c>
    </row>
    <row r="279" spans="1:20" x14ac:dyDescent="0.2">
      <c r="A279">
        <v>281</v>
      </c>
      <c r="B279">
        <v>1</v>
      </c>
      <c r="C279" t="s">
        <v>1273</v>
      </c>
      <c r="D279" t="s">
        <v>1274</v>
      </c>
      <c r="E279" t="s">
        <v>1265</v>
      </c>
      <c r="F279" t="s">
        <v>344</v>
      </c>
      <c r="G279" t="s">
        <v>345</v>
      </c>
      <c r="H279" t="s">
        <v>25</v>
      </c>
      <c r="I279" t="s">
        <v>25</v>
      </c>
      <c r="J279" t="s">
        <v>26</v>
      </c>
      <c r="K279" t="s">
        <v>1108</v>
      </c>
      <c r="L279" s="2">
        <v>400486.02470990678</v>
      </c>
      <c r="M279" s="3">
        <v>0.43947249978971731</v>
      </c>
      <c r="N279" s="3">
        <v>0</v>
      </c>
      <c r="O279" s="3">
        <v>0.12591296165100749</v>
      </c>
      <c r="P279" s="3">
        <v>5.3384480235371527E-4</v>
      </c>
      <c r="Q279" s="3">
        <v>0.43408069375692138</v>
      </c>
      <c r="R279" s="3">
        <v>0.1264468064533612</v>
      </c>
      <c r="S279" t="s">
        <v>36</v>
      </c>
      <c r="T279" s="4">
        <f t="shared" si="4"/>
        <v>69.290000000000006</v>
      </c>
    </row>
    <row r="280" spans="1:20" x14ac:dyDescent="0.2">
      <c r="A280">
        <v>282</v>
      </c>
      <c r="B280">
        <v>1</v>
      </c>
      <c r="C280" t="s">
        <v>1275</v>
      </c>
      <c r="D280" t="s">
        <v>1276</v>
      </c>
      <c r="E280" t="s">
        <v>1265</v>
      </c>
      <c r="F280" t="s">
        <v>1277</v>
      </c>
      <c r="G280" t="s">
        <v>1278</v>
      </c>
      <c r="H280" t="s">
        <v>25</v>
      </c>
      <c r="I280" t="s">
        <v>25</v>
      </c>
      <c r="J280" t="s">
        <v>26</v>
      </c>
      <c r="K280" t="s">
        <v>1108</v>
      </c>
      <c r="L280" s="2">
        <v>400486.02470990678</v>
      </c>
      <c r="M280" s="3">
        <v>0.92651258962919147</v>
      </c>
      <c r="N280" s="3">
        <v>0</v>
      </c>
      <c r="O280" s="3">
        <v>5.6671203128286107E-2</v>
      </c>
      <c r="P280" s="3">
        <v>0</v>
      </c>
      <c r="Q280" s="3">
        <v>1.6816207242522418E-2</v>
      </c>
      <c r="R280" s="3">
        <v>5.6671203128286107E-2</v>
      </c>
      <c r="S280" t="s">
        <v>28</v>
      </c>
      <c r="T280" s="4">
        <f t="shared" si="4"/>
        <v>103.99</v>
      </c>
    </row>
    <row r="281" spans="1:20" x14ac:dyDescent="0.2">
      <c r="A281">
        <v>283</v>
      </c>
      <c r="B281">
        <v>1</v>
      </c>
      <c r="C281" t="s">
        <v>1279</v>
      </c>
      <c r="D281" t="s">
        <v>1280</v>
      </c>
      <c r="E281" t="s">
        <v>1281</v>
      </c>
      <c r="F281" t="s">
        <v>1282</v>
      </c>
      <c r="H281" t="s">
        <v>25</v>
      </c>
      <c r="I281" t="s">
        <v>25</v>
      </c>
      <c r="J281" t="s">
        <v>26</v>
      </c>
      <c r="K281" t="s">
        <v>650</v>
      </c>
      <c r="L281" s="2">
        <v>400486.02470990678</v>
      </c>
      <c r="M281" s="3">
        <v>0.76905103101971539</v>
      </c>
      <c r="N281" s="3">
        <v>0</v>
      </c>
      <c r="O281" s="3">
        <v>7.2206688872693631E-2</v>
      </c>
      <c r="P281" s="3">
        <v>5.2590509361939992E-2</v>
      </c>
      <c r="Q281" s="3">
        <v>0.10615177074565101</v>
      </c>
      <c r="R281" s="3">
        <v>0.1247971982346336</v>
      </c>
      <c r="S281" t="s">
        <v>36</v>
      </c>
      <c r="T281" s="4">
        <f t="shared" si="4"/>
        <v>107.12</v>
      </c>
    </row>
    <row r="282" spans="1:20" x14ac:dyDescent="0.2">
      <c r="A282">
        <v>284</v>
      </c>
      <c r="B282">
        <v>1</v>
      </c>
      <c r="C282" t="s">
        <v>1283</v>
      </c>
      <c r="D282" t="s">
        <v>1284</v>
      </c>
      <c r="E282" t="s">
        <v>1281</v>
      </c>
      <c r="F282" t="s">
        <v>1285</v>
      </c>
      <c r="H282" t="s">
        <v>25</v>
      </c>
      <c r="I282" t="s">
        <v>25</v>
      </c>
      <c r="J282" t="s">
        <v>26</v>
      </c>
      <c r="K282" t="s">
        <v>650</v>
      </c>
      <c r="L282" s="2">
        <v>400486.02470990678</v>
      </c>
      <c r="M282" s="3">
        <v>0.72574497554052841</v>
      </c>
      <c r="N282" s="3">
        <v>0</v>
      </c>
      <c r="O282" s="3">
        <v>0.1087393375615795</v>
      </c>
      <c r="P282" s="3">
        <v>3.6855535766733817E-2</v>
      </c>
      <c r="Q282" s="3">
        <v>0.12866015113115831</v>
      </c>
      <c r="R282" s="3">
        <v>0.14559487332831331</v>
      </c>
      <c r="S282" t="s">
        <v>36</v>
      </c>
      <c r="T282" s="4">
        <f t="shared" si="4"/>
        <v>105.38</v>
      </c>
    </row>
    <row r="283" spans="1:20" x14ac:dyDescent="0.2">
      <c r="A283">
        <v>285</v>
      </c>
      <c r="B283">
        <v>2</v>
      </c>
      <c r="C283" t="s">
        <v>1286</v>
      </c>
      <c r="D283" t="s">
        <v>1287</v>
      </c>
      <c r="E283" t="s">
        <v>1288</v>
      </c>
      <c r="F283" t="s">
        <v>1289</v>
      </c>
      <c r="G283" t="s">
        <v>1290</v>
      </c>
      <c r="H283" t="s">
        <v>25</v>
      </c>
      <c r="I283" t="s">
        <v>25</v>
      </c>
      <c r="J283" t="s">
        <v>34</v>
      </c>
      <c r="K283" t="s">
        <v>35</v>
      </c>
      <c r="L283" s="2">
        <v>800972.04941981356</v>
      </c>
      <c r="M283" s="3">
        <v>0</v>
      </c>
      <c r="N283" s="3">
        <v>0</v>
      </c>
      <c r="O283" s="3">
        <v>0.16705454100727629</v>
      </c>
      <c r="P283" s="3">
        <v>0.72997444163108582</v>
      </c>
      <c r="Q283" s="3">
        <v>0.1029710173616378</v>
      </c>
      <c r="R283" s="3">
        <v>0.89702898263836217</v>
      </c>
      <c r="S283" t="s">
        <v>44</v>
      </c>
      <c r="T283" s="4">
        <f t="shared" si="4"/>
        <v>252.4</v>
      </c>
    </row>
    <row r="284" spans="1:20" x14ac:dyDescent="0.2">
      <c r="A284">
        <v>286</v>
      </c>
      <c r="B284">
        <v>1</v>
      </c>
      <c r="C284" t="s">
        <v>1291</v>
      </c>
      <c r="D284" t="s">
        <v>1292</v>
      </c>
      <c r="E284" t="s">
        <v>1288</v>
      </c>
      <c r="F284" t="s">
        <v>1293</v>
      </c>
      <c r="G284" t="s">
        <v>1294</v>
      </c>
      <c r="H284" t="s">
        <v>25</v>
      </c>
      <c r="I284" t="s">
        <v>25</v>
      </c>
      <c r="J284" t="s">
        <v>26</v>
      </c>
      <c r="K284" t="s">
        <v>35</v>
      </c>
      <c r="L284" s="2">
        <v>400486.02470990678</v>
      </c>
      <c r="M284" s="3">
        <v>0.14062608199701979</v>
      </c>
      <c r="N284" s="3">
        <v>0</v>
      </c>
      <c r="O284" s="3">
        <v>0.14519280883283869</v>
      </c>
      <c r="P284" s="3">
        <v>0.56335969690391963</v>
      </c>
      <c r="Q284" s="3">
        <v>0.15082141226622189</v>
      </c>
      <c r="R284" s="3">
        <v>0.70855250573675832</v>
      </c>
      <c r="S284" t="s">
        <v>44</v>
      </c>
      <c r="T284" s="4">
        <f t="shared" si="4"/>
        <v>212.11</v>
      </c>
    </row>
    <row r="285" spans="1:20" x14ac:dyDescent="0.2">
      <c r="A285">
        <v>287</v>
      </c>
      <c r="B285">
        <v>1</v>
      </c>
      <c r="C285" t="s">
        <v>1295</v>
      </c>
      <c r="D285" t="s">
        <v>1296</v>
      </c>
      <c r="E285" t="s">
        <v>1288</v>
      </c>
      <c r="F285" t="s">
        <v>1297</v>
      </c>
      <c r="G285" t="s">
        <v>1298</v>
      </c>
      <c r="H285" t="s">
        <v>25</v>
      </c>
      <c r="I285" t="s">
        <v>25</v>
      </c>
      <c r="J285" t="s">
        <v>26</v>
      </c>
      <c r="K285" t="s">
        <v>35</v>
      </c>
      <c r="L285" s="2">
        <v>400486.02470990678</v>
      </c>
      <c r="M285" s="3">
        <v>0</v>
      </c>
      <c r="N285" s="3">
        <v>0</v>
      </c>
      <c r="O285" s="3">
        <v>0.24439362900179809</v>
      </c>
      <c r="P285" s="3">
        <v>0.57512658293099395</v>
      </c>
      <c r="Q285" s="3">
        <v>0.18047978806720799</v>
      </c>
      <c r="R285" s="3">
        <v>0.81952021193279201</v>
      </c>
      <c r="S285" t="s">
        <v>44</v>
      </c>
      <c r="T285" s="4">
        <f t="shared" si="4"/>
        <v>221.42</v>
      </c>
    </row>
    <row r="286" spans="1:20" x14ac:dyDescent="0.2">
      <c r="A286">
        <v>288</v>
      </c>
      <c r="B286">
        <v>1</v>
      </c>
      <c r="C286" t="s">
        <v>1299</v>
      </c>
      <c r="D286" t="s">
        <v>1300</v>
      </c>
      <c r="E286" t="s">
        <v>1288</v>
      </c>
      <c r="F286" t="s">
        <v>1301</v>
      </c>
      <c r="G286" t="s">
        <v>1302</v>
      </c>
      <c r="H286" t="s">
        <v>25</v>
      </c>
      <c r="I286" t="s">
        <v>25</v>
      </c>
      <c r="J286" t="s">
        <v>26</v>
      </c>
      <c r="K286" t="s">
        <v>43</v>
      </c>
      <c r="L286" s="2">
        <v>400486.02470990678</v>
      </c>
      <c r="M286" s="3">
        <v>0.84922816797385126</v>
      </c>
      <c r="N286" s="3">
        <v>0</v>
      </c>
      <c r="O286" s="3">
        <v>0.15077183202618669</v>
      </c>
      <c r="P286" s="3">
        <v>0</v>
      </c>
      <c r="Q286" s="3">
        <v>0</v>
      </c>
      <c r="R286" s="3">
        <v>0.15077183202618669</v>
      </c>
      <c r="S286" t="s">
        <v>36</v>
      </c>
      <c r="T286" s="4">
        <f t="shared" si="4"/>
        <v>115.08</v>
      </c>
    </row>
    <row r="287" spans="1:20" x14ac:dyDescent="0.2">
      <c r="A287">
        <v>289</v>
      </c>
      <c r="B287">
        <v>1</v>
      </c>
      <c r="C287" t="s">
        <v>1303</v>
      </c>
      <c r="D287" t="s">
        <v>1304</v>
      </c>
      <c r="E287" t="s">
        <v>1288</v>
      </c>
      <c r="F287" t="s">
        <v>1305</v>
      </c>
      <c r="G287" t="s">
        <v>1306</v>
      </c>
      <c r="H287" t="s">
        <v>25</v>
      </c>
      <c r="I287" t="s">
        <v>25</v>
      </c>
      <c r="J287" t="s">
        <v>26</v>
      </c>
      <c r="K287" t="s">
        <v>35</v>
      </c>
      <c r="L287" s="2">
        <v>400486.02470990678</v>
      </c>
      <c r="M287" s="3">
        <v>7.6678995982275427E-2</v>
      </c>
      <c r="N287" s="3">
        <v>0</v>
      </c>
      <c r="O287" s="3">
        <v>0.13863754812492579</v>
      </c>
      <c r="P287" s="3">
        <v>0.78468345589273025</v>
      </c>
      <c r="Q287" s="3">
        <v>6.8500760619372159E-14</v>
      </c>
      <c r="R287" s="3">
        <v>0.92332100401765604</v>
      </c>
      <c r="S287" t="s">
        <v>44</v>
      </c>
      <c r="T287" s="4">
        <f t="shared" si="4"/>
        <v>270.8</v>
      </c>
    </row>
    <row r="288" spans="1:20" x14ac:dyDescent="0.2">
      <c r="A288">
        <v>290</v>
      </c>
      <c r="B288">
        <v>1</v>
      </c>
      <c r="C288" t="s">
        <v>1307</v>
      </c>
      <c r="D288" t="s">
        <v>1308</v>
      </c>
      <c r="E288" t="s">
        <v>1288</v>
      </c>
      <c r="F288" t="s">
        <v>1309</v>
      </c>
      <c r="G288" t="s">
        <v>1310</v>
      </c>
      <c r="H288" t="s">
        <v>25</v>
      </c>
      <c r="I288" t="s">
        <v>25</v>
      </c>
      <c r="J288" t="s">
        <v>26</v>
      </c>
      <c r="K288" t="s">
        <v>35</v>
      </c>
      <c r="L288" s="2">
        <v>400486.02470990678</v>
      </c>
      <c r="M288" s="3">
        <v>0.111717934800141</v>
      </c>
      <c r="N288" s="3">
        <v>0</v>
      </c>
      <c r="O288" s="3">
        <v>0.12768707449288391</v>
      </c>
      <c r="P288" s="3">
        <v>0.76059499070694447</v>
      </c>
      <c r="Q288" s="3">
        <v>3.0642155479654321E-14</v>
      </c>
      <c r="R288" s="3">
        <v>0.88828206519982844</v>
      </c>
      <c r="S288" t="s">
        <v>44</v>
      </c>
      <c r="T288" s="4">
        <f t="shared" si="4"/>
        <v>264.89</v>
      </c>
    </row>
    <row r="289" spans="1:20" x14ac:dyDescent="0.2">
      <c r="A289">
        <v>291</v>
      </c>
      <c r="B289">
        <v>1</v>
      </c>
      <c r="C289" t="s">
        <v>1311</v>
      </c>
      <c r="D289" t="s">
        <v>1312</v>
      </c>
      <c r="E289" t="s">
        <v>1288</v>
      </c>
      <c r="F289" t="s">
        <v>1313</v>
      </c>
      <c r="G289" t="s">
        <v>1314</v>
      </c>
      <c r="H289" t="s">
        <v>25</v>
      </c>
      <c r="I289" t="s">
        <v>25</v>
      </c>
      <c r="J289" t="s">
        <v>26</v>
      </c>
      <c r="K289" t="s">
        <v>650</v>
      </c>
      <c r="L289" s="2">
        <v>400486.02470990678</v>
      </c>
      <c r="M289" s="3">
        <v>0.5514983047788995</v>
      </c>
      <c r="N289" s="3">
        <v>0</v>
      </c>
      <c r="O289" s="3">
        <v>0.15148275724956431</v>
      </c>
      <c r="P289" s="3">
        <v>0.2970189379715838</v>
      </c>
      <c r="Q289" s="3">
        <v>0</v>
      </c>
      <c r="R289" s="3">
        <v>0.44850169522114808</v>
      </c>
      <c r="S289" t="s">
        <v>125</v>
      </c>
      <c r="T289" s="4">
        <f t="shared" si="4"/>
        <v>174.55</v>
      </c>
    </row>
    <row r="290" spans="1:20" x14ac:dyDescent="0.2">
      <c r="A290">
        <v>292</v>
      </c>
      <c r="B290">
        <v>1</v>
      </c>
      <c r="C290" t="s">
        <v>1315</v>
      </c>
      <c r="D290" t="s">
        <v>1316</v>
      </c>
      <c r="E290" t="s">
        <v>1317</v>
      </c>
      <c r="F290" t="s">
        <v>1318</v>
      </c>
      <c r="G290" t="s">
        <v>1319</v>
      </c>
      <c r="H290" t="s">
        <v>25</v>
      </c>
      <c r="I290" t="s">
        <v>25</v>
      </c>
      <c r="J290" t="s">
        <v>26</v>
      </c>
      <c r="K290" t="s">
        <v>650</v>
      </c>
      <c r="L290" s="2">
        <v>400486.02470986679</v>
      </c>
      <c r="M290" s="3">
        <v>0.5849739583828556</v>
      </c>
      <c r="N290" s="3">
        <v>0</v>
      </c>
      <c r="O290" s="3">
        <v>9.0550087601659751E-2</v>
      </c>
      <c r="P290" s="3">
        <v>9.7062895987243946E-3</v>
      </c>
      <c r="Q290" s="3">
        <v>0.31476966441676019</v>
      </c>
      <c r="R290" s="3">
        <v>0.10025637720038411</v>
      </c>
      <c r="S290" t="s">
        <v>36</v>
      </c>
      <c r="T290" s="4">
        <f t="shared" si="4"/>
        <v>79.52</v>
      </c>
    </row>
    <row r="291" spans="1:20" x14ac:dyDescent="0.2">
      <c r="A291">
        <v>293</v>
      </c>
      <c r="B291">
        <v>1</v>
      </c>
      <c r="C291" t="s">
        <v>1320</v>
      </c>
      <c r="D291" t="s">
        <v>1321</v>
      </c>
      <c r="E291" t="s">
        <v>1322</v>
      </c>
      <c r="F291" t="s">
        <v>1323</v>
      </c>
      <c r="G291" t="s">
        <v>1324</v>
      </c>
      <c r="H291" t="s">
        <v>25</v>
      </c>
      <c r="I291" t="s">
        <v>25</v>
      </c>
      <c r="J291" t="s">
        <v>34</v>
      </c>
      <c r="K291" t="s">
        <v>650</v>
      </c>
      <c r="L291" s="2">
        <v>400486.02470990678</v>
      </c>
      <c r="M291" s="3">
        <v>0.73644369007011223</v>
      </c>
      <c r="N291" s="3">
        <v>0</v>
      </c>
      <c r="O291" s="3">
        <v>0.16483269115690949</v>
      </c>
      <c r="P291" s="3">
        <v>9.87236187730125E-2</v>
      </c>
      <c r="Q291" s="3">
        <v>0</v>
      </c>
      <c r="R291" s="3">
        <v>0.26355630992992202</v>
      </c>
      <c r="S291" t="s">
        <v>69</v>
      </c>
      <c r="T291" s="4">
        <f t="shared" si="4"/>
        <v>136.22999999999999</v>
      </c>
    </row>
    <row r="292" spans="1:20" x14ac:dyDescent="0.2">
      <c r="A292">
        <v>294</v>
      </c>
      <c r="B292">
        <v>1</v>
      </c>
      <c r="C292" t="s">
        <v>1325</v>
      </c>
      <c r="D292" t="s">
        <v>1326</v>
      </c>
      <c r="E292" t="s">
        <v>1327</v>
      </c>
      <c r="F292" t="s">
        <v>1328</v>
      </c>
      <c r="H292" t="s">
        <v>25</v>
      </c>
      <c r="I292" t="s">
        <v>25</v>
      </c>
      <c r="J292" t="s">
        <v>92</v>
      </c>
      <c r="K292" t="s">
        <v>650</v>
      </c>
      <c r="L292" s="2">
        <v>400486.02470990678</v>
      </c>
      <c r="M292" s="3">
        <v>0.99650228896848325</v>
      </c>
      <c r="N292" s="3">
        <v>0</v>
      </c>
      <c r="O292" s="3">
        <v>0</v>
      </c>
      <c r="P292" s="3">
        <v>0</v>
      </c>
      <c r="Q292" s="3">
        <v>3.4977110315167481E-3</v>
      </c>
      <c r="R292" s="3">
        <v>0</v>
      </c>
      <c r="S292" t="s">
        <v>28</v>
      </c>
      <c r="T292" s="4">
        <f t="shared" si="4"/>
        <v>99.65</v>
      </c>
    </row>
    <row r="293" spans="1:20" x14ac:dyDescent="0.2">
      <c r="A293">
        <v>295</v>
      </c>
      <c r="B293">
        <v>1</v>
      </c>
      <c r="C293" t="s">
        <v>1329</v>
      </c>
      <c r="D293" t="s">
        <v>1330</v>
      </c>
      <c r="E293" t="s">
        <v>1327</v>
      </c>
      <c r="F293" t="s">
        <v>1331</v>
      </c>
      <c r="G293" t="s">
        <v>1332</v>
      </c>
      <c r="H293" t="s">
        <v>25</v>
      </c>
      <c r="I293" t="s">
        <v>25</v>
      </c>
      <c r="J293" t="s">
        <v>26</v>
      </c>
      <c r="K293" t="s">
        <v>650</v>
      </c>
      <c r="L293" s="2">
        <v>400486.02470990678</v>
      </c>
      <c r="M293" s="3">
        <v>0.97579131775089356</v>
      </c>
      <c r="N293" s="3">
        <v>0</v>
      </c>
      <c r="O293" s="3">
        <v>2.420868224911293E-2</v>
      </c>
      <c r="P293" s="3">
        <v>0</v>
      </c>
      <c r="Q293" s="3">
        <v>0</v>
      </c>
      <c r="R293" s="3">
        <v>2.420868224911293E-2</v>
      </c>
      <c r="S293" t="s">
        <v>28</v>
      </c>
      <c r="T293" s="4">
        <f t="shared" si="4"/>
        <v>102.42</v>
      </c>
    </row>
    <row r="294" spans="1:20" x14ac:dyDescent="0.2">
      <c r="A294">
        <v>296</v>
      </c>
      <c r="B294">
        <v>1</v>
      </c>
      <c r="C294" t="s">
        <v>1333</v>
      </c>
      <c r="D294" t="s">
        <v>1334</v>
      </c>
      <c r="E294" t="s">
        <v>1327</v>
      </c>
      <c r="F294" t="s">
        <v>1335</v>
      </c>
      <c r="H294" t="s">
        <v>25</v>
      </c>
      <c r="I294" t="s">
        <v>25</v>
      </c>
      <c r="J294" t="s">
        <v>26</v>
      </c>
      <c r="K294" t="s">
        <v>650</v>
      </c>
      <c r="L294" s="2">
        <v>400486.02470990678</v>
      </c>
      <c r="M294" s="3">
        <v>0.7706814711576766</v>
      </c>
      <c r="N294" s="3">
        <v>0</v>
      </c>
      <c r="O294" s="3">
        <v>7.9176755456960457E-2</v>
      </c>
      <c r="P294" s="3">
        <v>0.14031556170008461</v>
      </c>
      <c r="Q294" s="3">
        <v>9.8262116852783077E-3</v>
      </c>
      <c r="R294" s="3">
        <v>0.21949231715704509</v>
      </c>
      <c r="S294" t="s">
        <v>69</v>
      </c>
      <c r="T294" s="4">
        <f t="shared" si="4"/>
        <v>135</v>
      </c>
    </row>
    <row r="295" spans="1:20" x14ac:dyDescent="0.2">
      <c r="A295">
        <v>297</v>
      </c>
      <c r="B295">
        <v>1</v>
      </c>
      <c r="C295" t="s">
        <v>1336</v>
      </c>
      <c r="D295" t="s">
        <v>1337</v>
      </c>
      <c r="E295" t="s">
        <v>1338</v>
      </c>
      <c r="F295" t="s">
        <v>1339</v>
      </c>
      <c r="G295" t="s">
        <v>1340</v>
      </c>
      <c r="H295" t="s">
        <v>25</v>
      </c>
      <c r="I295" t="s">
        <v>25</v>
      </c>
      <c r="J295" t="s">
        <v>34</v>
      </c>
      <c r="K295" t="s">
        <v>650</v>
      </c>
      <c r="L295" s="2">
        <v>400486.02470990678</v>
      </c>
      <c r="M295" s="3">
        <v>0.77907792535658138</v>
      </c>
      <c r="N295" s="3">
        <v>0</v>
      </c>
      <c r="O295" s="3">
        <v>3.4062840415965412E-2</v>
      </c>
      <c r="P295" s="3">
        <v>1.8981818655388609E-3</v>
      </c>
      <c r="Q295" s="3">
        <v>0.1849610523619144</v>
      </c>
      <c r="R295" s="3">
        <v>3.5961022281504267E-2</v>
      </c>
      <c r="S295" t="s">
        <v>28</v>
      </c>
      <c r="T295" s="4">
        <f t="shared" si="4"/>
        <v>85.29</v>
      </c>
    </row>
    <row r="296" spans="1:20" x14ac:dyDescent="0.2">
      <c r="A296">
        <v>298</v>
      </c>
      <c r="B296">
        <v>1</v>
      </c>
      <c r="C296" t="s">
        <v>1341</v>
      </c>
      <c r="D296" t="s">
        <v>1342</v>
      </c>
      <c r="E296" t="s">
        <v>1338</v>
      </c>
      <c r="F296" t="s">
        <v>1343</v>
      </c>
      <c r="G296" t="s">
        <v>1344</v>
      </c>
      <c r="H296" t="s">
        <v>25</v>
      </c>
      <c r="I296" t="s">
        <v>25</v>
      </c>
      <c r="J296" t="s">
        <v>34</v>
      </c>
      <c r="K296" t="s">
        <v>650</v>
      </c>
      <c r="L296" s="2">
        <v>400486.02470990678</v>
      </c>
      <c r="M296" s="3">
        <v>0.95316880823685135</v>
      </c>
      <c r="N296" s="3">
        <v>0</v>
      </c>
      <c r="O296" s="3">
        <v>4.6831191763147838E-2</v>
      </c>
      <c r="P296" s="3">
        <v>0</v>
      </c>
      <c r="Q296" s="3">
        <v>7.7715611723760958E-16</v>
      </c>
      <c r="R296" s="3">
        <v>4.6831191763147838E-2</v>
      </c>
      <c r="S296" t="s">
        <v>28</v>
      </c>
      <c r="T296" s="4">
        <f t="shared" si="4"/>
        <v>104.68</v>
      </c>
    </row>
    <row r="297" spans="1:20" x14ac:dyDescent="0.2">
      <c r="A297">
        <v>299</v>
      </c>
      <c r="B297">
        <v>1</v>
      </c>
      <c r="C297" t="s">
        <v>1345</v>
      </c>
      <c r="D297" t="s">
        <v>1346</v>
      </c>
      <c r="E297" t="s">
        <v>1347</v>
      </c>
      <c r="F297" t="s">
        <v>1348</v>
      </c>
      <c r="G297" t="s">
        <v>1349</v>
      </c>
      <c r="H297" t="s">
        <v>25</v>
      </c>
      <c r="I297" t="s">
        <v>25</v>
      </c>
      <c r="J297" t="s">
        <v>26</v>
      </c>
      <c r="K297" t="s">
        <v>43</v>
      </c>
      <c r="L297" s="2">
        <v>400486.02470986679</v>
      </c>
      <c r="M297" s="3">
        <v>0.8833013473652761</v>
      </c>
      <c r="N297" s="3">
        <v>0</v>
      </c>
      <c r="O297" s="3">
        <v>6.1701735065522713E-2</v>
      </c>
      <c r="P297" s="3">
        <v>2.1757318248024311E-2</v>
      </c>
      <c r="Q297" s="3">
        <v>3.3239599321176927E-2</v>
      </c>
      <c r="R297" s="3">
        <v>8.3459053313547027E-2</v>
      </c>
      <c r="S297" t="s">
        <v>28</v>
      </c>
      <c r="T297" s="4">
        <f t="shared" si="4"/>
        <v>107.2</v>
      </c>
    </row>
    <row r="298" spans="1:20" x14ac:dyDescent="0.2">
      <c r="A298">
        <v>320</v>
      </c>
      <c r="B298">
        <v>1</v>
      </c>
      <c r="C298" t="s">
        <v>1350</v>
      </c>
      <c r="D298" t="s">
        <v>1351</v>
      </c>
      <c r="E298" t="s">
        <v>109</v>
      </c>
      <c r="H298" t="s">
        <v>67</v>
      </c>
      <c r="I298" t="s">
        <v>67</v>
      </c>
      <c r="J298" t="s">
        <v>92</v>
      </c>
      <c r="K298" t="s">
        <v>187</v>
      </c>
      <c r="L298" s="2">
        <v>400486.02470986679</v>
      </c>
      <c r="M298" s="3">
        <v>1.291878969893983E-2</v>
      </c>
      <c r="N298" s="3">
        <v>0</v>
      </c>
      <c r="O298" s="3">
        <v>0.2446773904069148</v>
      </c>
      <c r="P298" s="3">
        <v>0.57315589531973832</v>
      </c>
      <c r="Q298" s="3">
        <v>0.1692479245744071</v>
      </c>
      <c r="R298" s="3">
        <v>0.81783328572665315</v>
      </c>
      <c r="S298" t="s">
        <v>44</v>
      </c>
      <c r="T298" s="4">
        <f t="shared" si="4"/>
        <v>222.17</v>
      </c>
    </row>
    <row r="299" spans="1:20" x14ac:dyDescent="0.2">
      <c r="A299">
        <v>321</v>
      </c>
      <c r="B299">
        <v>1</v>
      </c>
      <c r="C299" t="s">
        <v>1352</v>
      </c>
      <c r="D299" t="s">
        <v>1353</v>
      </c>
      <c r="E299" t="s">
        <v>1354</v>
      </c>
      <c r="H299" t="s">
        <v>25</v>
      </c>
      <c r="I299" t="s">
        <v>25</v>
      </c>
      <c r="J299" t="s">
        <v>92</v>
      </c>
      <c r="K299" t="s">
        <v>1355</v>
      </c>
      <c r="L299" s="2">
        <v>400486.02470986679</v>
      </c>
      <c r="M299" s="3">
        <v>0.33107762135762547</v>
      </c>
      <c r="N299" s="3">
        <v>0</v>
      </c>
      <c r="O299" s="3">
        <v>0.1007591545465651</v>
      </c>
      <c r="P299" s="3">
        <v>9.2222497475697607E-2</v>
      </c>
      <c r="Q299" s="3">
        <v>0.47594072662011178</v>
      </c>
      <c r="R299" s="3">
        <v>0.1929816520222627</v>
      </c>
      <c r="S299" t="s">
        <v>36</v>
      </c>
      <c r="T299" s="4">
        <f t="shared" si="4"/>
        <v>80.930000000000007</v>
      </c>
    </row>
    <row r="300" spans="1:20" x14ac:dyDescent="0.2">
      <c r="A300">
        <v>322</v>
      </c>
      <c r="B300">
        <v>1</v>
      </c>
      <c r="C300" t="s">
        <v>1356</v>
      </c>
      <c r="D300" t="s">
        <v>1357</v>
      </c>
      <c r="E300" t="s">
        <v>1358</v>
      </c>
      <c r="H300" t="s">
        <v>25</v>
      </c>
      <c r="I300" t="s">
        <v>25</v>
      </c>
      <c r="J300" t="s">
        <v>92</v>
      </c>
      <c r="K300" t="s">
        <v>878</v>
      </c>
      <c r="L300" s="2">
        <v>400486.02470986679</v>
      </c>
      <c r="M300" s="3">
        <v>0.34454949721389699</v>
      </c>
      <c r="N300" s="3">
        <v>0</v>
      </c>
      <c r="O300" s="3">
        <v>0.2225183378492232</v>
      </c>
      <c r="P300" s="3">
        <v>0.39408975425309489</v>
      </c>
      <c r="Q300" s="3">
        <v>3.88424106837848E-2</v>
      </c>
      <c r="R300" s="3">
        <v>0.61660809210231815</v>
      </c>
      <c r="S300" t="s">
        <v>44</v>
      </c>
      <c r="T300" s="4">
        <f t="shared" si="4"/>
        <v>197.19</v>
      </c>
    </row>
    <row r="301" spans="1:20" x14ac:dyDescent="0.2">
      <c r="A301">
        <v>323</v>
      </c>
      <c r="B301">
        <v>1</v>
      </c>
      <c r="C301" t="s">
        <v>1359</v>
      </c>
      <c r="D301" t="s">
        <v>1360</v>
      </c>
      <c r="E301" t="s">
        <v>1361</v>
      </c>
      <c r="H301" t="s">
        <v>25</v>
      </c>
      <c r="I301" t="s">
        <v>25</v>
      </c>
      <c r="J301" t="s">
        <v>26</v>
      </c>
      <c r="K301" t="s">
        <v>1362</v>
      </c>
      <c r="L301" s="2">
        <v>400486.02470986679</v>
      </c>
      <c r="M301" s="3">
        <v>1.059056310883688E-4</v>
      </c>
      <c r="N301" s="3">
        <v>0</v>
      </c>
      <c r="O301" s="3">
        <v>0.30134655315808517</v>
      </c>
      <c r="P301" s="3">
        <v>0.4802123760892601</v>
      </c>
      <c r="Q301" s="3">
        <v>0.21833516512156639</v>
      </c>
      <c r="R301" s="3">
        <v>0.78155892924734527</v>
      </c>
      <c r="S301" t="s">
        <v>44</v>
      </c>
      <c r="T301" s="4">
        <f t="shared" si="4"/>
        <v>204.34</v>
      </c>
    </row>
    <row r="302" spans="1:20" x14ac:dyDescent="0.2">
      <c r="A302">
        <v>324</v>
      </c>
      <c r="B302">
        <v>1</v>
      </c>
      <c r="C302" t="s">
        <v>1363</v>
      </c>
      <c r="D302" t="s">
        <v>1364</v>
      </c>
      <c r="E302" t="s">
        <v>1365</v>
      </c>
      <c r="H302" t="s">
        <v>67</v>
      </c>
      <c r="I302" t="s">
        <v>67</v>
      </c>
      <c r="J302" t="s">
        <v>26</v>
      </c>
      <c r="K302" t="s">
        <v>585</v>
      </c>
      <c r="L302" s="2">
        <v>400486.02470986679</v>
      </c>
      <c r="M302" s="3">
        <v>0.7098951593865187</v>
      </c>
      <c r="N302" s="3">
        <v>0</v>
      </c>
      <c r="O302" s="3">
        <v>0.13423192866242081</v>
      </c>
      <c r="P302" s="3">
        <v>0.15587291195107161</v>
      </c>
      <c r="Q302" s="3">
        <v>0</v>
      </c>
      <c r="R302" s="3">
        <v>0.2901048406134924</v>
      </c>
      <c r="S302" t="s">
        <v>69</v>
      </c>
      <c r="T302" s="4">
        <f t="shared" si="4"/>
        <v>144.6</v>
      </c>
    </row>
    <row r="303" spans="1:20" x14ac:dyDescent="0.2">
      <c r="A303">
        <v>325</v>
      </c>
      <c r="B303">
        <v>1</v>
      </c>
      <c r="C303" t="s">
        <v>1366</v>
      </c>
      <c r="D303" t="s">
        <v>1367</v>
      </c>
      <c r="E303" t="s">
        <v>1368</v>
      </c>
      <c r="H303" t="s">
        <v>67</v>
      </c>
      <c r="I303" t="s">
        <v>67</v>
      </c>
      <c r="J303" t="s">
        <v>34</v>
      </c>
      <c r="K303" t="s">
        <v>56</v>
      </c>
      <c r="L303" s="2">
        <v>400486.02470986679</v>
      </c>
      <c r="M303" s="3">
        <v>3.7841594413080798E-2</v>
      </c>
      <c r="N303" s="3">
        <v>0</v>
      </c>
      <c r="O303" s="3">
        <v>0.20341617773339901</v>
      </c>
      <c r="P303" s="3">
        <v>0.44555498147400169</v>
      </c>
      <c r="Q303" s="3">
        <v>0.31318724637951839</v>
      </c>
      <c r="R303" s="3">
        <v>0.64897115920740067</v>
      </c>
      <c r="S303" t="s">
        <v>44</v>
      </c>
      <c r="T303" s="4">
        <f t="shared" si="4"/>
        <v>178.13</v>
      </c>
    </row>
    <row r="304" spans="1:20" x14ac:dyDescent="0.2">
      <c r="A304">
        <v>326</v>
      </c>
      <c r="B304">
        <v>1</v>
      </c>
      <c r="C304" t="s">
        <v>1369</v>
      </c>
      <c r="D304" t="s">
        <v>1370</v>
      </c>
      <c r="E304" t="s">
        <v>1371</v>
      </c>
      <c r="H304" t="s">
        <v>67</v>
      </c>
      <c r="I304" t="s">
        <v>67</v>
      </c>
      <c r="J304" t="s">
        <v>34</v>
      </c>
      <c r="K304" t="s">
        <v>1372</v>
      </c>
      <c r="L304" s="2">
        <v>400486.02470986679</v>
      </c>
      <c r="M304" s="3">
        <v>0.98177302622628526</v>
      </c>
      <c r="N304" s="3">
        <v>0</v>
      </c>
      <c r="O304" s="3">
        <v>1.822697377372345E-2</v>
      </c>
      <c r="P304" s="3">
        <v>0</v>
      </c>
      <c r="Q304" s="3">
        <v>0</v>
      </c>
      <c r="R304" s="3">
        <v>1.822697377372345E-2</v>
      </c>
      <c r="S304" t="s">
        <v>28</v>
      </c>
      <c r="T304" s="4">
        <f t="shared" si="4"/>
        <v>101.82</v>
      </c>
    </row>
    <row r="305" spans="1:20" x14ac:dyDescent="0.2">
      <c r="A305">
        <v>327</v>
      </c>
      <c r="B305">
        <v>1</v>
      </c>
      <c r="C305" t="s">
        <v>1373</v>
      </c>
      <c r="D305" t="s">
        <v>1374</v>
      </c>
      <c r="E305" t="s">
        <v>1375</v>
      </c>
      <c r="H305" t="s">
        <v>336</v>
      </c>
      <c r="I305" t="s">
        <v>336</v>
      </c>
      <c r="J305" t="s">
        <v>34</v>
      </c>
      <c r="K305" t="s">
        <v>155</v>
      </c>
      <c r="L305" s="2">
        <v>400486.02470986679</v>
      </c>
      <c r="M305" s="3">
        <v>0</v>
      </c>
      <c r="N305" s="3">
        <v>0</v>
      </c>
      <c r="O305" s="3">
        <v>0.34995289234440358</v>
      </c>
      <c r="P305" s="3">
        <v>0.58377798195873198</v>
      </c>
      <c r="Q305" s="3">
        <v>6.6269125696864384E-2</v>
      </c>
      <c r="R305" s="3">
        <v>0.93373087430313562</v>
      </c>
      <c r="S305" t="s">
        <v>44</v>
      </c>
      <c r="T305" s="4">
        <f t="shared" si="4"/>
        <v>245.12</v>
      </c>
    </row>
    <row r="306" spans="1:20" x14ac:dyDescent="0.2">
      <c r="A306">
        <v>328</v>
      </c>
      <c r="B306">
        <v>1</v>
      </c>
      <c r="C306" t="s">
        <v>1376</v>
      </c>
      <c r="D306" t="s">
        <v>1377</v>
      </c>
      <c r="E306" t="s">
        <v>1078</v>
      </c>
      <c r="H306" t="s">
        <v>67</v>
      </c>
      <c r="I306" t="s">
        <v>67</v>
      </c>
      <c r="J306" t="s">
        <v>26</v>
      </c>
      <c r="K306" t="s">
        <v>210</v>
      </c>
      <c r="L306" s="2">
        <v>400486.02470986679</v>
      </c>
      <c r="M306" s="3">
        <v>0</v>
      </c>
      <c r="N306" s="3">
        <v>0</v>
      </c>
      <c r="O306" s="3">
        <v>0.2375884425120425</v>
      </c>
      <c r="P306" s="3">
        <v>0.67194925587956711</v>
      </c>
      <c r="Q306" s="3">
        <v>9.0462301608390319E-2</v>
      </c>
      <c r="R306" s="3">
        <v>0.90953769839160958</v>
      </c>
      <c r="S306" t="s">
        <v>44</v>
      </c>
      <c r="T306" s="4">
        <f t="shared" si="4"/>
        <v>249.1</v>
      </c>
    </row>
    <row r="307" spans="1:20" x14ac:dyDescent="0.2">
      <c r="A307">
        <v>329</v>
      </c>
      <c r="B307">
        <v>2</v>
      </c>
      <c r="C307" t="s">
        <v>1378</v>
      </c>
      <c r="D307" t="s">
        <v>1379</v>
      </c>
      <c r="E307" t="s">
        <v>1380</v>
      </c>
      <c r="H307" t="s">
        <v>67</v>
      </c>
      <c r="I307" t="s">
        <v>67</v>
      </c>
      <c r="J307" t="s">
        <v>26</v>
      </c>
      <c r="K307" t="s">
        <v>56</v>
      </c>
      <c r="L307" s="2">
        <v>800972.04941973358</v>
      </c>
      <c r="M307" s="3">
        <v>0.49010921417755282</v>
      </c>
      <c r="N307" s="3">
        <v>0</v>
      </c>
      <c r="O307" s="3">
        <v>9.6963185299012739E-2</v>
      </c>
      <c r="P307" s="3">
        <v>0</v>
      </c>
      <c r="Q307" s="3">
        <v>0.41292760052343452</v>
      </c>
      <c r="R307" s="3">
        <v>9.6963185299012739E-2</v>
      </c>
      <c r="S307" t="s">
        <v>28</v>
      </c>
      <c r="T307" s="4">
        <f t="shared" si="4"/>
        <v>68.400000000000006</v>
      </c>
    </row>
    <row r="308" spans="1:20" x14ac:dyDescent="0.2">
      <c r="A308">
        <v>330</v>
      </c>
      <c r="B308">
        <v>1</v>
      </c>
      <c r="C308" t="s">
        <v>1381</v>
      </c>
      <c r="D308" t="s">
        <v>1382</v>
      </c>
      <c r="E308" t="s">
        <v>1383</v>
      </c>
      <c r="H308" t="s">
        <v>67</v>
      </c>
      <c r="I308" t="s">
        <v>67</v>
      </c>
      <c r="J308" t="s">
        <v>26</v>
      </c>
      <c r="K308" t="s">
        <v>155</v>
      </c>
      <c r="L308" s="2">
        <v>400486.02470986679</v>
      </c>
      <c r="M308" s="3">
        <v>0</v>
      </c>
      <c r="N308" s="3">
        <v>0</v>
      </c>
      <c r="O308" s="3">
        <v>0.29583915606040317</v>
      </c>
      <c r="P308" s="3">
        <v>0.63816889785750885</v>
      </c>
      <c r="Q308" s="3">
        <v>6.5991946082087916E-2</v>
      </c>
      <c r="R308" s="3">
        <v>0.93400805391791208</v>
      </c>
      <c r="S308" t="s">
        <v>44</v>
      </c>
      <c r="T308" s="4">
        <f t="shared" si="4"/>
        <v>250.62</v>
      </c>
    </row>
    <row r="309" spans="1:20" x14ac:dyDescent="0.2">
      <c r="A309">
        <v>331</v>
      </c>
      <c r="B309">
        <v>1</v>
      </c>
      <c r="C309" t="s">
        <v>1384</v>
      </c>
      <c r="D309" t="s">
        <v>1385</v>
      </c>
      <c r="E309" t="s">
        <v>1386</v>
      </c>
      <c r="F309" t="s">
        <v>1387</v>
      </c>
      <c r="H309" t="s">
        <v>260</v>
      </c>
      <c r="I309" t="s">
        <v>260</v>
      </c>
      <c r="J309" t="s">
        <v>34</v>
      </c>
      <c r="K309" t="s">
        <v>35</v>
      </c>
      <c r="L309" s="2">
        <v>400486.02470986679</v>
      </c>
      <c r="M309" s="3">
        <v>2.3308138270959861E-2</v>
      </c>
      <c r="N309" s="3">
        <v>0</v>
      </c>
      <c r="O309" s="3">
        <v>0.24711394726129621</v>
      </c>
      <c r="P309" s="3">
        <v>0.52056546698173323</v>
      </c>
      <c r="Q309" s="3">
        <v>0.20901244748601069</v>
      </c>
      <c r="R309" s="3">
        <v>0.76767941424302943</v>
      </c>
      <c r="S309" t="s">
        <v>44</v>
      </c>
      <c r="T309" s="4">
        <f t="shared" si="4"/>
        <v>207.92</v>
      </c>
    </row>
    <row r="310" spans="1:20" x14ac:dyDescent="0.2">
      <c r="A310">
        <v>332</v>
      </c>
      <c r="B310">
        <v>1</v>
      </c>
      <c r="C310" t="s">
        <v>1388</v>
      </c>
      <c r="D310" t="s">
        <v>1389</v>
      </c>
      <c r="E310" t="s">
        <v>1390</v>
      </c>
      <c r="F310" t="s">
        <v>1391</v>
      </c>
      <c r="G310" t="s">
        <v>1392</v>
      </c>
      <c r="H310" t="s">
        <v>25</v>
      </c>
      <c r="I310" t="s">
        <v>25</v>
      </c>
      <c r="J310" t="s">
        <v>92</v>
      </c>
      <c r="K310" t="s">
        <v>363</v>
      </c>
      <c r="L310" s="2">
        <v>400486.02470986679</v>
      </c>
      <c r="M310" s="3">
        <v>1.3504236620254481E-2</v>
      </c>
      <c r="N310" s="3">
        <v>0</v>
      </c>
      <c r="O310" s="3">
        <v>0.2303265715384569</v>
      </c>
      <c r="P310" s="3">
        <v>0.66898677639871051</v>
      </c>
      <c r="Q310" s="3">
        <v>8.7182415442578085E-2</v>
      </c>
      <c r="R310" s="3">
        <v>0.89931334793716744</v>
      </c>
      <c r="S310" t="s">
        <v>44</v>
      </c>
      <c r="T310" s="4">
        <f t="shared" si="4"/>
        <v>248.11</v>
      </c>
    </row>
    <row r="311" spans="1:20" x14ac:dyDescent="0.2">
      <c r="A311">
        <v>333</v>
      </c>
      <c r="B311">
        <v>1</v>
      </c>
      <c r="C311" t="s">
        <v>1393</v>
      </c>
      <c r="D311" t="s">
        <v>1394</v>
      </c>
      <c r="E311" t="s">
        <v>1395</v>
      </c>
      <c r="F311" t="s">
        <v>1396</v>
      </c>
      <c r="G311" t="s">
        <v>1397</v>
      </c>
      <c r="H311" t="s">
        <v>25</v>
      </c>
      <c r="I311" t="s">
        <v>25</v>
      </c>
      <c r="J311" t="s">
        <v>34</v>
      </c>
      <c r="K311" t="s">
        <v>27</v>
      </c>
      <c r="L311" s="2">
        <v>400486.02470986679</v>
      </c>
      <c r="M311" s="3">
        <v>5.5312261843440541E-2</v>
      </c>
      <c r="N311" s="3">
        <v>0</v>
      </c>
      <c r="O311" s="3">
        <v>0.17890809618574291</v>
      </c>
      <c r="P311" s="3">
        <v>0.1160733882948415</v>
      </c>
      <c r="Q311" s="3">
        <v>0.64970625367597512</v>
      </c>
      <c r="R311" s="3">
        <v>0.29498148448058442</v>
      </c>
      <c r="S311" t="s">
        <v>69</v>
      </c>
      <c r="T311" s="4">
        <f t="shared" si="4"/>
        <v>76.13</v>
      </c>
    </row>
    <row r="312" spans="1:20" x14ac:dyDescent="0.2">
      <c r="A312">
        <v>334</v>
      </c>
      <c r="B312">
        <v>1</v>
      </c>
      <c r="C312" t="s">
        <v>1398</v>
      </c>
      <c r="D312" t="s">
        <v>1399</v>
      </c>
      <c r="E312" t="s">
        <v>1400</v>
      </c>
      <c r="H312" t="s">
        <v>25</v>
      </c>
      <c r="I312" t="s">
        <v>25</v>
      </c>
      <c r="J312" t="s">
        <v>34</v>
      </c>
      <c r="K312" t="s">
        <v>112</v>
      </c>
      <c r="L312" s="2">
        <v>400486.02470986679</v>
      </c>
      <c r="M312" s="3">
        <v>6.7759814069749208E-2</v>
      </c>
      <c r="N312" s="3">
        <v>0</v>
      </c>
      <c r="O312" s="3">
        <v>0.1162533347501841</v>
      </c>
      <c r="P312" s="3">
        <v>6.561568106437337E-5</v>
      </c>
      <c r="Q312" s="3">
        <v>0.81592123549900242</v>
      </c>
      <c r="R312" s="3">
        <v>0.1163189504312485</v>
      </c>
      <c r="S312" t="s">
        <v>36</v>
      </c>
      <c r="T312" s="4">
        <f t="shared" si="4"/>
        <v>30.05</v>
      </c>
    </row>
    <row r="313" spans="1:20" x14ac:dyDescent="0.2">
      <c r="A313">
        <v>335</v>
      </c>
      <c r="B313">
        <v>2</v>
      </c>
      <c r="C313" t="s">
        <v>1401</v>
      </c>
      <c r="D313" t="s">
        <v>1402</v>
      </c>
      <c r="E313" t="s">
        <v>1019</v>
      </c>
      <c r="H313" t="s">
        <v>67</v>
      </c>
      <c r="I313" t="s">
        <v>67</v>
      </c>
      <c r="J313" t="s">
        <v>34</v>
      </c>
      <c r="K313" t="s">
        <v>161</v>
      </c>
      <c r="L313" s="2">
        <v>800972.04941973358</v>
      </c>
      <c r="M313" s="3">
        <v>9.6996645375729378E-3</v>
      </c>
      <c r="N313" s="3">
        <v>0</v>
      </c>
      <c r="O313" s="3">
        <v>0.37850769527624589</v>
      </c>
      <c r="P313" s="3">
        <v>0.61179264018620316</v>
      </c>
      <c r="Q313" s="3">
        <v>0</v>
      </c>
      <c r="R313" s="3">
        <v>0.99030033546244911</v>
      </c>
      <c r="S313" t="s">
        <v>44</v>
      </c>
      <c r="T313" s="4">
        <f t="shared" si="4"/>
        <v>260.20999999999998</v>
      </c>
    </row>
    <row r="314" spans="1:20" x14ac:dyDescent="0.2">
      <c r="A314">
        <v>336</v>
      </c>
      <c r="B314">
        <v>1</v>
      </c>
      <c r="C314" t="s">
        <v>1403</v>
      </c>
      <c r="D314" t="s">
        <v>1404</v>
      </c>
      <c r="E314" t="s">
        <v>1087</v>
      </c>
      <c r="F314" t="s">
        <v>1405</v>
      </c>
      <c r="G314" t="s">
        <v>1406</v>
      </c>
      <c r="H314" t="s">
        <v>67</v>
      </c>
      <c r="I314" t="s">
        <v>67</v>
      </c>
      <c r="J314" t="s">
        <v>26</v>
      </c>
      <c r="K314" t="s">
        <v>540</v>
      </c>
      <c r="L314" s="2">
        <v>400486.02470986679</v>
      </c>
      <c r="M314" s="3">
        <v>0</v>
      </c>
      <c r="N314" s="3">
        <v>0</v>
      </c>
      <c r="O314" s="3">
        <v>8.6271829054349755E-2</v>
      </c>
      <c r="P314" s="3">
        <v>0</v>
      </c>
      <c r="Q314" s="3">
        <v>0.9137281709456504</v>
      </c>
      <c r="R314" s="3">
        <v>8.6271829054349755E-2</v>
      </c>
      <c r="S314" t="s">
        <v>28</v>
      </c>
      <c r="T314" s="4">
        <f t="shared" si="4"/>
        <v>17.25</v>
      </c>
    </row>
    <row r="315" spans="1:20" x14ac:dyDescent="0.2">
      <c r="A315">
        <v>337</v>
      </c>
      <c r="B315">
        <v>1</v>
      </c>
      <c r="C315" t="s">
        <v>1407</v>
      </c>
      <c r="D315" t="s">
        <v>1408</v>
      </c>
      <c r="E315" t="s">
        <v>1087</v>
      </c>
      <c r="F315" t="s">
        <v>991</v>
      </c>
      <c r="G315" t="s">
        <v>1409</v>
      </c>
      <c r="H315" t="s">
        <v>25</v>
      </c>
      <c r="I315" t="s">
        <v>25</v>
      </c>
      <c r="J315" t="s">
        <v>92</v>
      </c>
      <c r="K315" t="s">
        <v>210</v>
      </c>
      <c r="L315" s="2">
        <v>400486.02470986679</v>
      </c>
      <c r="M315" s="3">
        <v>0.18822353386772869</v>
      </c>
      <c r="N315" s="3">
        <v>0</v>
      </c>
      <c r="O315" s="3">
        <v>4.7403351722171763E-2</v>
      </c>
      <c r="P315" s="3">
        <v>0</v>
      </c>
      <c r="Q315" s="3">
        <v>0.76437311441009959</v>
      </c>
      <c r="R315" s="3">
        <v>4.7403351722171763E-2</v>
      </c>
      <c r="S315" t="s">
        <v>28</v>
      </c>
      <c r="T315" s="4">
        <f t="shared" si="4"/>
        <v>28.3</v>
      </c>
    </row>
    <row r="316" spans="1:20" x14ac:dyDescent="0.2">
      <c r="A316">
        <v>338</v>
      </c>
      <c r="B316">
        <v>2</v>
      </c>
      <c r="C316" t="s">
        <v>1410</v>
      </c>
      <c r="D316" t="s">
        <v>1411</v>
      </c>
      <c r="E316" t="s">
        <v>1412</v>
      </c>
      <c r="F316" t="s">
        <v>1413</v>
      </c>
      <c r="G316" t="s">
        <v>1414</v>
      </c>
      <c r="H316" t="s">
        <v>67</v>
      </c>
      <c r="I316" t="s">
        <v>67</v>
      </c>
      <c r="J316" t="s">
        <v>92</v>
      </c>
      <c r="K316" t="s">
        <v>204</v>
      </c>
      <c r="L316" s="2">
        <v>800972.04941973358</v>
      </c>
      <c r="M316" s="3">
        <v>5.7695053790309536E-3</v>
      </c>
      <c r="N316" s="3">
        <v>0</v>
      </c>
      <c r="O316" s="3">
        <v>0.23848231393017541</v>
      </c>
      <c r="P316" s="3">
        <v>0.36395472447336991</v>
      </c>
      <c r="Q316" s="3">
        <v>0.39179345621742367</v>
      </c>
      <c r="R316" s="3">
        <v>0.60243703840354534</v>
      </c>
      <c r="S316" t="s">
        <v>44</v>
      </c>
      <c r="T316" s="4">
        <f t="shared" si="4"/>
        <v>157.46</v>
      </c>
    </row>
    <row r="317" spans="1:20" x14ac:dyDescent="0.2">
      <c r="A317">
        <v>339</v>
      </c>
      <c r="B317">
        <v>1</v>
      </c>
      <c r="C317" t="s">
        <v>1415</v>
      </c>
      <c r="D317" t="s">
        <v>1416</v>
      </c>
      <c r="E317" t="s">
        <v>1087</v>
      </c>
      <c r="F317" t="s">
        <v>1417</v>
      </c>
      <c r="G317" t="s">
        <v>1418</v>
      </c>
      <c r="H317" t="s">
        <v>25</v>
      </c>
      <c r="I317" t="s">
        <v>25</v>
      </c>
      <c r="J317" t="s">
        <v>26</v>
      </c>
      <c r="K317" t="s">
        <v>540</v>
      </c>
      <c r="L317" s="2">
        <v>400486.02470986679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t="s">
        <v>28</v>
      </c>
      <c r="T317" s="4">
        <f t="shared" si="4"/>
        <v>100</v>
      </c>
    </row>
    <row r="318" spans="1:20" x14ac:dyDescent="0.2">
      <c r="A318">
        <v>340</v>
      </c>
      <c r="B318">
        <v>1</v>
      </c>
      <c r="C318" t="s">
        <v>1419</v>
      </c>
      <c r="D318" t="s">
        <v>1420</v>
      </c>
      <c r="E318" t="s">
        <v>1421</v>
      </c>
      <c r="F318" t="s">
        <v>1422</v>
      </c>
      <c r="G318" t="s">
        <v>1423</v>
      </c>
      <c r="H318" t="s">
        <v>67</v>
      </c>
      <c r="I318" t="s">
        <v>67</v>
      </c>
      <c r="J318" t="s">
        <v>34</v>
      </c>
      <c r="K318" t="s">
        <v>644</v>
      </c>
      <c r="L318" s="2">
        <v>400486.02470986679</v>
      </c>
      <c r="M318" s="3">
        <v>0</v>
      </c>
      <c r="N318" s="3">
        <v>0</v>
      </c>
      <c r="O318" s="3">
        <v>5.8224480734590633E-2</v>
      </c>
      <c r="P318" s="3">
        <v>0</v>
      </c>
      <c r="Q318" s="3">
        <v>0.94177551926540937</v>
      </c>
      <c r="R318" s="3">
        <v>5.8224480734590633E-2</v>
      </c>
      <c r="S318" t="s">
        <v>28</v>
      </c>
      <c r="T318" s="4">
        <f t="shared" si="4"/>
        <v>11.64</v>
      </c>
    </row>
    <row r="319" spans="1:20" x14ac:dyDescent="0.2">
      <c r="A319">
        <v>342</v>
      </c>
      <c r="B319">
        <v>1</v>
      </c>
      <c r="C319" t="s">
        <v>1424</v>
      </c>
      <c r="D319" t="s">
        <v>1425</v>
      </c>
      <c r="E319" t="s">
        <v>96</v>
      </c>
      <c r="H319" t="s">
        <v>67</v>
      </c>
      <c r="I319" t="s">
        <v>67</v>
      </c>
      <c r="J319" t="s">
        <v>26</v>
      </c>
      <c r="K319" t="s">
        <v>650</v>
      </c>
      <c r="L319" s="2">
        <v>400486.02470986679</v>
      </c>
      <c r="M319" s="3">
        <v>0.43498446753890913</v>
      </c>
      <c r="N319" s="3">
        <v>0</v>
      </c>
      <c r="O319" s="3">
        <v>7.6790376127093815E-2</v>
      </c>
      <c r="P319" s="3">
        <v>7.8212381459244196E-2</v>
      </c>
      <c r="Q319" s="3">
        <v>0.41001277487475279</v>
      </c>
      <c r="R319" s="3">
        <v>0.155002757586338</v>
      </c>
      <c r="S319" t="s">
        <v>36</v>
      </c>
      <c r="T319" s="4">
        <f t="shared" si="4"/>
        <v>82.32</v>
      </c>
    </row>
    <row r="320" spans="1:20" x14ac:dyDescent="0.2">
      <c r="A320">
        <v>343</v>
      </c>
      <c r="B320">
        <v>1</v>
      </c>
      <c r="C320" t="s">
        <v>1426</v>
      </c>
      <c r="D320" t="s">
        <v>1427</v>
      </c>
      <c r="E320" t="s">
        <v>59</v>
      </c>
      <c r="H320" t="s">
        <v>67</v>
      </c>
      <c r="I320" t="s">
        <v>67</v>
      </c>
      <c r="J320" t="s">
        <v>26</v>
      </c>
      <c r="K320" t="s">
        <v>56</v>
      </c>
      <c r="L320" s="2">
        <v>400486.02470986679</v>
      </c>
      <c r="M320" s="3">
        <v>0.26910303652942041</v>
      </c>
      <c r="N320" s="3">
        <v>0</v>
      </c>
      <c r="O320" s="3">
        <v>0.2517209874792769</v>
      </c>
      <c r="P320" s="3">
        <v>0.22615542969445671</v>
      </c>
      <c r="Q320" s="3">
        <v>0.25302054629684601</v>
      </c>
      <c r="R320" s="3">
        <v>0.47787641717373358</v>
      </c>
      <c r="S320" t="s">
        <v>125</v>
      </c>
      <c r="T320" s="4">
        <f t="shared" si="4"/>
        <v>145.1</v>
      </c>
    </row>
    <row r="321" spans="1:20" x14ac:dyDescent="0.2">
      <c r="A321">
        <v>344</v>
      </c>
      <c r="B321">
        <v>1</v>
      </c>
      <c r="C321" t="s">
        <v>1428</v>
      </c>
      <c r="D321" t="s">
        <v>1429</v>
      </c>
      <c r="E321" t="s">
        <v>1430</v>
      </c>
      <c r="F321" t="s">
        <v>410</v>
      </c>
      <c r="G321" t="s">
        <v>411</v>
      </c>
      <c r="H321" t="s">
        <v>67</v>
      </c>
      <c r="I321" t="s">
        <v>67</v>
      </c>
      <c r="J321" t="s">
        <v>92</v>
      </c>
      <c r="K321" t="s">
        <v>230</v>
      </c>
      <c r="L321" s="2">
        <v>400486.02470986679</v>
      </c>
      <c r="M321" s="3">
        <v>0.25469467961082248</v>
      </c>
      <c r="N321" s="3">
        <v>0</v>
      </c>
      <c r="O321" s="3">
        <v>0.19253636022775061</v>
      </c>
      <c r="P321" s="3">
        <v>9.5208208675436959E-2</v>
      </c>
      <c r="Q321" s="3">
        <v>0.45756075148598979</v>
      </c>
      <c r="R321" s="3">
        <v>0.28774456890318761</v>
      </c>
      <c r="S321" t="s">
        <v>69</v>
      </c>
      <c r="T321" s="4">
        <f t="shared" si="4"/>
        <v>92.54</v>
      </c>
    </row>
    <row r="322" spans="1:20" x14ac:dyDescent="0.2">
      <c r="A322">
        <v>345</v>
      </c>
      <c r="B322">
        <v>1</v>
      </c>
      <c r="C322" t="s">
        <v>1431</v>
      </c>
      <c r="D322" t="s">
        <v>1432</v>
      </c>
      <c r="E322" t="s">
        <v>1433</v>
      </c>
      <c r="F322" t="s">
        <v>171</v>
      </c>
      <c r="G322" t="s">
        <v>172</v>
      </c>
      <c r="H322" t="s">
        <v>25</v>
      </c>
      <c r="I322" t="s">
        <v>25</v>
      </c>
      <c r="J322" t="s">
        <v>26</v>
      </c>
      <c r="K322" t="s">
        <v>56</v>
      </c>
      <c r="L322" s="2">
        <v>400486.02470986679</v>
      </c>
      <c r="M322" s="3">
        <v>0.2169051110237091</v>
      </c>
      <c r="N322" s="3">
        <v>0</v>
      </c>
      <c r="O322" s="3">
        <v>3.2520817124646093E-2</v>
      </c>
      <c r="P322" s="3">
        <v>0</v>
      </c>
      <c r="Q322" s="3">
        <v>0.75057407185164482</v>
      </c>
      <c r="R322" s="3">
        <v>3.2520817124646093E-2</v>
      </c>
      <c r="S322" t="s">
        <v>28</v>
      </c>
      <c r="T322" s="4">
        <f t="shared" ref="T322:T385" si="5">ROUND((M322*100*1)+(O322*100*2)+(P322*100*3),2)</f>
        <v>28.19</v>
      </c>
    </row>
    <row r="323" spans="1:20" x14ac:dyDescent="0.2">
      <c r="A323">
        <v>346</v>
      </c>
      <c r="B323">
        <v>1</v>
      </c>
      <c r="C323" t="s">
        <v>1434</v>
      </c>
      <c r="D323" t="s">
        <v>1435</v>
      </c>
      <c r="E323" t="s">
        <v>1436</v>
      </c>
      <c r="F323" t="s">
        <v>1437</v>
      </c>
      <c r="G323" t="s">
        <v>1438</v>
      </c>
      <c r="H323" t="s">
        <v>25</v>
      </c>
      <c r="I323" t="s">
        <v>25</v>
      </c>
      <c r="J323" t="s">
        <v>34</v>
      </c>
      <c r="K323" t="s">
        <v>249</v>
      </c>
      <c r="L323" s="2">
        <v>400486.02470990678</v>
      </c>
      <c r="M323" s="3">
        <v>2.4622691955898841E-2</v>
      </c>
      <c r="N323" s="3">
        <v>0</v>
      </c>
      <c r="O323" s="3">
        <v>0.36754679172752641</v>
      </c>
      <c r="P323" s="3">
        <v>0.2772900915486049</v>
      </c>
      <c r="Q323" s="3">
        <v>0.33054042476796991</v>
      </c>
      <c r="R323" s="3">
        <v>0.64483688327613131</v>
      </c>
      <c r="S323" t="s">
        <v>44</v>
      </c>
      <c r="T323" s="4">
        <f t="shared" si="5"/>
        <v>159.16</v>
      </c>
    </row>
    <row r="324" spans="1:20" x14ac:dyDescent="0.2">
      <c r="A324">
        <v>347</v>
      </c>
      <c r="B324">
        <v>5</v>
      </c>
      <c r="C324" t="s">
        <v>1439</v>
      </c>
      <c r="D324" t="s">
        <v>1440</v>
      </c>
      <c r="E324" t="s">
        <v>1441</v>
      </c>
      <c r="F324" t="s">
        <v>1442</v>
      </c>
      <c r="G324" t="s">
        <v>1443</v>
      </c>
      <c r="H324" t="s">
        <v>67</v>
      </c>
      <c r="I324" t="s">
        <v>67</v>
      </c>
      <c r="J324" t="s">
        <v>92</v>
      </c>
      <c r="K324" t="s">
        <v>277</v>
      </c>
      <c r="L324" s="2">
        <v>2002430.123549534</v>
      </c>
      <c r="M324" s="3">
        <v>6.0862708722064394E-3</v>
      </c>
      <c r="N324" s="3">
        <v>0</v>
      </c>
      <c r="O324" s="3">
        <v>0.2383404007301419</v>
      </c>
      <c r="P324" s="3">
        <v>7.1991896872101752E-2</v>
      </c>
      <c r="Q324" s="3">
        <v>0.68358143152554995</v>
      </c>
      <c r="R324" s="3">
        <v>0.31033229760224362</v>
      </c>
      <c r="S324" t="s">
        <v>69</v>
      </c>
      <c r="T324" s="4">
        <f t="shared" si="5"/>
        <v>69.87</v>
      </c>
    </row>
    <row r="325" spans="1:20" x14ac:dyDescent="0.2">
      <c r="A325">
        <v>348</v>
      </c>
      <c r="B325">
        <v>1</v>
      </c>
      <c r="C325" t="s">
        <v>1444</v>
      </c>
      <c r="D325" t="s">
        <v>1445</v>
      </c>
      <c r="E325" t="s">
        <v>1446</v>
      </c>
      <c r="F325" t="s">
        <v>1447</v>
      </c>
      <c r="G325" t="s">
        <v>1448</v>
      </c>
      <c r="H325" t="s">
        <v>67</v>
      </c>
      <c r="I325" t="s">
        <v>67</v>
      </c>
      <c r="J325" t="s">
        <v>34</v>
      </c>
      <c r="K325" t="s">
        <v>230</v>
      </c>
      <c r="L325" s="2">
        <v>400486.02470990678</v>
      </c>
      <c r="M325" s="3">
        <v>0</v>
      </c>
      <c r="N325" s="3">
        <v>0</v>
      </c>
      <c r="O325" s="3">
        <v>0.15445971668413891</v>
      </c>
      <c r="P325" s="3">
        <v>0</v>
      </c>
      <c r="Q325" s="3">
        <v>0.84554028331586106</v>
      </c>
      <c r="R325" s="3">
        <v>0.15445971668413891</v>
      </c>
      <c r="S325" t="s">
        <v>36</v>
      </c>
      <c r="T325" s="4">
        <f t="shared" si="5"/>
        <v>30.89</v>
      </c>
    </row>
    <row r="326" spans="1:20" x14ac:dyDescent="0.2">
      <c r="A326">
        <v>349</v>
      </c>
      <c r="B326">
        <v>1</v>
      </c>
      <c r="C326" t="s">
        <v>1449</v>
      </c>
      <c r="D326" t="s">
        <v>1450</v>
      </c>
      <c r="E326" t="s">
        <v>1451</v>
      </c>
      <c r="F326" t="s">
        <v>1452</v>
      </c>
      <c r="G326" t="s">
        <v>1453</v>
      </c>
      <c r="H326" t="s">
        <v>67</v>
      </c>
      <c r="I326" t="s">
        <v>67</v>
      </c>
      <c r="J326" t="s">
        <v>26</v>
      </c>
      <c r="K326" t="s">
        <v>626</v>
      </c>
      <c r="L326" s="2">
        <v>400486.02470990678</v>
      </c>
      <c r="M326" s="3">
        <v>0</v>
      </c>
      <c r="N326" s="3">
        <v>1.1733940370417891E-2</v>
      </c>
      <c r="O326" s="3">
        <v>0.1556615873590263</v>
      </c>
      <c r="P326" s="3">
        <v>9.9640456282299693E-3</v>
      </c>
      <c r="Q326" s="3">
        <v>0.82264042664232584</v>
      </c>
      <c r="R326" s="3">
        <v>0.1656256329872563</v>
      </c>
      <c r="S326" t="s">
        <v>36</v>
      </c>
      <c r="T326" s="4">
        <f t="shared" si="5"/>
        <v>34.119999999999997</v>
      </c>
    </row>
    <row r="327" spans="1:20" x14ac:dyDescent="0.2">
      <c r="A327">
        <v>350</v>
      </c>
      <c r="B327">
        <v>1</v>
      </c>
      <c r="C327" t="s">
        <v>1454</v>
      </c>
      <c r="D327" t="s">
        <v>1455</v>
      </c>
      <c r="E327" t="s">
        <v>682</v>
      </c>
      <c r="H327" t="s">
        <v>67</v>
      </c>
      <c r="I327" t="s">
        <v>67</v>
      </c>
      <c r="J327" t="s">
        <v>34</v>
      </c>
      <c r="K327" t="s">
        <v>904</v>
      </c>
      <c r="L327" s="2">
        <v>400486.02470990678</v>
      </c>
      <c r="M327" s="3">
        <v>0</v>
      </c>
      <c r="N327" s="3">
        <v>0</v>
      </c>
      <c r="O327" s="3">
        <v>0.36566354844855148</v>
      </c>
      <c r="P327" s="3">
        <v>0.30066417595292</v>
      </c>
      <c r="Q327" s="3">
        <v>0.33367227559852852</v>
      </c>
      <c r="R327" s="3">
        <v>0.66632772440147148</v>
      </c>
      <c r="S327" t="s">
        <v>44</v>
      </c>
      <c r="T327" s="4">
        <f t="shared" si="5"/>
        <v>163.33000000000001</v>
      </c>
    </row>
    <row r="328" spans="1:20" x14ac:dyDescent="0.2">
      <c r="A328">
        <v>352</v>
      </c>
      <c r="B328">
        <v>1</v>
      </c>
      <c r="C328" t="s">
        <v>1456</v>
      </c>
      <c r="D328" t="s">
        <v>1457</v>
      </c>
      <c r="E328" t="s">
        <v>180</v>
      </c>
      <c r="H328" t="s">
        <v>67</v>
      </c>
      <c r="I328" t="s">
        <v>67</v>
      </c>
      <c r="J328" t="s">
        <v>34</v>
      </c>
      <c r="K328" t="s">
        <v>210</v>
      </c>
      <c r="L328" s="2">
        <v>400486.02470990678</v>
      </c>
      <c r="M328" s="3">
        <v>0.14529925959352979</v>
      </c>
      <c r="N328" s="3">
        <v>0</v>
      </c>
      <c r="O328" s="3">
        <v>0.2301220913437769</v>
      </c>
      <c r="P328" s="3">
        <v>0.20886027261292289</v>
      </c>
      <c r="Q328" s="3">
        <v>0.41571837644977028</v>
      </c>
      <c r="R328" s="3">
        <v>0.43898236395669982</v>
      </c>
      <c r="S328" t="s">
        <v>125</v>
      </c>
      <c r="T328" s="4">
        <f t="shared" si="5"/>
        <v>123.21</v>
      </c>
    </row>
    <row r="329" spans="1:20" x14ac:dyDescent="0.2">
      <c r="A329">
        <v>353</v>
      </c>
      <c r="B329">
        <v>9</v>
      </c>
      <c r="C329" t="s">
        <v>1458</v>
      </c>
      <c r="D329" t="s">
        <v>1459</v>
      </c>
      <c r="E329" t="s">
        <v>612</v>
      </c>
      <c r="F329" t="s">
        <v>1460</v>
      </c>
      <c r="G329" t="s">
        <v>1461</v>
      </c>
      <c r="H329" t="s">
        <v>67</v>
      </c>
      <c r="I329" t="s">
        <v>67</v>
      </c>
      <c r="J329" t="s">
        <v>26</v>
      </c>
      <c r="K329" t="s">
        <v>68</v>
      </c>
      <c r="L329" s="2">
        <v>3604374.2223888012</v>
      </c>
      <c r="M329" s="3">
        <v>0.33379265256640522</v>
      </c>
      <c r="N329" s="3">
        <v>0</v>
      </c>
      <c r="O329" s="3">
        <v>0.39957600663056592</v>
      </c>
      <c r="P329" s="3">
        <v>6.7170570703778271E-2</v>
      </c>
      <c r="Q329" s="3">
        <v>0.19946077009925059</v>
      </c>
      <c r="R329" s="3">
        <v>0.46674657733434421</v>
      </c>
      <c r="S329" t="s">
        <v>125</v>
      </c>
      <c r="T329" s="4">
        <f t="shared" si="5"/>
        <v>133.44999999999999</v>
      </c>
    </row>
    <row r="330" spans="1:20" x14ac:dyDescent="0.2">
      <c r="A330">
        <v>354</v>
      </c>
      <c r="B330">
        <v>1</v>
      </c>
      <c r="C330" t="s">
        <v>1462</v>
      </c>
      <c r="D330" t="s">
        <v>1463</v>
      </c>
      <c r="E330" t="s">
        <v>1464</v>
      </c>
      <c r="F330" t="s">
        <v>1465</v>
      </c>
      <c r="H330" t="s">
        <v>25</v>
      </c>
      <c r="I330" t="s">
        <v>42</v>
      </c>
      <c r="J330" t="s">
        <v>26</v>
      </c>
      <c r="K330" t="s">
        <v>650</v>
      </c>
      <c r="L330" s="2">
        <v>400486.02470986679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t="s">
        <v>28</v>
      </c>
      <c r="T330" s="4">
        <f t="shared" si="5"/>
        <v>0</v>
      </c>
    </row>
    <row r="331" spans="1:20" x14ac:dyDescent="0.2">
      <c r="A331">
        <v>355</v>
      </c>
      <c r="B331">
        <v>1</v>
      </c>
      <c r="C331" t="s">
        <v>1466</v>
      </c>
      <c r="D331" t="s">
        <v>1467</v>
      </c>
      <c r="E331" t="s">
        <v>1468</v>
      </c>
      <c r="F331" t="s">
        <v>543</v>
      </c>
      <c r="G331" t="s">
        <v>544</v>
      </c>
      <c r="H331" t="s">
        <v>25</v>
      </c>
      <c r="I331" t="s">
        <v>25</v>
      </c>
      <c r="J331" t="s">
        <v>34</v>
      </c>
      <c r="K331" t="s">
        <v>1108</v>
      </c>
      <c r="L331" s="2">
        <v>400486.02470990678</v>
      </c>
      <c r="M331" s="3">
        <v>0.73280476359379865</v>
      </c>
      <c r="N331" s="3">
        <v>0</v>
      </c>
      <c r="O331" s="3">
        <v>5.6813210688277417E-2</v>
      </c>
      <c r="P331" s="3">
        <v>0</v>
      </c>
      <c r="Q331" s="3">
        <v>0.210382025717924</v>
      </c>
      <c r="R331" s="3">
        <v>5.6813210688277417E-2</v>
      </c>
      <c r="S331" t="s">
        <v>28</v>
      </c>
      <c r="T331" s="4">
        <f t="shared" si="5"/>
        <v>84.64</v>
      </c>
    </row>
    <row r="332" spans="1:20" x14ac:dyDescent="0.2">
      <c r="A332">
        <v>356</v>
      </c>
      <c r="B332">
        <v>2</v>
      </c>
      <c r="C332" t="s">
        <v>1469</v>
      </c>
      <c r="D332" t="s">
        <v>1470</v>
      </c>
      <c r="E332" t="s">
        <v>1471</v>
      </c>
      <c r="F332" t="s">
        <v>1472</v>
      </c>
      <c r="G332" t="s">
        <v>1473</v>
      </c>
      <c r="H332" t="s">
        <v>67</v>
      </c>
      <c r="I332" t="s">
        <v>67</v>
      </c>
      <c r="J332" t="s">
        <v>26</v>
      </c>
      <c r="K332" t="s">
        <v>904</v>
      </c>
      <c r="L332" s="2">
        <v>400486.02470990678</v>
      </c>
      <c r="M332" s="3">
        <v>0.25769216493806768</v>
      </c>
      <c r="N332" s="3">
        <v>0</v>
      </c>
      <c r="O332" s="3">
        <v>0.1667180652576854</v>
      </c>
      <c r="P332" s="3">
        <v>1.5482898767457211E-2</v>
      </c>
      <c r="Q332" s="3">
        <v>0.56010687103678958</v>
      </c>
      <c r="R332" s="3">
        <v>0.1822009640251426</v>
      </c>
      <c r="S332" t="s">
        <v>36</v>
      </c>
      <c r="T332" s="4">
        <f t="shared" si="5"/>
        <v>63.76</v>
      </c>
    </row>
    <row r="333" spans="1:20" x14ac:dyDescent="0.2">
      <c r="A333">
        <v>357</v>
      </c>
      <c r="B333">
        <v>1</v>
      </c>
      <c r="C333" t="s">
        <v>1474</v>
      </c>
      <c r="D333" t="s">
        <v>1475</v>
      </c>
      <c r="E333" t="s">
        <v>1476</v>
      </c>
      <c r="H333" t="s">
        <v>67</v>
      </c>
      <c r="I333" t="s">
        <v>67</v>
      </c>
      <c r="J333" t="s">
        <v>26</v>
      </c>
      <c r="K333" t="s">
        <v>775</v>
      </c>
      <c r="L333" s="2">
        <v>400486.02470990678</v>
      </c>
      <c r="M333" s="3">
        <v>7.9443894370851226E-2</v>
      </c>
      <c r="N333" s="3">
        <v>0</v>
      </c>
      <c r="O333" s="3">
        <v>0.16984557654120519</v>
      </c>
      <c r="P333" s="3">
        <v>0.19649588526089981</v>
      </c>
      <c r="Q333" s="3">
        <v>0.55421464382704388</v>
      </c>
      <c r="R333" s="3">
        <v>0.36634146180210497</v>
      </c>
      <c r="S333" t="s">
        <v>69</v>
      </c>
      <c r="T333" s="4">
        <f t="shared" si="5"/>
        <v>100.86</v>
      </c>
    </row>
    <row r="334" spans="1:20" x14ac:dyDescent="0.2">
      <c r="A334">
        <v>358</v>
      </c>
      <c r="B334">
        <v>1</v>
      </c>
      <c r="C334" t="s">
        <v>1477</v>
      </c>
      <c r="D334" t="s">
        <v>1478</v>
      </c>
      <c r="E334" t="s">
        <v>1011</v>
      </c>
      <c r="F334" t="s">
        <v>1479</v>
      </c>
      <c r="G334" t="s">
        <v>1480</v>
      </c>
      <c r="H334" t="s">
        <v>80</v>
      </c>
      <c r="I334" t="s">
        <v>80</v>
      </c>
      <c r="J334" t="s">
        <v>26</v>
      </c>
      <c r="K334" t="s">
        <v>149</v>
      </c>
      <c r="L334" s="2">
        <v>400486.02470990678</v>
      </c>
      <c r="M334" s="3">
        <v>4.2975926086833302E-2</v>
      </c>
      <c r="N334" s="3">
        <v>0</v>
      </c>
      <c r="O334" s="3">
        <v>0.17431720360281289</v>
      </c>
      <c r="P334" s="3">
        <v>3.83903600185526E-3</v>
      </c>
      <c r="Q334" s="3">
        <v>0.7788678343084986</v>
      </c>
      <c r="R334" s="3">
        <v>0.17815623960466809</v>
      </c>
      <c r="S334" t="s">
        <v>36</v>
      </c>
      <c r="T334" s="4">
        <f t="shared" si="5"/>
        <v>40.31</v>
      </c>
    </row>
    <row r="335" spans="1:20" x14ac:dyDescent="0.2">
      <c r="A335">
        <v>359</v>
      </c>
      <c r="B335">
        <v>1</v>
      </c>
      <c r="C335" t="s">
        <v>1481</v>
      </c>
      <c r="D335" t="s">
        <v>1482</v>
      </c>
      <c r="E335" t="s">
        <v>1483</v>
      </c>
      <c r="F335" t="s">
        <v>1484</v>
      </c>
      <c r="G335" t="s">
        <v>1485</v>
      </c>
      <c r="H335" t="s">
        <v>67</v>
      </c>
      <c r="I335" t="s">
        <v>67</v>
      </c>
      <c r="J335" t="s">
        <v>34</v>
      </c>
      <c r="K335" t="s">
        <v>149</v>
      </c>
      <c r="L335" s="2">
        <v>400486.02470990678</v>
      </c>
      <c r="M335" s="3">
        <v>8.9847085623543585E-3</v>
      </c>
      <c r="N335" s="3">
        <v>0</v>
      </c>
      <c r="O335" s="3">
        <v>0.27159875882555301</v>
      </c>
      <c r="P335" s="3">
        <v>0.40184631389947112</v>
      </c>
      <c r="Q335" s="3">
        <v>0.31757021871262148</v>
      </c>
      <c r="R335" s="3">
        <v>0.67344507272502407</v>
      </c>
      <c r="S335" t="s">
        <v>44</v>
      </c>
      <c r="T335" s="4">
        <f t="shared" si="5"/>
        <v>175.77</v>
      </c>
    </row>
    <row r="336" spans="1:20" x14ac:dyDescent="0.2">
      <c r="A336">
        <v>360</v>
      </c>
      <c r="B336">
        <v>1</v>
      </c>
      <c r="C336" t="s">
        <v>1486</v>
      </c>
      <c r="D336" t="s">
        <v>1487</v>
      </c>
      <c r="E336" t="s">
        <v>1488</v>
      </c>
      <c r="F336" t="s">
        <v>410</v>
      </c>
      <c r="G336" t="s">
        <v>411</v>
      </c>
      <c r="H336" t="s">
        <v>25</v>
      </c>
      <c r="I336" t="s">
        <v>25</v>
      </c>
      <c r="J336" t="s">
        <v>26</v>
      </c>
      <c r="K336" t="s">
        <v>1108</v>
      </c>
      <c r="L336" s="2">
        <v>400486.02470990678</v>
      </c>
      <c r="M336" s="3">
        <v>0.90714990036274645</v>
      </c>
      <c r="N336" s="3">
        <v>0</v>
      </c>
      <c r="O336" s="3">
        <v>9.2341051584781994E-2</v>
      </c>
      <c r="P336" s="3">
        <v>5.0904805247635422E-4</v>
      </c>
      <c r="Q336" s="3">
        <v>0</v>
      </c>
      <c r="R336" s="3">
        <v>9.2850099637258349E-2</v>
      </c>
      <c r="S336" t="s">
        <v>28</v>
      </c>
      <c r="T336" s="4">
        <f t="shared" si="5"/>
        <v>109.34</v>
      </c>
    </row>
    <row r="337" spans="1:20" x14ac:dyDescent="0.2">
      <c r="A337">
        <v>361</v>
      </c>
      <c r="B337">
        <v>1</v>
      </c>
      <c r="C337" t="s">
        <v>1489</v>
      </c>
      <c r="D337" t="s">
        <v>1490</v>
      </c>
      <c r="E337" t="s">
        <v>1488</v>
      </c>
      <c r="F337" t="s">
        <v>1491</v>
      </c>
      <c r="G337" t="s">
        <v>1492</v>
      </c>
      <c r="H337" t="s">
        <v>25</v>
      </c>
      <c r="I337" t="s">
        <v>25</v>
      </c>
      <c r="J337" t="s">
        <v>26</v>
      </c>
      <c r="K337" t="s">
        <v>1108</v>
      </c>
      <c r="L337" s="2">
        <v>400486.02470990678</v>
      </c>
      <c r="M337" s="3">
        <v>0.58100075394190598</v>
      </c>
      <c r="N337" s="3">
        <v>0</v>
      </c>
      <c r="O337" s="3">
        <v>6.4902336511023243E-2</v>
      </c>
      <c r="P337" s="3">
        <v>4.2110484185642082E-2</v>
      </c>
      <c r="Q337" s="3">
        <v>0.31198642536142862</v>
      </c>
      <c r="R337" s="3">
        <v>0.1070128206966653</v>
      </c>
      <c r="S337" t="s">
        <v>36</v>
      </c>
      <c r="T337" s="4">
        <f t="shared" si="5"/>
        <v>83.71</v>
      </c>
    </row>
    <row r="338" spans="1:20" x14ac:dyDescent="0.2">
      <c r="A338">
        <v>362</v>
      </c>
      <c r="B338">
        <v>1</v>
      </c>
      <c r="C338" t="s">
        <v>1493</v>
      </c>
      <c r="D338" t="s">
        <v>1494</v>
      </c>
      <c r="E338" t="s">
        <v>1488</v>
      </c>
      <c r="F338" t="s">
        <v>1495</v>
      </c>
      <c r="G338" t="s">
        <v>1496</v>
      </c>
      <c r="H338" t="s">
        <v>25</v>
      </c>
      <c r="I338" t="s">
        <v>25</v>
      </c>
      <c r="J338" t="s">
        <v>26</v>
      </c>
      <c r="K338" t="s">
        <v>1108</v>
      </c>
      <c r="L338" s="2">
        <v>400486.02470990678</v>
      </c>
      <c r="M338" s="3">
        <v>0.99491801762613952</v>
      </c>
      <c r="N338" s="3">
        <v>0</v>
      </c>
      <c r="O338" s="3">
        <v>5.081982373860967E-3</v>
      </c>
      <c r="P338" s="3">
        <v>0</v>
      </c>
      <c r="Q338" s="3">
        <v>0</v>
      </c>
      <c r="R338" s="3">
        <v>5.081982373860967E-3</v>
      </c>
      <c r="S338" t="s">
        <v>28</v>
      </c>
      <c r="T338" s="4">
        <f t="shared" si="5"/>
        <v>100.51</v>
      </c>
    </row>
    <row r="339" spans="1:20" x14ac:dyDescent="0.2">
      <c r="A339">
        <v>363</v>
      </c>
      <c r="B339">
        <v>1</v>
      </c>
      <c r="C339" t="s">
        <v>1497</v>
      </c>
      <c r="D339" t="s">
        <v>1498</v>
      </c>
      <c r="E339" t="s">
        <v>1488</v>
      </c>
      <c r="H339" t="s">
        <v>67</v>
      </c>
      <c r="I339" t="s">
        <v>67</v>
      </c>
      <c r="J339" t="s">
        <v>92</v>
      </c>
      <c r="K339" t="s">
        <v>155</v>
      </c>
      <c r="L339" s="2">
        <v>400486.02470990678</v>
      </c>
      <c r="M339" s="3">
        <v>0.40442937753069907</v>
      </c>
      <c r="N339" s="3">
        <v>0</v>
      </c>
      <c r="O339" s="3">
        <v>0.23382229393649559</v>
      </c>
      <c r="P339" s="3">
        <v>0.30258900491137708</v>
      </c>
      <c r="Q339" s="3">
        <v>5.9159323621428062E-2</v>
      </c>
      <c r="R339" s="3">
        <v>0.53641129884787264</v>
      </c>
      <c r="S339" t="s">
        <v>125</v>
      </c>
      <c r="T339" s="4">
        <f t="shared" si="5"/>
        <v>177.98</v>
      </c>
    </row>
    <row r="340" spans="1:20" x14ac:dyDescent="0.2">
      <c r="A340">
        <v>364</v>
      </c>
      <c r="B340">
        <v>1</v>
      </c>
      <c r="C340" t="s">
        <v>1499</v>
      </c>
      <c r="D340" t="s">
        <v>1500</v>
      </c>
      <c r="E340" t="s">
        <v>1501</v>
      </c>
      <c r="F340" t="s">
        <v>1502</v>
      </c>
      <c r="G340" t="s">
        <v>1503</v>
      </c>
      <c r="H340" t="s">
        <v>67</v>
      </c>
      <c r="I340" t="s">
        <v>67</v>
      </c>
      <c r="J340" t="s">
        <v>92</v>
      </c>
      <c r="K340" t="s">
        <v>771</v>
      </c>
      <c r="L340" s="2">
        <v>400486.02470990678</v>
      </c>
      <c r="M340" s="3">
        <v>0.1613660340486035</v>
      </c>
      <c r="N340" s="3">
        <v>0</v>
      </c>
      <c r="O340" s="3">
        <v>0.27537436927331982</v>
      </c>
      <c r="P340" s="3">
        <v>0.52078187759040551</v>
      </c>
      <c r="Q340" s="3">
        <v>4.2477719087671277E-2</v>
      </c>
      <c r="R340" s="3">
        <v>0.79615624686372533</v>
      </c>
      <c r="S340" t="s">
        <v>44</v>
      </c>
      <c r="T340" s="4">
        <f t="shared" si="5"/>
        <v>227.45</v>
      </c>
    </row>
    <row r="341" spans="1:20" x14ac:dyDescent="0.2">
      <c r="A341">
        <v>365</v>
      </c>
      <c r="B341">
        <v>1</v>
      </c>
      <c r="C341" t="s">
        <v>1504</v>
      </c>
      <c r="D341" t="s">
        <v>1505</v>
      </c>
      <c r="E341" t="s">
        <v>1506</v>
      </c>
      <c r="F341" t="s">
        <v>1507</v>
      </c>
      <c r="G341" t="s">
        <v>1508</v>
      </c>
      <c r="H341" t="s">
        <v>25</v>
      </c>
      <c r="I341" t="s">
        <v>25</v>
      </c>
      <c r="J341" t="s">
        <v>26</v>
      </c>
      <c r="K341" t="s">
        <v>50</v>
      </c>
      <c r="L341" s="2">
        <v>400486.02470986679</v>
      </c>
      <c r="M341" s="3">
        <v>0</v>
      </c>
      <c r="N341" s="3">
        <v>0</v>
      </c>
      <c r="O341" s="3">
        <v>5.0440269769095457E-2</v>
      </c>
      <c r="P341" s="3">
        <v>0</v>
      </c>
      <c r="Q341" s="3">
        <v>0.94955973023090456</v>
      </c>
      <c r="R341" s="3">
        <v>5.0440269769095457E-2</v>
      </c>
      <c r="S341" t="s">
        <v>28</v>
      </c>
      <c r="T341" s="4">
        <f t="shared" si="5"/>
        <v>10.09</v>
      </c>
    </row>
    <row r="342" spans="1:20" x14ac:dyDescent="0.2">
      <c r="A342">
        <v>366</v>
      </c>
      <c r="B342">
        <v>1</v>
      </c>
      <c r="C342" t="s">
        <v>1509</v>
      </c>
      <c r="D342" t="s">
        <v>1510</v>
      </c>
      <c r="E342" t="s">
        <v>1221</v>
      </c>
      <c r="F342" t="s">
        <v>1511</v>
      </c>
      <c r="G342" t="s">
        <v>1512</v>
      </c>
      <c r="H342" t="s">
        <v>25</v>
      </c>
      <c r="I342" t="s">
        <v>25</v>
      </c>
      <c r="J342" t="s">
        <v>26</v>
      </c>
      <c r="K342" t="s">
        <v>50</v>
      </c>
      <c r="L342" s="2">
        <v>400486.02470986679</v>
      </c>
      <c r="M342" s="3">
        <v>0.16792701326331819</v>
      </c>
      <c r="N342" s="3">
        <v>0</v>
      </c>
      <c r="O342" s="3">
        <v>0.16579608682193989</v>
      </c>
      <c r="P342" s="3">
        <v>6.2061143004452202E-2</v>
      </c>
      <c r="Q342" s="3">
        <v>0.60421575691028973</v>
      </c>
      <c r="R342" s="3">
        <v>0.22785722982639209</v>
      </c>
      <c r="S342" t="s">
        <v>69</v>
      </c>
      <c r="T342" s="4">
        <f t="shared" si="5"/>
        <v>68.569999999999993</v>
      </c>
    </row>
    <row r="343" spans="1:20" x14ac:dyDescent="0.2">
      <c r="A343">
        <v>367</v>
      </c>
      <c r="B343">
        <v>1</v>
      </c>
      <c r="C343" t="s">
        <v>1513</v>
      </c>
      <c r="D343" t="s">
        <v>1514</v>
      </c>
      <c r="E343" t="s">
        <v>1515</v>
      </c>
      <c r="H343" t="s">
        <v>67</v>
      </c>
      <c r="I343" t="s">
        <v>67</v>
      </c>
      <c r="J343" t="s">
        <v>26</v>
      </c>
      <c r="K343" t="s">
        <v>679</v>
      </c>
      <c r="L343" s="2">
        <v>400486.02470990678</v>
      </c>
      <c r="M343" s="3">
        <v>2.3185852720763948E-2</v>
      </c>
      <c r="N343" s="3">
        <v>0</v>
      </c>
      <c r="O343" s="3">
        <v>0.24884898019900059</v>
      </c>
      <c r="P343" s="3">
        <v>0.3876312635285048</v>
      </c>
      <c r="Q343" s="3">
        <v>0.34033390355173038</v>
      </c>
      <c r="R343" s="3">
        <v>0.63648024372750533</v>
      </c>
      <c r="S343" t="s">
        <v>44</v>
      </c>
      <c r="T343" s="4">
        <f t="shared" si="5"/>
        <v>168.38</v>
      </c>
    </row>
    <row r="344" spans="1:20" x14ac:dyDescent="0.2">
      <c r="A344">
        <v>368</v>
      </c>
      <c r="B344">
        <v>2</v>
      </c>
      <c r="C344" t="s">
        <v>1516</v>
      </c>
      <c r="D344" t="s">
        <v>1517</v>
      </c>
      <c r="E344" t="s">
        <v>1518</v>
      </c>
      <c r="F344" t="s">
        <v>1519</v>
      </c>
      <c r="G344" t="s">
        <v>1093</v>
      </c>
      <c r="H344" t="s">
        <v>25</v>
      </c>
      <c r="I344" t="s">
        <v>25</v>
      </c>
      <c r="J344" t="s">
        <v>26</v>
      </c>
      <c r="K344" t="s">
        <v>155</v>
      </c>
      <c r="L344" s="2">
        <v>800972.04941981356</v>
      </c>
      <c r="M344" s="3">
        <v>0.90045413271027885</v>
      </c>
      <c r="N344" s="3">
        <v>0</v>
      </c>
      <c r="O344" s="3">
        <v>9.7918196255622911E-2</v>
      </c>
      <c r="P344" s="3">
        <v>0</v>
      </c>
      <c r="Q344" s="3">
        <v>1.627671034098221E-3</v>
      </c>
      <c r="R344" s="3">
        <v>9.7918196255622911E-2</v>
      </c>
      <c r="S344" t="s">
        <v>28</v>
      </c>
      <c r="T344" s="4">
        <f t="shared" si="5"/>
        <v>109.63</v>
      </c>
    </row>
    <row r="345" spans="1:20" x14ac:dyDescent="0.2">
      <c r="A345">
        <v>369</v>
      </c>
      <c r="B345">
        <v>1</v>
      </c>
      <c r="C345" t="s">
        <v>1520</v>
      </c>
      <c r="D345" t="s">
        <v>1521</v>
      </c>
      <c r="E345" t="s">
        <v>1518</v>
      </c>
      <c r="F345" t="s">
        <v>55</v>
      </c>
      <c r="H345" t="s">
        <v>25</v>
      </c>
      <c r="I345" t="s">
        <v>25</v>
      </c>
      <c r="J345" t="s">
        <v>26</v>
      </c>
      <c r="K345" t="s">
        <v>1108</v>
      </c>
      <c r="L345" s="2">
        <v>400486.02470990678</v>
      </c>
      <c r="M345" s="3">
        <v>0.94669682813407363</v>
      </c>
      <c r="N345" s="3">
        <v>0</v>
      </c>
      <c r="O345" s="3">
        <v>5.2383533239598663E-2</v>
      </c>
      <c r="P345" s="3">
        <v>0</v>
      </c>
      <c r="Q345" s="3">
        <v>9.1963862632771232E-4</v>
      </c>
      <c r="R345" s="3">
        <v>5.2383533239598663E-2</v>
      </c>
      <c r="S345" t="s">
        <v>28</v>
      </c>
      <c r="T345" s="4">
        <f t="shared" si="5"/>
        <v>105.15</v>
      </c>
    </row>
    <row r="346" spans="1:20" x14ac:dyDescent="0.2">
      <c r="A346">
        <v>370</v>
      </c>
      <c r="B346">
        <v>1</v>
      </c>
      <c r="C346" t="s">
        <v>1522</v>
      </c>
      <c r="D346" t="s">
        <v>1523</v>
      </c>
      <c r="E346" t="s">
        <v>1518</v>
      </c>
      <c r="F346" t="s">
        <v>1524</v>
      </c>
      <c r="G346" t="s">
        <v>1525</v>
      </c>
      <c r="H346" t="s">
        <v>25</v>
      </c>
      <c r="I346" t="s">
        <v>25</v>
      </c>
      <c r="J346" t="s">
        <v>26</v>
      </c>
      <c r="K346" t="s">
        <v>1108</v>
      </c>
      <c r="L346" s="2">
        <v>400486.02470990678</v>
      </c>
      <c r="M346" s="3">
        <v>0.89375447392782337</v>
      </c>
      <c r="N346" s="3">
        <v>0</v>
      </c>
      <c r="O346" s="3">
        <v>9.5421538614181498E-2</v>
      </c>
      <c r="P346" s="3">
        <v>9.664389294828676E-3</v>
      </c>
      <c r="Q346" s="3">
        <v>1.159598163166464E-3</v>
      </c>
      <c r="R346" s="3">
        <v>0.1050859279090102</v>
      </c>
      <c r="S346" t="s">
        <v>36</v>
      </c>
      <c r="T346" s="4">
        <f t="shared" si="5"/>
        <v>111.36</v>
      </c>
    </row>
    <row r="347" spans="1:20" x14ac:dyDescent="0.2">
      <c r="A347">
        <v>371</v>
      </c>
      <c r="B347">
        <v>1</v>
      </c>
      <c r="C347" t="s">
        <v>1526</v>
      </c>
      <c r="D347" t="s">
        <v>1527</v>
      </c>
      <c r="E347" t="s">
        <v>1518</v>
      </c>
      <c r="F347" t="s">
        <v>1528</v>
      </c>
      <c r="G347" t="s">
        <v>1529</v>
      </c>
      <c r="H347" t="s">
        <v>25</v>
      </c>
      <c r="I347" t="s">
        <v>25</v>
      </c>
      <c r="J347" t="s">
        <v>34</v>
      </c>
      <c r="K347" t="s">
        <v>1108</v>
      </c>
      <c r="L347" s="2">
        <v>400486.02470990678</v>
      </c>
      <c r="M347" s="3">
        <v>0.7976028192709127</v>
      </c>
      <c r="N347" s="3">
        <v>3.0994782529631278E-2</v>
      </c>
      <c r="O347" s="3">
        <v>0.14854873821500059</v>
      </c>
      <c r="P347" s="3">
        <v>2.9546271111247752E-3</v>
      </c>
      <c r="Q347" s="3">
        <v>1.989903287333061E-2</v>
      </c>
      <c r="R347" s="3">
        <v>0.15150336532612529</v>
      </c>
      <c r="S347" t="s">
        <v>36</v>
      </c>
      <c r="T347" s="4">
        <f t="shared" si="5"/>
        <v>110.36</v>
      </c>
    </row>
    <row r="348" spans="1:20" x14ac:dyDescent="0.2">
      <c r="A348">
        <v>372</v>
      </c>
      <c r="B348">
        <v>1</v>
      </c>
      <c r="C348" t="s">
        <v>1530</v>
      </c>
      <c r="D348" t="s">
        <v>1531</v>
      </c>
      <c r="E348" t="s">
        <v>1518</v>
      </c>
      <c r="F348" t="s">
        <v>1532</v>
      </c>
      <c r="G348" t="s">
        <v>1533</v>
      </c>
      <c r="H348" t="s">
        <v>25</v>
      </c>
      <c r="I348" t="s">
        <v>25</v>
      </c>
      <c r="J348" t="s">
        <v>26</v>
      </c>
      <c r="K348" t="s">
        <v>1108</v>
      </c>
      <c r="L348" s="2">
        <v>400486.02470990678</v>
      </c>
      <c r="M348" s="3">
        <v>0.76910186292010763</v>
      </c>
      <c r="N348" s="3">
        <v>0</v>
      </c>
      <c r="O348" s="3">
        <v>0.14741837991259751</v>
      </c>
      <c r="P348" s="3">
        <v>1.7250156302145041E-2</v>
      </c>
      <c r="Q348" s="3">
        <v>6.6229600865149951E-2</v>
      </c>
      <c r="R348" s="3">
        <v>0.16466853621474259</v>
      </c>
      <c r="S348" t="s">
        <v>36</v>
      </c>
      <c r="T348" s="4">
        <f t="shared" si="5"/>
        <v>111.57</v>
      </c>
    </row>
    <row r="349" spans="1:20" x14ac:dyDescent="0.2">
      <c r="A349">
        <v>373</v>
      </c>
      <c r="B349">
        <v>2</v>
      </c>
      <c r="C349" t="s">
        <v>1534</v>
      </c>
      <c r="D349" t="s">
        <v>1535</v>
      </c>
      <c r="E349" t="s">
        <v>1536</v>
      </c>
      <c r="F349" t="s">
        <v>1537</v>
      </c>
      <c r="G349" t="s">
        <v>1538</v>
      </c>
      <c r="H349" t="s">
        <v>67</v>
      </c>
      <c r="I349" t="s">
        <v>67</v>
      </c>
      <c r="J349" t="s">
        <v>34</v>
      </c>
      <c r="K349" t="s">
        <v>585</v>
      </c>
      <c r="L349" s="2">
        <v>800972.04941981356</v>
      </c>
      <c r="M349" s="3">
        <v>0.26238046623739653</v>
      </c>
      <c r="N349" s="3">
        <v>0</v>
      </c>
      <c r="O349" s="3">
        <v>0.1492958545641617</v>
      </c>
      <c r="P349" s="3">
        <v>0.1734238388641916</v>
      </c>
      <c r="Q349" s="3">
        <v>0.41489984033425009</v>
      </c>
      <c r="R349" s="3">
        <v>0.32271969342835333</v>
      </c>
      <c r="S349" t="s">
        <v>69</v>
      </c>
      <c r="T349" s="4">
        <f t="shared" si="5"/>
        <v>108.12</v>
      </c>
    </row>
    <row r="350" spans="1:20" x14ac:dyDescent="0.2">
      <c r="A350">
        <v>374</v>
      </c>
      <c r="B350">
        <v>2</v>
      </c>
      <c r="C350" t="s">
        <v>1539</v>
      </c>
      <c r="D350" t="s">
        <v>1540</v>
      </c>
      <c r="E350" t="s">
        <v>1541</v>
      </c>
      <c r="F350" t="s">
        <v>1542</v>
      </c>
      <c r="G350" t="s">
        <v>1543</v>
      </c>
      <c r="H350" t="s">
        <v>25</v>
      </c>
      <c r="I350" t="s">
        <v>25</v>
      </c>
      <c r="J350" t="s">
        <v>34</v>
      </c>
      <c r="K350" t="s">
        <v>161</v>
      </c>
      <c r="L350" s="2">
        <v>800972.04941981356</v>
      </c>
      <c r="M350" s="3">
        <v>0.68450814572718699</v>
      </c>
      <c r="N350" s="3">
        <v>0</v>
      </c>
      <c r="O350" s="3">
        <v>0.19516132350561299</v>
      </c>
      <c r="P350" s="3">
        <v>3.7829240726143229E-2</v>
      </c>
      <c r="Q350" s="3">
        <v>8.2501290041056774E-2</v>
      </c>
      <c r="R350" s="3">
        <v>0.23299056423175621</v>
      </c>
      <c r="S350" t="s">
        <v>69</v>
      </c>
      <c r="T350" s="4">
        <f t="shared" si="5"/>
        <v>118.83</v>
      </c>
    </row>
    <row r="351" spans="1:20" x14ac:dyDescent="0.2">
      <c r="A351">
        <v>375</v>
      </c>
      <c r="B351">
        <v>1</v>
      </c>
      <c r="C351" t="s">
        <v>1544</v>
      </c>
      <c r="D351" t="s">
        <v>1545</v>
      </c>
      <c r="E351" t="s">
        <v>1078</v>
      </c>
      <c r="F351" t="s">
        <v>1546</v>
      </c>
      <c r="G351" t="s">
        <v>1547</v>
      </c>
      <c r="H351" t="s">
        <v>67</v>
      </c>
      <c r="I351" t="s">
        <v>67</v>
      </c>
      <c r="J351" t="s">
        <v>34</v>
      </c>
      <c r="K351" t="s">
        <v>230</v>
      </c>
      <c r="L351" s="2">
        <v>400486.02470990678</v>
      </c>
      <c r="M351" s="3">
        <v>0.19459854599153231</v>
      </c>
      <c r="N351" s="3">
        <v>0</v>
      </c>
      <c r="O351" s="3">
        <v>0.2468318250080577</v>
      </c>
      <c r="P351" s="3">
        <v>0.36614578989076918</v>
      </c>
      <c r="Q351" s="3">
        <v>0.1924238391096407</v>
      </c>
      <c r="R351" s="3">
        <v>0.61297761489882696</v>
      </c>
      <c r="S351" t="s">
        <v>44</v>
      </c>
      <c r="T351" s="4">
        <f t="shared" si="5"/>
        <v>178.67</v>
      </c>
    </row>
    <row r="352" spans="1:20" x14ac:dyDescent="0.2">
      <c r="A352">
        <v>376</v>
      </c>
      <c r="B352">
        <v>1</v>
      </c>
      <c r="C352" t="s">
        <v>1548</v>
      </c>
      <c r="D352" t="s">
        <v>1549</v>
      </c>
      <c r="E352" t="s">
        <v>1550</v>
      </c>
      <c r="H352" t="s">
        <v>25</v>
      </c>
      <c r="I352" t="s">
        <v>25</v>
      </c>
      <c r="J352" t="s">
        <v>34</v>
      </c>
      <c r="K352" t="s">
        <v>1108</v>
      </c>
      <c r="L352" s="2">
        <v>400486.02470990678</v>
      </c>
      <c r="M352" s="3">
        <v>0.55455431072919725</v>
      </c>
      <c r="N352" s="3">
        <v>0</v>
      </c>
      <c r="O352" s="3">
        <v>0.24683947151429519</v>
      </c>
      <c r="P352" s="3">
        <v>3.0982228627845221E-2</v>
      </c>
      <c r="Q352" s="3">
        <v>0.1676239891286623</v>
      </c>
      <c r="R352" s="3">
        <v>0.27782170014214042</v>
      </c>
      <c r="S352" t="s">
        <v>69</v>
      </c>
      <c r="T352" s="4">
        <f t="shared" si="5"/>
        <v>114.12</v>
      </c>
    </row>
    <row r="353" spans="1:20" x14ac:dyDescent="0.2">
      <c r="A353">
        <v>377</v>
      </c>
      <c r="B353">
        <v>1</v>
      </c>
      <c r="C353" t="s">
        <v>1551</v>
      </c>
      <c r="D353" t="s">
        <v>1552</v>
      </c>
      <c r="E353" t="s">
        <v>1553</v>
      </c>
      <c r="F353" t="s">
        <v>1554</v>
      </c>
      <c r="G353" t="s">
        <v>1555</v>
      </c>
      <c r="H353" t="s">
        <v>25</v>
      </c>
      <c r="I353" t="s">
        <v>25</v>
      </c>
      <c r="J353" t="s">
        <v>26</v>
      </c>
      <c r="K353" t="s">
        <v>62</v>
      </c>
      <c r="L353" s="2">
        <v>400486.02470990678</v>
      </c>
      <c r="M353" s="3">
        <v>0.93060299825641757</v>
      </c>
      <c r="N353" s="3">
        <v>0</v>
      </c>
      <c r="O353" s="3">
        <v>6.1298461852948731E-2</v>
      </c>
      <c r="P353" s="3">
        <v>7.4383718403046005E-4</v>
      </c>
      <c r="Q353" s="3">
        <v>7.3547027066032111E-3</v>
      </c>
      <c r="R353" s="3">
        <v>6.2042299036979193E-2</v>
      </c>
      <c r="S353" t="s">
        <v>28</v>
      </c>
      <c r="T353" s="4">
        <f t="shared" si="5"/>
        <v>105.54</v>
      </c>
    </row>
    <row r="354" spans="1:20" x14ac:dyDescent="0.2">
      <c r="A354">
        <v>378</v>
      </c>
      <c r="B354">
        <v>2</v>
      </c>
      <c r="C354" t="s">
        <v>1556</v>
      </c>
      <c r="D354" t="s">
        <v>1557</v>
      </c>
      <c r="E354" t="s">
        <v>1558</v>
      </c>
      <c r="F354" t="s">
        <v>1559</v>
      </c>
      <c r="G354" t="s">
        <v>1560</v>
      </c>
      <c r="H354" t="s">
        <v>25</v>
      </c>
      <c r="I354" t="s">
        <v>25</v>
      </c>
      <c r="J354" t="s">
        <v>26</v>
      </c>
      <c r="K354" t="s">
        <v>43</v>
      </c>
      <c r="L354" s="2">
        <v>800972.04941981356</v>
      </c>
      <c r="M354" s="3">
        <v>0.80755611513387981</v>
      </c>
      <c r="N354" s="3">
        <v>0</v>
      </c>
      <c r="O354" s="3">
        <v>0.15613710795331481</v>
      </c>
      <c r="P354" s="3">
        <v>8.6221778620679378E-3</v>
      </c>
      <c r="Q354" s="3">
        <v>2.7684599050737391E-2</v>
      </c>
      <c r="R354" s="3">
        <v>0.16475928581538271</v>
      </c>
      <c r="S354" t="s">
        <v>36</v>
      </c>
      <c r="T354" s="4">
        <f t="shared" si="5"/>
        <v>114.57</v>
      </c>
    </row>
    <row r="355" spans="1:20" x14ac:dyDescent="0.2">
      <c r="A355">
        <v>379</v>
      </c>
      <c r="B355">
        <v>1</v>
      </c>
      <c r="C355" t="s">
        <v>1561</v>
      </c>
      <c r="D355" t="s">
        <v>1562</v>
      </c>
      <c r="E355" t="s">
        <v>1563</v>
      </c>
      <c r="H355" t="s">
        <v>25</v>
      </c>
      <c r="I355" t="s">
        <v>25</v>
      </c>
      <c r="J355" t="s">
        <v>34</v>
      </c>
      <c r="K355" t="s">
        <v>705</v>
      </c>
      <c r="L355" s="2">
        <v>400486.02470990678</v>
      </c>
      <c r="M355" s="3">
        <v>0.1048629809300364</v>
      </c>
      <c r="N355" s="3">
        <v>0</v>
      </c>
      <c r="O355" s="3">
        <v>0.21833317063321611</v>
      </c>
      <c r="P355" s="3">
        <v>0.10586106701521</v>
      </c>
      <c r="Q355" s="3">
        <v>0.57094278142153754</v>
      </c>
      <c r="R355" s="3">
        <v>0.32419423764842609</v>
      </c>
      <c r="S355" t="s">
        <v>69</v>
      </c>
      <c r="T355" s="4">
        <f t="shared" si="5"/>
        <v>85.91</v>
      </c>
    </row>
    <row r="356" spans="1:20" x14ac:dyDescent="0.2">
      <c r="A356">
        <v>380</v>
      </c>
      <c r="B356">
        <v>1</v>
      </c>
      <c r="C356" t="s">
        <v>1564</v>
      </c>
      <c r="D356" t="s">
        <v>1565</v>
      </c>
      <c r="E356" t="s">
        <v>1566</v>
      </c>
      <c r="H356" t="s">
        <v>25</v>
      </c>
      <c r="I356" t="s">
        <v>25</v>
      </c>
      <c r="J356" t="s">
        <v>34</v>
      </c>
      <c r="K356" t="s">
        <v>621</v>
      </c>
      <c r="L356" s="2">
        <v>400486.02470990678</v>
      </c>
      <c r="M356" s="3">
        <v>8.4329271921765245E-2</v>
      </c>
      <c r="N356" s="3">
        <v>0</v>
      </c>
      <c r="O356" s="3">
        <v>0.1807160602271804</v>
      </c>
      <c r="P356" s="3">
        <v>0.14225116997613241</v>
      </c>
      <c r="Q356" s="3">
        <v>0.59270349787492194</v>
      </c>
      <c r="R356" s="3">
        <v>0.32296723020331269</v>
      </c>
      <c r="S356" t="s">
        <v>69</v>
      </c>
      <c r="T356" s="4">
        <f t="shared" si="5"/>
        <v>87.25</v>
      </c>
    </row>
    <row r="357" spans="1:20" x14ac:dyDescent="0.2">
      <c r="A357">
        <v>381</v>
      </c>
      <c r="B357">
        <v>1</v>
      </c>
      <c r="C357" t="s">
        <v>1567</v>
      </c>
      <c r="D357" t="s">
        <v>1568</v>
      </c>
      <c r="E357" t="s">
        <v>1569</v>
      </c>
      <c r="F357" t="s">
        <v>1570</v>
      </c>
      <c r="G357" t="s">
        <v>1571</v>
      </c>
      <c r="H357" t="s">
        <v>67</v>
      </c>
      <c r="I357" t="s">
        <v>67</v>
      </c>
      <c r="J357" t="s">
        <v>26</v>
      </c>
      <c r="K357" t="s">
        <v>187</v>
      </c>
      <c r="L357" s="2">
        <v>400486.02470990678</v>
      </c>
      <c r="M357" s="3">
        <v>0</v>
      </c>
      <c r="N357" s="3">
        <v>0</v>
      </c>
      <c r="O357" s="3">
        <v>0.23379161021089559</v>
      </c>
      <c r="P357" s="3">
        <v>0.1213334838162806</v>
      </c>
      <c r="Q357" s="3">
        <v>0.64487490597282382</v>
      </c>
      <c r="R357" s="3">
        <v>0.35512509402717618</v>
      </c>
      <c r="S357" t="s">
        <v>69</v>
      </c>
      <c r="T357" s="4">
        <f t="shared" si="5"/>
        <v>83.16</v>
      </c>
    </row>
    <row r="358" spans="1:20" x14ac:dyDescent="0.2">
      <c r="A358">
        <v>382</v>
      </c>
      <c r="B358">
        <v>6</v>
      </c>
      <c r="C358" t="s">
        <v>1572</v>
      </c>
      <c r="D358" t="s">
        <v>1573</v>
      </c>
      <c r="E358" t="s">
        <v>474</v>
      </c>
      <c r="F358" t="s">
        <v>1011</v>
      </c>
      <c r="G358" t="s">
        <v>1012</v>
      </c>
      <c r="H358" t="s">
        <v>25</v>
      </c>
      <c r="I358" t="s">
        <v>25</v>
      </c>
      <c r="J358" t="s">
        <v>92</v>
      </c>
      <c r="K358" t="s">
        <v>621</v>
      </c>
      <c r="L358" s="2">
        <v>2402916.1482594409</v>
      </c>
      <c r="M358" s="3">
        <v>0.31125397839560848</v>
      </c>
      <c r="N358" s="3">
        <v>0</v>
      </c>
      <c r="O358" s="3">
        <v>0.18038989730510949</v>
      </c>
      <c r="P358" s="3">
        <v>7.4713377423807348E-2</v>
      </c>
      <c r="Q358" s="3">
        <v>0.43364274687547438</v>
      </c>
      <c r="R358" s="3">
        <v>0.25510327472891692</v>
      </c>
      <c r="S358" t="s">
        <v>69</v>
      </c>
      <c r="T358" s="4">
        <f t="shared" si="5"/>
        <v>89.62</v>
      </c>
    </row>
    <row r="359" spans="1:20" x14ac:dyDescent="0.2">
      <c r="A359">
        <v>383</v>
      </c>
      <c r="B359">
        <v>1</v>
      </c>
      <c r="C359" t="s">
        <v>1574</v>
      </c>
      <c r="D359" t="s">
        <v>1575</v>
      </c>
      <c r="E359" t="s">
        <v>1576</v>
      </c>
      <c r="H359" t="s">
        <v>25</v>
      </c>
      <c r="I359" t="s">
        <v>25</v>
      </c>
      <c r="J359" t="s">
        <v>34</v>
      </c>
      <c r="K359" t="s">
        <v>878</v>
      </c>
      <c r="L359" s="2">
        <v>400486.02470990678</v>
      </c>
      <c r="M359" s="3">
        <v>0.2303410697686272</v>
      </c>
      <c r="N359" s="3">
        <v>0</v>
      </c>
      <c r="O359" s="3">
        <v>0.28148067531962567</v>
      </c>
      <c r="P359" s="3">
        <v>0.2050433365725039</v>
      </c>
      <c r="Q359" s="3">
        <v>0.28313491833924331</v>
      </c>
      <c r="R359" s="3">
        <v>0.48652401189212963</v>
      </c>
      <c r="S359" t="s">
        <v>125</v>
      </c>
      <c r="T359" s="4">
        <f t="shared" si="5"/>
        <v>140.84</v>
      </c>
    </row>
    <row r="360" spans="1:20" x14ac:dyDescent="0.2">
      <c r="A360">
        <v>384</v>
      </c>
      <c r="B360">
        <v>1</v>
      </c>
      <c r="C360" t="s">
        <v>1577</v>
      </c>
      <c r="D360" t="s">
        <v>1578</v>
      </c>
      <c r="E360" t="s">
        <v>1579</v>
      </c>
      <c r="F360" t="s">
        <v>1580</v>
      </c>
      <c r="G360" t="s">
        <v>1581</v>
      </c>
      <c r="H360" t="s">
        <v>80</v>
      </c>
      <c r="I360" t="s">
        <v>296</v>
      </c>
      <c r="J360" t="s">
        <v>1582</v>
      </c>
      <c r="K360" t="s">
        <v>118</v>
      </c>
      <c r="L360" s="2">
        <v>400486.02470990678</v>
      </c>
      <c r="M360" s="3">
        <v>0.99999999999999989</v>
      </c>
      <c r="N360" s="3">
        <v>0</v>
      </c>
      <c r="O360" s="3">
        <v>0</v>
      </c>
      <c r="P360" s="3">
        <v>0</v>
      </c>
      <c r="Q360" s="3">
        <v>1.110223024625157E-16</v>
      </c>
      <c r="R360" s="3">
        <v>0</v>
      </c>
      <c r="S360" t="s">
        <v>28</v>
      </c>
      <c r="T360" s="4">
        <f t="shared" si="5"/>
        <v>100</v>
      </c>
    </row>
    <row r="361" spans="1:20" x14ac:dyDescent="0.2">
      <c r="A361">
        <v>385</v>
      </c>
      <c r="B361">
        <v>1</v>
      </c>
      <c r="C361" t="s">
        <v>1583</v>
      </c>
      <c r="D361" t="s">
        <v>1584</v>
      </c>
      <c r="E361" t="s">
        <v>547</v>
      </c>
      <c r="F361" t="s">
        <v>1585</v>
      </c>
      <c r="G361" t="s">
        <v>1586</v>
      </c>
      <c r="H361" t="s">
        <v>25</v>
      </c>
      <c r="I361" t="s">
        <v>25</v>
      </c>
      <c r="J361" t="s">
        <v>26</v>
      </c>
      <c r="K361" t="s">
        <v>86</v>
      </c>
      <c r="L361" s="2">
        <v>400486.02470990678</v>
      </c>
      <c r="M361" s="3">
        <v>7.3242826692812055E-2</v>
      </c>
      <c r="N361" s="3">
        <v>0</v>
      </c>
      <c r="O361" s="3">
        <v>0.2456961204662596</v>
      </c>
      <c r="P361" s="3">
        <v>0.2066746721299875</v>
      </c>
      <c r="Q361" s="3">
        <v>0.47438638071094091</v>
      </c>
      <c r="R361" s="3">
        <v>0.45237079259624707</v>
      </c>
      <c r="S361" t="s">
        <v>125</v>
      </c>
      <c r="T361" s="4">
        <f t="shared" si="5"/>
        <v>118.47</v>
      </c>
    </row>
    <row r="362" spans="1:20" x14ac:dyDescent="0.2">
      <c r="A362">
        <v>386</v>
      </c>
      <c r="B362">
        <v>1</v>
      </c>
      <c r="C362" t="s">
        <v>1587</v>
      </c>
      <c r="D362" t="s">
        <v>1588</v>
      </c>
      <c r="E362" t="s">
        <v>547</v>
      </c>
      <c r="H362" t="s">
        <v>25</v>
      </c>
      <c r="I362" t="s">
        <v>25</v>
      </c>
      <c r="J362" t="s">
        <v>26</v>
      </c>
      <c r="K362" t="s">
        <v>86</v>
      </c>
      <c r="L362" s="2">
        <v>400486.02470990678</v>
      </c>
      <c r="M362" s="3">
        <v>0</v>
      </c>
      <c r="N362" s="3">
        <v>0</v>
      </c>
      <c r="O362" s="3">
        <v>0.30035491380357249</v>
      </c>
      <c r="P362" s="3">
        <v>0.65804388812320769</v>
      </c>
      <c r="Q362" s="3">
        <v>4.1601198073219818E-2</v>
      </c>
      <c r="R362" s="3">
        <v>0.95839880192678018</v>
      </c>
      <c r="S362" t="s">
        <v>44</v>
      </c>
      <c r="T362" s="4">
        <f t="shared" si="5"/>
        <v>257.48</v>
      </c>
    </row>
    <row r="363" spans="1:20" x14ac:dyDescent="0.2">
      <c r="A363">
        <v>387</v>
      </c>
      <c r="B363">
        <v>1</v>
      </c>
      <c r="C363" t="s">
        <v>1589</v>
      </c>
      <c r="D363" t="s">
        <v>1590</v>
      </c>
      <c r="E363" t="s">
        <v>1591</v>
      </c>
      <c r="H363" t="s">
        <v>67</v>
      </c>
      <c r="I363" t="s">
        <v>67</v>
      </c>
      <c r="J363" t="s">
        <v>26</v>
      </c>
      <c r="K363" t="s">
        <v>667</v>
      </c>
      <c r="L363" s="2">
        <v>400486.02470990678</v>
      </c>
      <c r="M363" s="3">
        <v>0</v>
      </c>
      <c r="N363" s="3">
        <v>0</v>
      </c>
      <c r="O363" s="3">
        <v>0.23190172089601169</v>
      </c>
      <c r="P363" s="3">
        <v>2.988975219858277E-2</v>
      </c>
      <c r="Q363" s="3">
        <v>0.7382085269054055</v>
      </c>
      <c r="R363" s="3">
        <v>0.26179147309459438</v>
      </c>
      <c r="S363" t="s">
        <v>69</v>
      </c>
      <c r="T363" s="4">
        <f t="shared" si="5"/>
        <v>55.35</v>
      </c>
    </row>
    <row r="364" spans="1:20" x14ac:dyDescent="0.2">
      <c r="A364">
        <v>388</v>
      </c>
      <c r="B364">
        <v>1</v>
      </c>
      <c r="C364" t="s">
        <v>1592</v>
      </c>
      <c r="D364" t="s">
        <v>1593</v>
      </c>
      <c r="E364" t="s">
        <v>1265</v>
      </c>
      <c r="F364" t="s">
        <v>1594</v>
      </c>
      <c r="G364" t="s">
        <v>1595</v>
      </c>
      <c r="H364" t="s">
        <v>25</v>
      </c>
      <c r="I364" t="s">
        <v>25</v>
      </c>
      <c r="J364" t="s">
        <v>26</v>
      </c>
      <c r="K364" t="s">
        <v>43</v>
      </c>
      <c r="L364" s="2">
        <v>400486.02470990678</v>
      </c>
      <c r="M364" s="3">
        <v>0.9182063820512395</v>
      </c>
      <c r="N364" s="3">
        <v>0</v>
      </c>
      <c r="O364" s="3">
        <v>8.1709119627111831E-2</v>
      </c>
      <c r="P364" s="3">
        <v>8.4498321646081924E-5</v>
      </c>
      <c r="Q364" s="3">
        <v>2.6645352591003761E-15</v>
      </c>
      <c r="R364" s="3">
        <v>8.1793617948757918E-2</v>
      </c>
      <c r="S364" t="s">
        <v>28</v>
      </c>
      <c r="T364" s="4">
        <f t="shared" si="5"/>
        <v>108.19</v>
      </c>
    </row>
    <row r="365" spans="1:20" x14ac:dyDescent="0.2">
      <c r="A365">
        <v>389</v>
      </c>
      <c r="B365">
        <v>1</v>
      </c>
      <c r="C365" t="s">
        <v>1596</v>
      </c>
      <c r="D365" t="s">
        <v>1597</v>
      </c>
      <c r="E365" t="s">
        <v>924</v>
      </c>
      <c r="H365" t="s">
        <v>260</v>
      </c>
      <c r="I365" t="s">
        <v>260</v>
      </c>
      <c r="J365" t="s">
        <v>92</v>
      </c>
      <c r="K365" t="s">
        <v>1598</v>
      </c>
      <c r="L365" s="2">
        <v>400486.02470990678</v>
      </c>
      <c r="M365" s="3">
        <v>0.15312235997109991</v>
      </c>
      <c r="N365" s="3">
        <v>0</v>
      </c>
      <c r="O365" s="3">
        <v>1.9077209784810711E-2</v>
      </c>
      <c r="P365" s="3">
        <v>0</v>
      </c>
      <c r="Q365" s="3">
        <v>0.82780043024408945</v>
      </c>
      <c r="R365" s="3">
        <v>1.9077209784810711E-2</v>
      </c>
      <c r="S365" t="s">
        <v>28</v>
      </c>
      <c r="T365" s="4">
        <f t="shared" si="5"/>
        <v>19.13</v>
      </c>
    </row>
    <row r="366" spans="1:20" x14ac:dyDescent="0.2">
      <c r="A366">
        <v>390</v>
      </c>
      <c r="B366">
        <v>44</v>
      </c>
      <c r="C366" t="s">
        <v>1599</v>
      </c>
      <c r="D366" t="s">
        <v>1600</v>
      </c>
      <c r="E366" t="s">
        <v>441</v>
      </c>
      <c r="F366" t="s">
        <v>1601</v>
      </c>
      <c r="H366" t="s">
        <v>336</v>
      </c>
      <c r="I366" t="s">
        <v>336</v>
      </c>
      <c r="J366" t="s">
        <v>92</v>
      </c>
      <c r="K366" t="s">
        <v>1602</v>
      </c>
      <c r="L366" s="2">
        <v>17621385.087235902</v>
      </c>
      <c r="M366" s="3">
        <v>0.22785512660499679</v>
      </c>
      <c r="N366" s="3">
        <v>9.9089709704967527E-2</v>
      </c>
      <c r="O366" s="3">
        <v>0.1976154520032142</v>
      </c>
      <c r="P366" s="3">
        <v>2.664923453988847E-3</v>
      </c>
      <c r="Q366" s="3">
        <v>0.4727747882328327</v>
      </c>
      <c r="R366" s="3">
        <v>0.20028037545720301</v>
      </c>
      <c r="S366" t="s">
        <v>69</v>
      </c>
      <c r="T366" s="4">
        <f t="shared" si="5"/>
        <v>63.11</v>
      </c>
    </row>
    <row r="367" spans="1:20" x14ac:dyDescent="0.2">
      <c r="A367">
        <v>392</v>
      </c>
      <c r="B367">
        <v>1</v>
      </c>
      <c r="C367" t="s">
        <v>1603</v>
      </c>
      <c r="D367" t="s">
        <v>1604</v>
      </c>
      <c r="E367" t="s">
        <v>1436</v>
      </c>
      <c r="H367" t="s">
        <v>67</v>
      </c>
      <c r="I367" t="s">
        <v>67</v>
      </c>
      <c r="J367" t="s">
        <v>34</v>
      </c>
      <c r="K367" t="s">
        <v>1605</v>
      </c>
      <c r="L367" s="2">
        <v>400486.02470990678</v>
      </c>
      <c r="M367" s="3">
        <v>3.1264836933896097E-2</v>
      </c>
      <c r="N367" s="3">
        <v>0</v>
      </c>
      <c r="O367" s="3">
        <v>0.42873884621195579</v>
      </c>
      <c r="P367" s="3">
        <v>0.40980591661474469</v>
      </c>
      <c r="Q367" s="3">
        <v>0.1301904002394034</v>
      </c>
      <c r="R367" s="3">
        <v>0.83854476282670043</v>
      </c>
      <c r="S367" t="s">
        <v>44</v>
      </c>
      <c r="T367" s="4">
        <f t="shared" si="5"/>
        <v>211.82</v>
      </c>
    </row>
    <row r="368" spans="1:20" x14ac:dyDescent="0.2">
      <c r="A368">
        <v>393</v>
      </c>
      <c r="B368">
        <v>1</v>
      </c>
      <c r="C368" t="s">
        <v>1606</v>
      </c>
      <c r="D368" t="s">
        <v>1607</v>
      </c>
      <c r="E368" t="s">
        <v>1608</v>
      </c>
      <c r="F368" t="s">
        <v>1609</v>
      </c>
      <c r="G368" t="s">
        <v>1610</v>
      </c>
      <c r="H368" t="s">
        <v>25</v>
      </c>
      <c r="I368" t="s">
        <v>25</v>
      </c>
      <c r="J368" t="s">
        <v>92</v>
      </c>
      <c r="K368" t="s">
        <v>1108</v>
      </c>
      <c r="L368" s="2">
        <v>400486.02470990678</v>
      </c>
      <c r="M368" s="3">
        <v>0.66097280722173901</v>
      </c>
      <c r="N368" s="3">
        <v>0</v>
      </c>
      <c r="O368" s="3">
        <v>0.1781391563236745</v>
      </c>
      <c r="P368" s="3">
        <v>0.14771061560853219</v>
      </c>
      <c r="Q368" s="3">
        <v>1.3177420846054329E-2</v>
      </c>
      <c r="R368" s="3">
        <v>0.32584977193220671</v>
      </c>
      <c r="S368" t="s">
        <v>69</v>
      </c>
      <c r="T368" s="4">
        <f t="shared" si="5"/>
        <v>146.04</v>
      </c>
    </row>
    <row r="369" spans="1:20" x14ac:dyDescent="0.2">
      <c r="A369">
        <v>394</v>
      </c>
      <c r="B369">
        <v>19</v>
      </c>
      <c r="C369" t="s">
        <v>1611</v>
      </c>
      <c r="D369" t="s">
        <v>1612</v>
      </c>
      <c r="E369" t="s">
        <v>1613</v>
      </c>
      <c r="F369" t="s">
        <v>1614</v>
      </c>
      <c r="G369" t="s">
        <v>1615</v>
      </c>
      <c r="H369" t="s">
        <v>67</v>
      </c>
      <c r="I369" t="s">
        <v>67</v>
      </c>
      <c r="J369" t="s">
        <v>92</v>
      </c>
      <c r="K369" t="s">
        <v>56</v>
      </c>
      <c r="L369" s="2">
        <v>7609234.4694882277</v>
      </c>
      <c r="M369" s="3">
        <v>2.4850547941896719E-3</v>
      </c>
      <c r="N369" s="3">
        <v>0</v>
      </c>
      <c r="O369" s="3">
        <v>0.1521901334522674</v>
      </c>
      <c r="P369" s="3">
        <v>0.11041443964302711</v>
      </c>
      <c r="Q369" s="3">
        <v>0.73491037211051591</v>
      </c>
      <c r="R369" s="3">
        <v>0.26260457309529461</v>
      </c>
      <c r="S369" t="s">
        <v>69</v>
      </c>
      <c r="T369" s="4">
        <f t="shared" si="5"/>
        <v>63.81</v>
      </c>
    </row>
    <row r="370" spans="1:20" x14ac:dyDescent="0.2">
      <c r="A370">
        <v>396</v>
      </c>
      <c r="B370">
        <v>14</v>
      </c>
      <c r="C370" t="s">
        <v>1616</v>
      </c>
      <c r="D370" t="s">
        <v>1617</v>
      </c>
      <c r="E370" t="s">
        <v>1618</v>
      </c>
      <c r="H370" t="s">
        <v>25</v>
      </c>
      <c r="I370" t="s">
        <v>25</v>
      </c>
      <c r="J370" t="s">
        <v>26</v>
      </c>
      <c r="K370" t="s">
        <v>1619</v>
      </c>
      <c r="L370" s="2">
        <v>5206318.3212282676</v>
      </c>
      <c r="M370" s="3">
        <v>5.5058188625883983E-3</v>
      </c>
      <c r="N370" s="3">
        <v>8.7219255679548427E-2</v>
      </c>
      <c r="O370" s="3">
        <v>0.25806312968082962</v>
      </c>
      <c r="P370" s="3">
        <v>0.29144146159071588</v>
      </c>
      <c r="Q370" s="3">
        <v>0.35777033418631798</v>
      </c>
      <c r="R370" s="3">
        <v>0.54950459127154549</v>
      </c>
      <c r="S370" t="s">
        <v>125</v>
      </c>
      <c r="T370" s="4">
        <f t="shared" si="5"/>
        <v>139.6</v>
      </c>
    </row>
    <row r="371" spans="1:20" x14ac:dyDescent="0.2">
      <c r="A371">
        <v>398</v>
      </c>
      <c r="B371">
        <v>8</v>
      </c>
      <c r="C371" t="s">
        <v>1620</v>
      </c>
      <c r="D371" t="s">
        <v>1621</v>
      </c>
      <c r="E371" t="s">
        <v>1622</v>
      </c>
      <c r="H371" t="s">
        <v>25</v>
      </c>
      <c r="I371" t="s">
        <v>25</v>
      </c>
      <c r="J371" t="s">
        <v>92</v>
      </c>
      <c r="K371" t="s">
        <v>1605</v>
      </c>
      <c r="L371" s="2">
        <v>3203888.1976792542</v>
      </c>
      <c r="M371" s="3">
        <v>3.6416607497994073E-2</v>
      </c>
      <c r="N371" s="3">
        <v>0</v>
      </c>
      <c r="O371" s="3">
        <v>0.21626298633601751</v>
      </c>
      <c r="P371" s="3">
        <v>0.1684622500742271</v>
      </c>
      <c r="Q371" s="3">
        <v>0.57885815609176128</v>
      </c>
      <c r="R371" s="3">
        <v>0.38472523641024459</v>
      </c>
      <c r="S371" t="s">
        <v>69</v>
      </c>
      <c r="T371" s="4">
        <f t="shared" si="5"/>
        <v>97.43</v>
      </c>
    </row>
    <row r="372" spans="1:20" x14ac:dyDescent="0.2">
      <c r="A372">
        <v>399</v>
      </c>
      <c r="B372">
        <v>1</v>
      </c>
      <c r="C372" t="s">
        <v>1623</v>
      </c>
      <c r="D372" t="s">
        <v>1624</v>
      </c>
      <c r="E372" t="s">
        <v>1625</v>
      </c>
      <c r="F372" t="s">
        <v>1626</v>
      </c>
      <c r="G372" t="s">
        <v>1627</v>
      </c>
      <c r="H372" t="s">
        <v>25</v>
      </c>
      <c r="I372" t="s">
        <v>25</v>
      </c>
      <c r="J372" t="s">
        <v>92</v>
      </c>
      <c r="K372" t="s">
        <v>750</v>
      </c>
      <c r="L372" s="2">
        <v>400486.02470986679</v>
      </c>
      <c r="M372" s="3">
        <v>4.9471626160210107E-2</v>
      </c>
      <c r="N372" s="3">
        <v>0</v>
      </c>
      <c r="O372" s="3">
        <v>0.24105623257008349</v>
      </c>
      <c r="P372" s="3">
        <v>0.24882975034678639</v>
      </c>
      <c r="Q372" s="3">
        <v>0.46064239092291992</v>
      </c>
      <c r="R372" s="3">
        <v>0.48988598291686991</v>
      </c>
      <c r="S372" t="s">
        <v>125</v>
      </c>
      <c r="T372" s="4">
        <f t="shared" si="5"/>
        <v>127.81</v>
      </c>
    </row>
    <row r="373" spans="1:20" x14ac:dyDescent="0.2">
      <c r="A373">
        <v>400</v>
      </c>
      <c r="B373">
        <v>1</v>
      </c>
      <c r="C373" t="s">
        <v>1628</v>
      </c>
      <c r="D373" t="s">
        <v>1629</v>
      </c>
      <c r="E373" t="s">
        <v>1625</v>
      </c>
      <c r="F373" t="s">
        <v>1630</v>
      </c>
      <c r="G373" t="s">
        <v>1631</v>
      </c>
      <c r="H373" t="s">
        <v>25</v>
      </c>
      <c r="I373" t="s">
        <v>25</v>
      </c>
      <c r="J373" t="s">
        <v>34</v>
      </c>
      <c r="K373" t="s">
        <v>750</v>
      </c>
      <c r="L373" s="2">
        <v>400486.02470986679</v>
      </c>
      <c r="M373" s="3">
        <v>0.13646189043114521</v>
      </c>
      <c r="N373" s="3">
        <v>0</v>
      </c>
      <c r="O373" s="3">
        <v>0.10955070826026719</v>
      </c>
      <c r="P373" s="3">
        <v>1.6148578688048229E-3</v>
      </c>
      <c r="Q373" s="3">
        <v>0.75237254343978277</v>
      </c>
      <c r="R373" s="3">
        <v>0.111165566129072</v>
      </c>
      <c r="S373" t="s">
        <v>36</v>
      </c>
      <c r="T373" s="4">
        <f t="shared" si="5"/>
        <v>36.04</v>
      </c>
    </row>
    <row r="374" spans="1:20" x14ac:dyDescent="0.2">
      <c r="A374">
        <v>401</v>
      </c>
      <c r="B374">
        <v>1</v>
      </c>
      <c r="C374" t="s">
        <v>1632</v>
      </c>
      <c r="D374" t="s">
        <v>1633</v>
      </c>
      <c r="E374" t="s">
        <v>1634</v>
      </c>
      <c r="F374" t="s">
        <v>1635</v>
      </c>
      <c r="G374" t="s">
        <v>551</v>
      </c>
      <c r="H374" t="s">
        <v>25</v>
      </c>
      <c r="I374" t="s">
        <v>25</v>
      </c>
      <c r="J374" t="s">
        <v>26</v>
      </c>
      <c r="K374" t="s">
        <v>130</v>
      </c>
      <c r="L374" s="2">
        <v>400486.02470986679</v>
      </c>
      <c r="M374" s="3">
        <v>0</v>
      </c>
      <c r="N374" s="3">
        <v>0</v>
      </c>
      <c r="O374" s="3">
        <v>0.1184800605577484</v>
      </c>
      <c r="P374" s="3">
        <v>0</v>
      </c>
      <c r="Q374" s="3">
        <v>0.8815199394422516</v>
      </c>
      <c r="R374" s="3">
        <v>0.1184800605577484</v>
      </c>
      <c r="S374" t="s">
        <v>36</v>
      </c>
      <c r="T374" s="4">
        <f t="shared" si="5"/>
        <v>23.7</v>
      </c>
    </row>
    <row r="375" spans="1:20" x14ac:dyDescent="0.2">
      <c r="A375">
        <v>402</v>
      </c>
      <c r="B375">
        <v>19</v>
      </c>
      <c r="C375" t="s">
        <v>1636</v>
      </c>
      <c r="D375" t="s">
        <v>1637</v>
      </c>
      <c r="E375" t="s">
        <v>1625</v>
      </c>
      <c r="F375" t="s">
        <v>1638</v>
      </c>
      <c r="G375" t="s">
        <v>1639</v>
      </c>
      <c r="H375" t="s">
        <v>67</v>
      </c>
      <c r="I375" t="s">
        <v>67</v>
      </c>
      <c r="J375" t="s">
        <v>92</v>
      </c>
      <c r="K375" t="s">
        <v>266</v>
      </c>
      <c r="L375" s="2">
        <v>7609234.4694874678</v>
      </c>
      <c r="M375" s="3">
        <v>2.19759452345374E-2</v>
      </c>
      <c r="N375" s="3">
        <v>0</v>
      </c>
      <c r="O375" s="3">
        <v>0.12564057146810759</v>
      </c>
      <c r="P375" s="3">
        <v>1.2605232574555919E-2</v>
      </c>
      <c r="Q375" s="3">
        <v>0.83977825072279921</v>
      </c>
      <c r="R375" s="3">
        <v>0.13824580404266351</v>
      </c>
      <c r="S375" t="s">
        <v>36</v>
      </c>
      <c r="T375" s="4">
        <f t="shared" si="5"/>
        <v>31.11</v>
      </c>
    </row>
    <row r="376" spans="1:20" x14ac:dyDescent="0.2">
      <c r="A376">
        <v>405</v>
      </c>
      <c r="B376">
        <v>1</v>
      </c>
      <c r="C376" t="s">
        <v>1640</v>
      </c>
      <c r="D376" t="s">
        <v>1641</v>
      </c>
      <c r="E376" t="s">
        <v>937</v>
      </c>
      <c r="F376" t="s">
        <v>1642</v>
      </c>
      <c r="G376" t="s">
        <v>1643</v>
      </c>
      <c r="H376" t="s">
        <v>25</v>
      </c>
      <c r="I376" t="s">
        <v>25</v>
      </c>
      <c r="J376" t="s">
        <v>26</v>
      </c>
      <c r="K376" t="s">
        <v>27</v>
      </c>
      <c r="L376" s="2">
        <v>400486.02470986679</v>
      </c>
      <c r="M376" s="3">
        <v>0.82697968376033082</v>
      </c>
      <c r="N376" s="3">
        <v>0</v>
      </c>
      <c r="O376" s="3">
        <v>9.5107672838602247E-2</v>
      </c>
      <c r="P376" s="3">
        <v>0</v>
      </c>
      <c r="Q376" s="3">
        <v>7.7912643401066961E-2</v>
      </c>
      <c r="R376" s="3">
        <v>9.5107672838602247E-2</v>
      </c>
      <c r="S376" t="s">
        <v>28</v>
      </c>
      <c r="T376" s="4">
        <f t="shared" si="5"/>
        <v>101.72</v>
      </c>
    </row>
    <row r="377" spans="1:20" x14ac:dyDescent="0.2">
      <c r="A377">
        <v>406</v>
      </c>
      <c r="B377">
        <v>1</v>
      </c>
      <c r="C377" t="s">
        <v>1644</v>
      </c>
      <c r="D377" t="s">
        <v>1645</v>
      </c>
      <c r="E377" t="s">
        <v>1646</v>
      </c>
      <c r="F377" t="s">
        <v>1647</v>
      </c>
      <c r="G377" t="s">
        <v>1648</v>
      </c>
      <c r="H377" t="s">
        <v>25</v>
      </c>
      <c r="I377" t="s">
        <v>25</v>
      </c>
      <c r="J377" t="s">
        <v>34</v>
      </c>
      <c r="K377" t="s">
        <v>210</v>
      </c>
      <c r="L377" s="2">
        <v>400486.02470986679</v>
      </c>
      <c r="M377" s="3">
        <v>0.91832165049947001</v>
      </c>
      <c r="N377" s="3">
        <v>0</v>
      </c>
      <c r="O377" s="3">
        <v>8.1678349500527547E-2</v>
      </c>
      <c r="P377" s="3">
        <v>0</v>
      </c>
      <c r="Q377" s="3">
        <v>2.442490654175344E-15</v>
      </c>
      <c r="R377" s="3">
        <v>8.1678349500527547E-2</v>
      </c>
      <c r="S377" t="s">
        <v>28</v>
      </c>
      <c r="T377" s="4">
        <f t="shared" si="5"/>
        <v>108.17</v>
      </c>
    </row>
    <row r="378" spans="1:20" x14ac:dyDescent="0.2">
      <c r="A378">
        <v>407</v>
      </c>
      <c r="B378">
        <v>1</v>
      </c>
      <c r="C378" t="s">
        <v>1649</v>
      </c>
      <c r="D378" t="s">
        <v>1650</v>
      </c>
      <c r="E378" t="s">
        <v>1400</v>
      </c>
      <c r="F378" t="s">
        <v>1651</v>
      </c>
      <c r="G378" t="s">
        <v>1652</v>
      </c>
      <c r="H378" t="s">
        <v>25</v>
      </c>
      <c r="I378" t="s">
        <v>25</v>
      </c>
      <c r="J378" t="s">
        <v>92</v>
      </c>
      <c r="K378" t="s">
        <v>167</v>
      </c>
      <c r="L378" s="2">
        <v>400486.02470986679</v>
      </c>
      <c r="M378" s="3">
        <v>0.38879788140367122</v>
      </c>
      <c r="N378" s="3">
        <v>0</v>
      </c>
      <c r="O378" s="3">
        <v>8.002663386484235E-2</v>
      </c>
      <c r="P378" s="3">
        <v>0</v>
      </c>
      <c r="Q378" s="3">
        <v>0.53117548473148646</v>
      </c>
      <c r="R378" s="3">
        <v>8.002663386484235E-2</v>
      </c>
      <c r="S378" t="s">
        <v>28</v>
      </c>
      <c r="T378" s="4">
        <f t="shared" si="5"/>
        <v>54.89</v>
      </c>
    </row>
    <row r="379" spans="1:20" x14ac:dyDescent="0.2">
      <c r="A379">
        <v>408</v>
      </c>
      <c r="B379">
        <v>1</v>
      </c>
      <c r="C379" t="s">
        <v>1653</v>
      </c>
      <c r="D379" t="s">
        <v>1654</v>
      </c>
      <c r="E379" t="s">
        <v>953</v>
      </c>
      <c r="F379" t="s">
        <v>991</v>
      </c>
      <c r="G379" t="s">
        <v>1655</v>
      </c>
      <c r="H379" t="s">
        <v>67</v>
      </c>
      <c r="I379" t="s">
        <v>67</v>
      </c>
      <c r="J379" t="s">
        <v>34</v>
      </c>
      <c r="K379" t="s">
        <v>210</v>
      </c>
      <c r="L379" s="2">
        <v>400486.02470986679</v>
      </c>
      <c r="M379" s="3">
        <v>0</v>
      </c>
      <c r="N379" s="3">
        <v>0</v>
      </c>
      <c r="O379" s="3">
        <v>5.9346543155886722E-2</v>
      </c>
      <c r="P379" s="3">
        <v>2.568399559399932E-3</v>
      </c>
      <c r="Q379" s="3">
        <v>0.93808505728471336</v>
      </c>
      <c r="R379" s="3">
        <v>6.191494271528665E-2</v>
      </c>
      <c r="S379" t="s">
        <v>28</v>
      </c>
      <c r="T379" s="4">
        <f t="shared" si="5"/>
        <v>12.64</v>
      </c>
    </row>
    <row r="380" spans="1:20" x14ac:dyDescent="0.2">
      <c r="A380">
        <v>409</v>
      </c>
      <c r="B380">
        <v>1</v>
      </c>
      <c r="C380" t="s">
        <v>1656</v>
      </c>
      <c r="D380" t="s">
        <v>1657</v>
      </c>
      <c r="E380" t="s">
        <v>984</v>
      </c>
      <c r="F380" t="s">
        <v>1658</v>
      </c>
      <c r="G380" t="s">
        <v>1659</v>
      </c>
      <c r="H380" t="s">
        <v>67</v>
      </c>
      <c r="I380" t="s">
        <v>67</v>
      </c>
      <c r="J380" t="s">
        <v>26</v>
      </c>
      <c r="K380" t="s">
        <v>193</v>
      </c>
      <c r="L380" s="2">
        <v>400486.02470986679</v>
      </c>
      <c r="M380" s="3">
        <v>1.122476881997434E-2</v>
      </c>
      <c r="N380" s="3">
        <v>0</v>
      </c>
      <c r="O380" s="3">
        <v>0.1127215125873168</v>
      </c>
      <c r="P380" s="3">
        <v>4.2794667056818211E-2</v>
      </c>
      <c r="Q380" s="3">
        <v>0.83325905153589075</v>
      </c>
      <c r="R380" s="3">
        <v>0.155516179644135</v>
      </c>
      <c r="S380" t="s">
        <v>36</v>
      </c>
      <c r="T380" s="4">
        <f t="shared" si="5"/>
        <v>36.51</v>
      </c>
    </row>
    <row r="381" spans="1:20" x14ac:dyDescent="0.2">
      <c r="A381">
        <v>410</v>
      </c>
      <c r="B381">
        <v>1</v>
      </c>
      <c r="C381" t="s">
        <v>1660</v>
      </c>
      <c r="D381" t="s">
        <v>1661</v>
      </c>
      <c r="E381" t="s">
        <v>1662</v>
      </c>
      <c r="F381" t="s">
        <v>1663</v>
      </c>
      <c r="G381" t="s">
        <v>1664</v>
      </c>
      <c r="H381" t="s">
        <v>25</v>
      </c>
      <c r="I381" t="s">
        <v>25</v>
      </c>
      <c r="J381" t="s">
        <v>34</v>
      </c>
      <c r="K381" t="s">
        <v>1665</v>
      </c>
      <c r="L381" s="2">
        <v>400486.02470986679</v>
      </c>
      <c r="M381" s="3">
        <v>0.27118572620259762</v>
      </c>
      <c r="N381" s="3">
        <v>0</v>
      </c>
      <c r="O381" s="3">
        <v>0.33383476003834989</v>
      </c>
      <c r="P381" s="3">
        <v>0.19461411046448041</v>
      </c>
      <c r="Q381" s="3">
        <v>0.20036540329457209</v>
      </c>
      <c r="R381" s="3">
        <v>0.52844887050283029</v>
      </c>
      <c r="S381" t="s">
        <v>125</v>
      </c>
      <c r="T381" s="4">
        <f t="shared" si="5"/>
        <v>152.27000000000001</v>
      </c>
    </row>
    <row r="382" spans="1:20" x14ac:dyDescent="0.2">
      <c r="A382">
        <v>412</v>
      </c>
      <c r="B382">
        <v>1</v>
      </c>
      <c r="C382" t="s">
        <v>1666</v>
      </c>
      <c r="D382" t="s">
        <v>1667</v>
      </c>
      <c r="E382" t="s">
        <v>1288</v>
      </c>
      <c r="F382" t="s">
        <v>1668</v>
      </c>
      <c r="G382" t="s">
        <v>1669</v>
      </c>
      <c r="H382" t="s">
        <v>25</v>
      </c>
      <c r="I382" t="s">
        <v>25</v>
      </c>
      <c r="J382" t="s">
        <v>26</v>
      </c>
      <c r="K382" t="s">
        <v>650</v>
      </c>
      <c r="L382" s="2">
        <v>400486.02470990678</v>
      </c>
      <c r="M382" s="3">
        <v>8.0627393981659551E-2</v>
      </c>
      <c r="N382" s="3">
        <v>0</v>
      </c>
      <c r="O382" s="3">
        <v>0.19440199223663851</v>
      </c>
      <c r="P382" s="3">
        <v>0.72497061378170036</v>
      </c>
      <c r="Q382" s="3">
        <v>1.554312234475219E-15</v>
      </c>
      <c r="R382" s="3">
        <v>0.91937260601833892</v>
      </c>
      <c r="S382" t="s">
        <v>44</v>
      </c>
      <c r="T382" s="4">
        <f t="shared" si="5"/>
        <v>264.43</v>
      </c>
    </row>
    <row r="383" spans="1:20" x14ac:dyDescent="0.2">
      <c r="A383">
        <v>413</v>
      </c>
      <c r="B383">
        <v>4</v>
      </c>
      <c r="C383" t="s">
        <v>1670</v>
      </c>
      <c r="D383" t="s">
        <v>1671</v>
      </c>
      <c r="E383" t="s">
        <v>1672</v>
      </c>
      <c r="F383" t="s">
        <v>1673</v>
      </c>
      <c r="G383" t="s">
        <v>1674</v>
      </c>
      <c r="H383" t="s">
        <v>67</v>
      </c>
      <c r="I383" t="s">
        <v>67</v>
      </c>
      <c r="J383" t="s">
        <v>34</v>
      </c>
      <c r="K383" t="s">
        <v>1362</v>
      </c>
      <c r="L383" s="2">
        <v>1601944.0988396271</v>
      </c>
      <c r="M383" s="3">
        <v>0.31622792228798668</v>
      </c>
      <c r="N383" s="3">
        <v>0</v>
      </c>
      <c r="O383" s="3">
        <v>0.2127443348580878</v>
      </c>
      <c r="P383" s="3">
        <v>0.21658490616512849</v>
      </c>
      <c r="Q383" s="3">
        <v>0.25444283668879702</v>
      </c>
      <c r="R383" s="3">
        <v>0.42932924102321629</v>
      </c>
      <c r="S383" t="s">
        <v>125</v>
      </c>
      <c r="T383" s="4">
        <f t="shared" si="5"/>
        <v>139.15</v>
      </c>
    </row>
    <row r="384" spans="1:20" x14ac:dyDescent="0.2">
      <c r="A384">
        <v>416</v>
      </c>
      <c r="B384">
        <v>4</v>
      </c>
      <c r="C384" t="s">
        <v>1675</v>
      </c>
      <c r="D384" t="s">
        <v>1676</v>
      </c>
      <c r="E384" t="s">
        <v>39</v>
      </c>
      <c r="F384" t="s">
        <v>1677</v>
      </c>
      <c r="G384" t="s">
        <v>1678</v>
      </c>
      <c r="H384" t="s">
        <v>67</v>
      </c>
      <c r="I384" t="s">
        <v>67</v>
      </c>
      <c r="J384" t="s">
        <v>26</v>
      </c>
      <c r="K384" t="s">
        <v>1679</v>
      </c>
      <c r="L384" s="2">
        <v>1601944.0988394669</v>
      </c>
      <c r="M384" s="3">
        <v>0</v>
      </c>
      <c r="N384" s="3">
        <v>0</v>
      </c>
      <c r="O384" s="3">
        <v>0.3960636319436508</v>
      </c>
      <c r="P384" s="3">
        <v>0.6039363680563421</v>
      </c>
      <c r="Q384" s="3">
        <v>7.1054273576010019E-15</v>
      </c>
      <c r="R384" s="3">
        <v>0.99999999999999289</v>
      </c>
      <c r="S384" t="s">
        <v>44</v>
      </c>
      <c r="T384" s="4">
        <f t="shared" si="5"/>
        <v>260.39</v>
      </c>
    </row>
    <row r="385" spans="1:20" x14ac:dyDescent="0.2">
      <c r="A385">
        <v>417</v>
      </c>
      <c r="B385">
        <v>1</v>
      </c>
      <c r="C385" t="s">
        <v>1680</v>
      </c>
      <c r="D385" t="s">
        <v>1681</v>
      </c>
      <c r="E385" t="s">
        <v>39</v>
      </c>
      <c r="H385" t="s">
        <v>67</v>
      </c>
      <c r="I385" t="s">
        <v>67</v>
      </c>
      <c r="J385" t="s">
        <v>26</v>
      </c>
      <c r="K385" t="s">
        <v>363</v>
      </c>
      <c r="L385" s="2">
        <v>400486.02470986679</v>
      </c>
      <c r="M385" s="3">
        <v>0.24595209675389229</v>
      </c>
      <c r="N385" s="3">
        <v>0</v>
      </c>
      <c r="O385" s="3">
        <v>0.25767631452557949</v>
      </c>
      <c r="P385" s="3">
        <v>0.35696054695254309</v>
      </c>
      <c r="Q385" s="3">
        <v>0.13941104176798499</v>
      </c>
      <c r="R385" s="3">
        <v>0.61463686147812258</v>
      </c>
      <c r="S385" t="s">
        <v>44</v>
      </c>
      <c r="T385" s="4">
        <f t="shared" si="5"/>
        <v>183.22</v>
      </c>
    </row>
    <row r="386" spans="1:20" x14ac:dyDescent="0.2">
      <c r="A386">
        <v>418</v>
      </c>
      <c r="B386">
        <v>1</v>
      </c>
      <c r="C386" t="s">
        <v>1682</v>
      </c>
      <c r="D386" t="s">
        <v>1683</v>
      </c>
      <c r="E386" t="s">
        <v>47</v>
      </c>
      <c r="F386" t="s">
        <v>171</v>
      </c>
      <c r="G386" t="s">
        <v>172</v>
      </c>
      <c r="H386" t="s">
        <v>80</v>
      </c>
      <c r="I386" t="s">
        <v>80</v>
      </c>
      <c r="J386" t="s">
        <v>26</v>
      </c>
      <c r="K386" t="s">
        <v>155</v>
      </c>
      <c r="L386" s="2">
        <v>400486.02470986679</v>
      </c>
      <c r="M386" s="3">
        <v>0</v>
      </c>
      <c r="N386" s="3">
        <v>0</v>
      </c>
      <c r="O386" s="3">
        <v>9.3019317329309736E-2</v>
      </c>
      <c r="P386" s="3">
        <v>4.8121787354383268E-3</v>
      </c>
      <c r="Q386" s="3">
        <v>0.90216850393525205</v>
      </c>
      <c r="R386" s="3">
        <v>9.7831496064748058E-2</v>
      </c>
      <c r="S386" t="s">
        <v>28</v>
      </c>
      <c r="T386" s="4">
        <f t="shared" ref="T386:T440" si="6">ROUND((M386*100*1)+(O386*100*2)+(P386*100*3),2)</f>
        <v>20.05</v>
      </c>
    </row>
    <row r="387" spans="1:20" x14ac:dyDescent="0.2">
      <c r="A387">
        <v>419</v>
      </c>
      <c r="B387">
        <v>13</v>
      </c>
      <c r="C387" t="s">
        <v>1684</v>
      </c>
      <c r="D387" t="s">
        <v>1685</v>
      </c>
      <c r="E387" t="s">
        <v>1686</v>
      </c>
      <c r="H387" t="s">
        <v>67</v>
      </c>
      <c r="I387" t="s">
        <v>67</v>
      </c>
      <c r="J387" t="s">
        <v>34</v>
      </c>
      <c r="K387" t="s">
        <v>204</v>
      </c>
      <c r="L387" s="2">
        <v>5206318.3212282676</v>
      </c>
      <c r="M387" s="3">
        <v>0</v>
      </c>
      <c r="N387" s="3">
        <v>0</v>
      </c>
      <c r="O387" s="3">
        <v>9.3019317329309764E-2</v>
      </c>
      <c r="P387" s="3">
        <v>4.8121787354383268E-3</v>
      </c>
      <c r="Q387" s="3">
        <v>0.90216850393525239</v>
      </c>
      <c r="R387" s="3">
        <v>9.7831496064748086E-2</v>
      </c>
      <c r="S387" t="s">
        <v>28</v>
      </c>
      <c r="T387" s="4">
        <f t="shared" si="6"/>
        <v>20.05</v>
      </c>
    </row>
    <row r="388" spans="1:20" x14ac:dyDescent="0.2">
      <c r="A388">
        <v>420</v>
      </c>
      <c r="B388">
        <v>6</v>
      </c>
      <c r="C388" t="s">
        <v>1687</v>
      </c>
      <c r="D388" t="s">
        <v>1688</v>
      </c>
      <c r="E388" t="s">
        <v>1686</v>
      </c>
      <c r="H388" t="s">
        <v>67</v>
      </c>
      <c r="I388" t="s">
        <v>67</v>
      </c>
      <c r="J388" t="s">
        <v>34</v>
      </c>
      <c r="K388" t="s">
        <v>86</v>
      </c>
      <c r="L388" s="2">
        <v>2402916.1482594409</v>
      </c>
      <c r="M388" s="3">
        <v>2.3987499460452359E-2</v>
      </c>
      <c r="N388" s="3">
        <v>0</v>
      </c>
      <c r="O388" s="3">
        <v>0.34833928104019612</v>
      </c>
      <c r="P388" s="3">
        <v>0.1773984800869898</v>
      </c>
      <c r="Q388" s="3">
        <v>0.45027473941236168</v>
      </c>
      <c r="R388" s="3">
        <v>0.52573776112718584</v>
      </c>
      <c r="S388" t="s">
        <v>125</v>
      </c>
      <c r="T388" s="4">
        <f t="shared" si="6"/>
        <v>125.29</v>
      </c>
    </row>
    <row r="389" spans="1:20" x14ac:dyDescent="0.2">
      <c r="A389">
        <v>421</v>
      </c>
      <c r="B389">
        <v>2</v>
      </c>
      <c r="C389" t="s">
        <v>1689</v>
      </c>
      <c r="D389" t="s">
        <v>1690</v>
      </c>
      <c r="E389" t="s">
        <v>1451</v>
      </c>
      <c r="F389" t="s">
        <v>186</v>
      </c>
      <c r="G389" t="s">
        <v>160</v>
      </c>
      <c r="H389" t="s">
        <v>67</v>
      </c>
      <c r="I389" t="s">
        <v>67</v>
      </c>
      <c r="J389" t="s">
        <v>26</v>
      </c>
      <c r="K389" t="s">
        <v>626</v>
      </c>
      <c r="L389" s="2">
        <v>800972.04941981356</v>
      </c>
      <c r="M389" s="3">
        <v>0.92686233320171008</v>
      </c>
      <c r="N389" s="3">
        <v>0</v>
      </c>
      <c r="O389" s="3">
        <v>1.311765258620546E-2</v>
      </c>
      <c r="P389" s="3">
        <v>0</v>
      </c>
      <c r="Q389" s="3">
        <v>6.0020014212084458E-2</v>
      </c>
      <c r="R389" s="3">
        <v>1.311765258620546E-2</v>
      </c>
      <c r="S389" t="s">
        <v>28</v>
      </c>
      <c r="T389" s="4">
        <f t="shared" si="6"/>
        <v>95.31</v>
      </c>
    </row>
    <row r="390" spans="1:20" x14ac:dyDescent="0.2">
      <c r="A390">
        <v>422</v>
      </c>
      <c r="B390">
        <v>1</v>
      </c>
      <c r="C390" t="s">
        <v>1691</v>
      </c>
      <c r="D390" t="s">
        <v>1692</v>
      </c>
      <c r="E390" t="s">
        <v>801</v>
      </c>
      <c r="F390" t="s">
        <v>1693</v>
      </c>
      <c r="G390" t="s">
        <v>1694</v>
      </c>
      <c r="H390" t="s">
        <v>25</v>
      </c>
      <c r="I390" t="s">
        <v>25</v>
      </c>
      <c r="J390" t="s">
        <v>92</v>
      </c>
      <c r="K390" t="s">
        <v>86</v>
      </c>
      <c r="L390" s="2">
        <v>400486.02470990678</v>
      </c>
      <c r="M390" s="3">
        <v>4.6253279465755401E-2</v>
      </c>
      <c r="N390" s="3">
        <v>0</v>
      </c>
      <c r="O390" s="3">
        <v>0.19327651031386811</v>
      </c>
      <c r="P390" s="3">
        <v>1.8236385276504019E-3</v>
      </c>
      <c r="Q390" s="3">
        <v>0.7586465716927262</v>
      </c>
      <c r="R390" s="3">
        <v>0.19510014884151849</v>
      </c>
      <c r="S390" t="s">
        <v>36</v>
      </c>
      <c r="T390" s="4">
        <f t="shared" si="6"/>
        <v>43.83</v>
      </c>
    </row>
    <row r="391" spans="1:20" x14ac:dyDescent="0.2">
      <c r="A391">
        <v>423</v>
      </c>
      <c r="B391">
        <v>1</v>
      </c>
      <c r="C391" t="s">
        <v>1695</v>
      </c>
      <c r="D391" t="s">
        <v>1696</v>
      </c>
      <c r="E391" t="s">
        <v>801</v>
      </c>
      <c r="F391" t="s">
        <v>1697</v>
      </c>
      <c r="G391" t="s">
        <v>1698</v>
      </c>
      <c r="H391" t="s">
        <v>25</v>
      </c>
      <c r="I391" t="s">
        <v>25</v>
      </c>
      <c r="J391" t="s">
        <v>34</v>
      </c>
      <c r="K391" t="s">
        <v>86</v>
      </c>
      <c r="L391" s="2">
        <v>400486.02470990678</v>
      </c>
      <c r="M391" s="3">
        <v>8.1373697437921347E-2</v>
      </c>
      <c r="N391" s="3">
        <v>0</v>
      </c>
      <c r="O391" s="3">
        <v>0.23523635934311751</v>
      </c>
      <c r="P391" s="3">
        <v>0.1260510897598533</v>
      </c>
      <c r="Q391" s="3">
        <v>0.55733885345910783</v>
      </c>
      <c r="R391" s="3">
        <v>0.36128744910297078</v>
      </c>
      <c r="S391" t="s">
        <v>69</v>
      </c>
      <c r="T391" s="4">
        <f t="shared" si="6"/>
        <v>93</v>
      </c>
    </row>
    <row r="392" spans="1:20" x14ac:dyDescent="0.2">
      <c r="A392">
        <v>424</v>
      </c>
      <c r="B392">
        <v>1</v>
      </c>
      <c r="C392" t="s">
        <v>1699</v>
      </c>
      <c r="D392" t="s">
        <v>1700</v>
      </c>
      <c r="E392" t="s">
        <v>158</v>
      </c>
      <c r="F392" t="s">
        <v>1701</v>
      </c>
      <c r="G392" t="s">
        <v>1702</v>
      </c>
      <c r="H392" t="s">
        <v>25</v>
      </c>
      <c r="I392" t="s">
        <v>25</v>
      </c>
      <c r="J392" t="s">
        <v>34</v>
      </c>
      <c r="K392" t="s">
        <v>161</v>
      </c>
      <c r="L392" s="2">
        <v>400486.02470990678</v>
      </c>
      <c r="M392" s="3">
        <v>0.68608969585761725</v>
      </c>
      <c r="N392" s="3">
        <v>0</v>
      </c>
      <c r="O392" s="3">
        <v>0.1125288897772625</v>
      </c>
      <c r="P392" s="3">
        <v>3.0431750950093209E-2</v>
      </c>
      <c r="Q392" s="3">
        <v>0.17094966341502699</v>
      </c>
      <c r="R392" s="3">
        <v>0.1429606407273557</v>
      </c>
      <c r="S392" t="s">
        <v>36</v>
      </c>
      <c r="T392" s="4">
        <f t="shared" si="6"/>
        <v>100.24</v>
      </c>
    </row>
    <row r="393" spans="1:20" x14ac:dyDescent="0.2">
      <c r="A393">
        <v>425</v>
      </c>
      <c r="B393">
        <v>14</v>
      </c>
      <c r="C393" t="s">
        <v>1703</v>
      </c>
      <c r="D393" t="s">
        <v>1704</v>
      </c>
      <c r="E393" t="s">
        <v>1705</v>
      </c>
      <c r="F393" t="s">
        <v>1706</v>
      </c>
      <c r="H393" t="s">
        <v>67</v>
      </c>
      <c r="I393" t="s">
        <v>67</v>
      </c>
      <c r="J393" t="s">
        <v>26</v>
      </c>
      <c r="K393" t="s">
        <v>266</v>
      </c>
      <c r="L393" s="2">
        <v>5606804.3459386937</v>
      </c>
      <c r="M393" s="3">
        <v>1.20346656705581E-2</v>
      </c>
      <c r="N393" s="3">
        <v>0.47520686609043278</v>
      </c>
      <c r="O393" s="3">
        <v>0.19961600779305999</v>
      </c>
      <c r="P393" s="3">
        <v>0.1331305983593831</v>
      </c>
      <c r="Q393" s="3">
        <v>0.18001186208656639</v>
      </c>
      <c r="R393" s="3">
        <v>0.33274660615244311</v>
      </c>
      <c r="S393" t="s">
        <v>69</v>
      </c>
      <c r="T393" s="4">
        <f t="shared" si="6"/>
        <v>81.069999999999993</v>
      </c>
    </row>
    <row r="394" spans="1:20" x14ac:dyDescent="0.2">
      <c r="A394">
        <v>426</v>
      </c>
      <c r="B394">
        <v>61</v>
      </c>
      <c r="C394" t="s">
        <v>1707</v>
      </c>
      <c r="D394" t="s">
        <v>1708</v>
      </c>
      <c r="E394" t="s">
        <v>1705</v>
      </c>
      <c r="F394" t="s">
        <v>1709</v>
      </c>
      <c r="G394" t="s">
        <v>1710</v>
      </c>
      <c r="H394" t="s">
        <v>67</v>
      </c>
      <c r="I394" t="s">
        <v>67</v>
      </c>
      <c r="J394" t="s">
        <v>92</v>
      </c>
      <c r="K394" t="s">
        <v>240</v>
      </c>
      <c r="L394" s="2">
        <v>24429647.507304311</v>
      </c>
      <c r="M394" s="3">
        <v>0</v>
      </c>
      <c r="N394" s="3">
        <v>0</v>
      </c>
      <c r="O394" s="3">
        <v>0.35078231191973758</v>
      </c>
      <c r="P394" s="3">
        <v>0.24485183304459379</v>
      </c>
      <c r="Q394" s="3">
        <v>0.40436585503566852</v>
      </c>
      <c r="R394" s="3">
        <v>0.59563414496433142</v>
      </c>
      <c r="S394" t="s">
        <v>125</v>
      </c>
      <c r="T394" s="4">
        <f t="shared" si="6"/>
        <v>143.61000000000001</v>
      </c>
    </row>
    <row r="395" spans="1:20" x14ac:dyDescent="0.2">
      <c r="A395">
        <v>427</v>
      </c>
      <c r="B395">
        <v>2</v>
      </c>
      <c r="C395" t="s">
        <v>1711</v>
      </c>
      <c r="D395" t="s">
        <v>1712</v>
      </c>
      <c r="E395" t="s">
        <v>612</v>
      </c>
      <c r="F395" t="s">
        <v>1713</v>
      </c>
      <c r="G395" t="s">
        <v>1714</v>
      </c>
      <c r="H395" t="s">
        <v>67</v>
      </c>
      <c r="I395" t="s">
        <v>67</v>
      </c>
      <c r="J395" t="s">
        <v>92</v>
      </c>
      <c r="K395" t="s">
        <v>56</v>
      </c>
      <c r="L395" s="2">
        <v>800972.04941973358</v>
      </c>
      <c r="M395" s="3">
        <v>5.5267053912465983E-3</v>
      </c>
      <c r="N395" s="3">
        <v>0</v>
      </c>
      <c r="O395" s="3">
        <v>0.42739531842076373</v>
      </c>
      <c r="P395" s="3">
        <v>0.22801153987648201</v>
      </c>
      <c r="Q395" s="3">
        <v>0.33906643631150779</v>
      </c>
      <c r="R395" s="3">
        <v>0.65540685829724565</v>
      </c>
      <c r="S395" t="s">
        <v>44</v>
      </c>
      <c r="T395" s="4">
        <f t="shared" si="6"/>
        <v>154.44</v>
      </c>
    </row>
    <row r="396" spans="1:20" x14ac:dyDescent="0.2">
      <c r="A396">
        <v>428</v>
      </c>
      <c r="B396">
        <v>1</v>
      </c>
      <c r="C396" t="s">
        <v>1715</v>
      </c>
      <c r="D396" t="s">
        <v>1716</v>
      </c>
      <c r="E396" t="s">
        <v>612</v>
      </c>
      <c r="H396" t="s">
        <v>67</v>
      </c>
      <c r="I396" t="s">
        <v>67</v>
      </c>
      <c r="J396" t="s">
        <v>34</v>
      </c>
      <c r="K396" t="s">
        <v>635</v>
      </c>
      <c r="L396" s="2">
        <v>400486.02470986679</v>
      </c>
      <c r="M396" s="3">
        <v>0.1010554751904281</v>
      </c>
      <c r="N396" s="3">
        <v>0</v>
      </c>
      <c r="O396" s="3">
        <v>0.33978508657454648</v>
      </c>
      <c r="P396" s="3">
        <v>0.1623921228508671</v>
      </c>
      <c r="Q396" s="3">
        <v>0.39676731538415833</v>
      </c>
      <c r="R396" s="3">
        <v>0.50217720942541355</v>
      </c>
      <c r="S396" t="s">
        <v>125</v>
      </c>
      <c r="T396" s="4">
        <f t="shared" si="6"/>
        <v>126.78</v>
      </c>
    </row>
    <row r="397" spans="1:20" x14ac:dyDescent="0.2">
      <c r="A397">
        <v>429</v>
      </c>
      <c r="B397">
        <v>1</v>
      </c>
      <c r="C397" t="s">
        <v>1717</v>
      </c>
      <c r="D397" t="s">
        <v>1718</v>
      </c>
      <c r="E397" t="s">
        <v>291</v>
      </c>
      <c r="F397" t="s">
        <v>1719</v>
      </c>
      <c r="G397" t="s">
        <v>1720</v>
      </c>
      <c r="H397" t="s">
        <v>67</v>
      </c>
      <c r="I397" t="s">
        <v>67</v>
      </c>
      <c r="J397" t="s">
        <v>92</v>
      </c>
      <c r="K397" t="s">
        <v>187</v>
      </c>
      <c r="L397" s="2">
        <v>400486.02470986679</v>
      </c>
      <c r="M397" s="3">
        <v>5.8034939032090643E-2</v>
      </c>
      <c r="N397" s="3">
        <v>0</v>
      </c>
      <c r="O397" s="3">
        <v>0.23483975444408581</v>
      </c>
      <c r="P397" s="3">
        <v>0.42004220149090737</v>
      </c>
      <c r="Q397" s="3">
        <v>0.28708310503291612</v>
      </c>
      <c r="R397" s="3">
        <v>0.65488195593499321</v>
      </c>
      <c r="S397" t="s">
        <v>44</v>
      </c>
      <c r="T397" s="4">
        <f t="shared" si="6"/>
        <v>178.78</v>
      </c>
    </row>
    <row r="398" spans="1:20" x14ac:dyDescent="0.2">
      <c r="A398">
        <v>430</v>
      </c>
      <c r="B398">
        <v>2</v>
      </c>
      <c r="C398" t="s">
        <v>1721</v>
      </c>
      <c r="D398" t="s">
        <v>1722</v>
      </c>
      <c r="E398" t="s">
        <v>1723</v>
      </c>
      <c r="F398" t="s">
        <v>1724</v>
      </c>
      <c r="G398" t="s">
        <v>1725</v>
      </c>
      <c r="H398" t="s">
        <v>67</v>
      </c>
      <c r="I398" t="s">
        <v>67</v>
      </c>
      <c r="J398" t="s">
        <v>92</v>
      </c>
      <c r="K398" t="s">
        <v>130</v>
      </c>
      <c r="L398" s="2">
        <v>800972.04941973358</v>
      </c>
      <c r="M398" s="3">
        <v>0.67428179133891541</v>
      </c>
      <c r="N398" s="3">
        <v>0</v>
      </c>
      <c r="O398" s="3">
        <v>0.1080609718202348</v>
      </c>
      <c r="P398" s="3">
        <v>6.6658547870407911E-2</v>
      </c>
      <c r="Q398" s="3">
        <v>0.1509986889704418</v>
      </c>
      <c r="R398" s="3">
        <v>0.1747195196906427</v>
      </c>
      <c r="S398" t="s">
        <v>36</v>
      </c>
      <c r="T398" s="4">
        <f t="shared" si="6"/>
        <v>109.04</v>
      </c>
    </row>
    <row r="399" spans="1:20" x14ac:dyDescent="0.2">
      <c r="A399">
        <v>431</v>
      </c>
      <c r="B399">
        <v>2</v>
      </c>
      <c r="C399" t="s">
        <v>1726</v>
      </c>
      <c r="D399" t="s">
        <v>1727</v>
      </c>
      <c r="E399" t="s">
        <v>1728</v>
      </c>
      <c r="F399" t="s">
        <v>1729</v>
      </c>
      <c r="G399" t="s">
        <v>1730</v>
      </c>
      <c r="H399" t="s">
        <v>67</v>
      </c>
      <c r="I399" t="s">
        <v>67</v>
      </c>
      <c r="J399" t="s">
        <v>92</v>
      </c>
      <c r="K399" t="s">
        <v>1731</v>
      </c>
      <c r="L399" s="2">
        <v>800972.04941973358</v>
      </c>
      <c r="M399" s="3">
        <v>0.83939786024534679</v>
      </c>
      <c r="N399" s="3">
        <v>0</v>
      </c>
      <c r="O399" s="3">
        <v>1.8993368936441601E-2</v>
      </c>
      <c r="P399" s="3">
        <v>0</v>
      </c>
      <c r="Q399" s="3">
        <v>0.14160877081821169</v>
      </c>
      <c r="R399" s="3">
        <v>1.8993368936441601E-2</v>
      </c>
      <c r="S399" t="s">
        <v>28</v>
      </c>
      <c r="T399" s="4">
        <f t="shared" si="6"/>
        <v>87.74</v>
      </c>
    </row>
    <row r="400" spans="1:20" x14ac:dyDescent="0.2">
      <c r="A400">
        <v>432</v>
      </c>
      <c r="B400">
        <v>1</v>
      </c>
      <c r="C400" t="s">
        <v>1732</v>
      </c>
      <c r="D400" t="s">
        <v>1733</v>
      </c>
      <c r="E400" t="s">
        <v>1625</v>
      </c>
      <c r="F400" t="s">
        <v>1734</v>
      </c>
      <c r="G400" t="s">
        <v>1735</v>
      </c>
      <c r="H400" t="s">
        <v>25</v>
      </c>
      <c r="I400" t="s">
        <v>25</v>
      </c>
      <c r="J400" t="s">
        <v>92</v>
      </c>
      <c r="K400" t="s">
        <v>750</v>
      </c>
      <c r="L400" s="2">
        <v>400486.02470986679</v>
      </c>
      <c r="M400" s="3">
        <v>0.30818237186362141</v>
      </c>
      <c r="N400" s="3">
        <v>0</v>
      </c>
      <c r="O400" s="3">
        <v>0.39983728778540129</v>
      </c>
      <c r="P400" s="3">
        <v>3.6987123229049811E-2</v>
      </c>
      <c r="Q400" s="3">
        <v>0.25499321712192752</v>
      </c>
      <c r="R400" s="3">
        <v>0.43682441101445108</v>
      </c>
      <c r="S400" t="s">
        <v>125</v>
      </c>
      <c r="T400" s="4">
        <f t="shared" si="6"/>
        <v>121.88</v>
      </c>
    </row>
    <row r="401" spans="1:20" x14ac:dyDescent="0.2">
      <c r="A401">
        <v>433</v>
      </c>
      <c r="B401">
        <v>1</v>
      </c>
      <c r="C401" t="s">
        <v>1736</v>
      </c>
      <c r="D401" t="s">
        <v>1737</v>
      </c>
      <c r="E401" t="s">
        <v>1625</v>
      </c>
      <c r="F401" t="s">
        <v>1738</v>
      </c>
      <c r="G401" t="s">
        <v>1739</v>
      </c>
      <c r="H401" t="s">
        <v>67</v>
      </c>
      <c r="I401" t="s">
        <v>67</v>
      </c>
      <c r="J401" t="s">
        <v>92</v>
      </c>
      <c r="K401" t="s">
        <v>283</v>
      </c>
      <c r="L401" s="2">
        <v>400486.02470986679</v>
      </c>
      <c r="M401" s="3">
        <v>2.2759222318333308E-3</v>
      </c>
      <c r="N401" s="3">
        <v>0</v>
      </c>
      <c r="O401" s="3">
        <v>0.23805713467991599</v>
      </c>
      <c r="P401" s="3">
        <v>0</v>
      </c>
      <c r="Q401" s="3">
        <v>0.75966694308825056</v>
      </c>
      <c r="R401" s="3">
        <v>0.23805713467991599</v>
      </c>
      <c r="S401" t="s">
        <v>69</v>
      </c>
      <c r="T401" s="4">
        <f t="shared" si="6"/>
        <v>47.84</v>
      </c>
    </row>
    <row r="402" spans="1:20" x14ac:dyDescent="0.2">
      <c r="A402">
        <v>434</v>
      </c>
      <c r="B402">
        <v>1</v>
      </c>
      <c r="C402" t="s">
        <v>1740</v>
      </c>
      <c r="D402" t="s">
        <v>1741</v>
      </c>
      <c r="E402" t="s">
        <v>1625</v>
      </c>
      <c r="F402" t="s">
        <v>1742</v>
      </c>
      <c r="G402" t="s">
        <v>1743</v>
      </c>
      <c r="H402" t="s">
        <v>67</v>
      </c>
      <c r="I402" t="s">
        <v>67</v>
      </c>
      <c r="J402" t="s">
        <v>34</v>
      </c>
      <c r="K402" t="s">
        <v>750</v>
      </c>
      <c r="L402" s="2">
        <v>400486.02470986679</v>
      </c>
      <c r="M402" s="3">
        <v>0</v>
      </c>
      <c r="N402" s="3">
        <v>0</v>
      </c>
      <c r="O402" s="3">
        <v>0.1782018479502791</v>
      </c>
      <c r="P402" s="3">
        <v>1.6093365937012619E-2</v>
      </c>
      <c r="Q402" s="3">
        <v>0.80570478611270824</v>
      </c>
      <c r="R402" s="3">
        <v>0.19429521388729171</v>
      </c>
      <c r="S402" t="s">
        <v>36</v>
      </c>
      <c r="T402" s="4">
        <f t="shared" si="6"/>
        <v>40.47</v>
      </c>
    </row>
    <row r="403" spans="1:20" x14ac:dyDescent="0.2">
      <c r="A403">
        <v>435</v>
      </c>
      <c r="B403">
        <v>1</v>
      </c>
      <c r="C403" t="s">
        <v>1744</v>
      </c>
      <c r="D403" t="s">
        <v>1745</v>
      </c>
      <c r="E403" t="s">
        <v>928</v>
      </c>
      <c r="F403" t="s">
        <v>1746</v>
      </c>
      <c r="G403" t="s">
        <v>1747</v>
      </c>
      <c r="H403" t="s">
        <v>25</v>
      </c>
      <c r="I403" t="s">
        <v>25</v>
      </c>
      <c r="J403" t="s">
        <v>26</v>
      </c>
      <c r="K403" t="s">
        <v>904</v>
      </c>
      <c r="L403" s="2">
        <v>400486.02470986679</v>
      </c>
      <c r="M403" s="3">
        <v>0.12628740436776109</v>
      </c>
      <c r="N403" s="3">
        <v>0</v>
      </c>
      <c r="O403" s="3">
        <v>3.2496015496388267E-2</v>
      </c>
      <c r="P403" s="3">
        <v>0</v>
      </c>
      <c r="Q403" s="3">
        <v>0.84121658013585066</v>
      </c>
      <c r="R403" s="3">
        <v>3.2496015496388267E-2</v>
      </c>
      <c r="S403" t="s">
        <v>28</v>
      </c>
      <c r="T403" s="4">
        <f t="shared" si="6"/>
        <v>19.13</v>
      </c>
    </row>
    <row r="404" spans="1:20" x14ac:dyDescent="0.2">
      <c r="A404">
        <v>436</v>
      </c>
      <c r="B404">
        <v>1</v>
      </c>
      <c r="C404" t="s">
        <v>1748</v>
      </c>
      <c r="D404" t="s">
        <v>1749</v>
      </c>
      <c r="E404" t="s">
        <v>109</v>
      </c>
      <c r="F404" t="s">
        <v>1750</v>
      </c>
      <c r="G404" t="s">
        <v>1751</v>
      </c>
      <c r="H404" t="s">
        <v>25</v>
      </c>
      <c r="I404" t="s">
        <v>1752</v>
      </c>
      <c r="J404" t="s">
        <v>26</v>
      </c>
      <c r="K404" t="s">
        <v>27</v>
      </c>
      <c r="L404" s="2">
        <v>400486.02470986679</v>
      </c>
      <c r="M404" s="3">
        <v>0.61843568599409227</v>
      </c>
      <c r="N404" s="3">
        <v>0</v>
      </c>
      <c r="O404" s="3">
        <v>0</v>
      </c>
      <c r="P404" s="3">
        <v>0</v>
      </c>
      <c r="Q404" s="3">
        <v>0.38156431400590768</v>
      </c>
      <c r="R404" s="3">
        <v>0</v>
      </c>
      <c r="S404" t="s">
        <v>28</v>
      </c>
      <c r="T404" s="4">
        <f t="shared" si="6"/>
        <v>61.84</v>
      </c>
    </row>
    <row r="405" spans="1:20" x14ac:dyDescent="0.2">
      <c r="A405">
        <v>437</v>
      </c>
      <c r="B405">
        <v>6</v>
      </c>
      <c r="C405" t="s">
        <v>1753</v>
      </c>
      <c r="D405" t="s">
        <v>1754</v>
      </c>
      <c r="E405" t="s">
        <v>1054</v>
      </c>
      <c r="F405" t="s">
        <v>1755</v>
      </c>
      <c r="G405" t="s">
        <v>1756</v>
      </c>
      <c r="H405" t="s">
        <v>67</v>
      </c>
      <c r="I405" t="s">
        <v>67</v>
      </c>
      <c r="J405" t="s">
        <v>26</v>
      </c>
      <c r="K405" t="s">
        <v>1057</v>
      </c>
      <c r="L405" s="2">
        <v>2402916.1482592011</v>
      </c>
      <c r="M405" s="3">
        <v>0.66898012040229715</v>
      </c>
      <c r="N405" s="3">
        <v>0</v>
      </c>
      <c r="O405" s="3">
        <v>0.11271076921228999</v>
      </c>
      <c r="P405" s="3">
        <v>4.4030187628370292E-2</v>
      </c>
      <c r="Q405" s="3">
        <v>0.1742789227570426</v>
      </c>
      <c r="R405" s="3">
        <v>0.15674095684066031</v>
      </c>
      <c r="S405" t="s">
        <v>36</v>
      </c>
      <c r="T405" s="4">
        <f t="shared" si="6"/>
        <v>102.65</v>
      </c>
    </row>
    <row r="406" spans="1:20" x14ac:dyDescent="0.2">
      <c r="A406">
        <v>438</v>
      </c>
      <c r="B406">
        <v>1</v>
      </c>
      <c r="C406" t="s">
        <v>1757</v>
      </c>
      <c r="D406" t="s">
        <v>1758</v>
      </c>
      <c r="E406" t="s">
        <v>1054</v>
      </c>
      <c r="F406" t="s">
        <v>1759</v>
      </c>
      <c r="G406" t="s">
        <v>1760</v>
      </c>
      <c r="H406" t="s">
        <v>25</v>
      </c>
      <c r="I406" t="s">
        <v>25</v>
      </c>
      <c r="J406" t="s">
        <v>92</v>
      </c>
      <c r="K406" t="s">
        <v>43</v>
      </c>
      <c r="L406" s="2">
        <v>400486.02470986679</v>
      </c>
      <c r="M406" s="3">
        <v>0.9861945864944589</v>
      </c>
      <c r="N406" s="3">
        <v>0</v>
      </c>
      <c r="O406" s="3">
        <v>1.351216237368502E-2</v>
      </c>
      <c r="P406" s="3">
        <v>0</v>
      </c>
      <c r="Q406" s="3">
        <v>2.9325113185607599E-4</v>
      </c>
      <c r="R406" s="3">
        <v>1.351216237368502E-2</v>
      </c>
      <c r="S406" t="s">
        <v>28</v>
      </c>
      <c r="T406" s="4">
        <f t="shared" si="6"/>
        <v>101.32</v>
      </c>
    </row>
    <row r="407" spans="1:20" x14ac:dyDescent="0.2">
      <c r="A407">
        <v>439</v>
      </c>
      <c r="B407">
        <v>1</v>
      </c>
      <c r="C407" t="s">
        <v>1761</v>
      </c>
      <c r="D407" t="s">
        <v>1762</v>
      </c>
      <c r="E407" t="s">
        <v>77</v>
      </c>
      <c r="F407" t="s">
        <v>1763</v>
      </c>
      <c r="G407" t="s">
        <v>1764</v>
      </c>
      <c r="H407" t="s">
        <v>80</v>
      </c>
      <c r="I407" t="s">
        <v>1765</v>
      </c>
      <c r="J407" t="s">
        <v>92</v>
      </c>
      <c r="K407" t="s">
        <v>118</v>
      </c>
      <c r="L407" s="2">
        <v>400486.02470986679</v>
      </c>
      <c r="M407" s="3">
        <v>0.6233106224479299</v>
      </c>
      <c r="N407" s="3">
        <v>0</v>
      </c>
      <c r="O407" s="3">
        <v>0.17050901497978069</v>
      </c>
      <c r="P407" s="3">
        <v>3.0595661736963799E-2</v>
      </c>
      <c r="Q407" s="3">
        <v>0.1755847008353256</v>
      </c>
      <c r="R407" s="3">
        <v>0.20110467671674451</v>
      </c>
      <c r="S407" t="s">
        <v>69</v>
      </c>
      <c r="T407" s="4">
        <f t="shared" si="6"/>
        <v>105.61</v>
      </c>
    </row>
    <row r="408" spans="1:20" x14ac:dyDescent="0.2">
      <c r="A408">
        <v>440</v>
      </c>
      <c r="B408">
        <v>1</v>
      </c>
      <c r="C408" t="s">
        <v>1766</v>
      </c>
      <c r="D408" t="s">
        <v>1767</v>
      </c>
      <c r="E408" t="s">
        <v>39</v>
      </c>
      <c r="H408" t="s">
        <v>67</v>
      </c>
      <c r="I408" t="s">
        <v>67</v>
      </c>
      <c r="J408" t="s">
        <v>26</v>
      </c>
      <c r="K408" t="s">
        <v>1768</v>
      </c>
      <c r="L408" s="2">
        <v>400486.02470986679</v>
      </c>
      <c r="M408" s="3">
        <v>0</v>
      </c>
      <c r="N408" s="3">
        <v>0</v>
      </c>
      <c r="O408" s="3">
        <v>0.36315496705132883</v>
      </c>
      <c r="P408" s="3">
        <v>0.63684503294871764</v>
      </c>
      <c r="Q408" s="3">
        <v>0</v>
      </c>
      <c r="R408" s="3">
        <v>1.000000000000046</v>
      </c>
      <c r="S408" t="s">
        <v>44</v>
      </c>
      <c r="T408" s="4">
        <f t="shared" si="6"/>
        <v>263.68</v>
      </c>
    </row>
    <row r="409" spans="1:20" x14ac:dyDescent="0.2">
      <c r="A409">
        <v>441</v>
      </c>
      <c r="B409">
        <v>1</v>
      </c>
      <c r="C409" t="s">
        <v>1769</v>
      </c>
      <c r="D409" t="s">
        <v>1770</v>
      </c>
      <c r="E409" t="s">
        <v>39</v>
      </c>
      <c r="H409" t="s">
        <v>67</v>
      </c>
      <c r="I409" t="s">
        <v>67</v>
      </c>
      <c r="J409" t="s">
        <v>34</v>
      </c>
      <c r="K409" t="s">
        <v>1108</v>
      </c>
      <c r="L409" s="2">
        <v>400486.02470986679</v>
      </c>
      <c r="M409" s="3">
        <v>0</v>
      </c>
      <c r="N409" s="3">
        <v>0</v>
      </c>
      <c r="O409" s="3">
        <v>0.37448666711683409</v>
      </c>
      <c r="P409" s="3">
        <v>0.62551333288313893</v>
      </c>
      <c r="Q409" s="3">
        <v>2.6978419498391301E-14</v>
      </c>
      <c r="R409" s="3">
        <v>0.99999999999997313</v>
      </c>
      <c r="S409" t="s">
        <v>44</v>
      </c>
      <c r="T409" s="4">
        <f t="shared" si="6"/>
        <v>262.55</v>
      </c>
    </row>
    <row r="410" spans="1:20" x14ac:dyDescent="0.2">
      <c r="A410">
        <v>442</v>
      </c>
      <c r="B410">
        <v>5</v>
      </c>
      <c r="C410" t="s">
        <v>1771</v>
      </c>
      <c r="D410" t="s">
        <v>1772</v>
      </c>
      <c r="E410" t="s">
        <v>39</v>
      </c>
      <c r="H410" t="s">
        <v>67</v>
      </c>
      <c r="I410" t="s">
        <v>67</v>
      </c>
      <c r="J410" t="s">
        <v>26</v>
      </c>
      <c r="K410" t="s">
        <v>1108</v>
      </c>
      <c r="L410" s="2">
        <v>2002430.123549334</v>
      </c>
      <c r="M410" s="3">
        <v>3.1683889400520221E-2</v>
      </c>
      <c r="N410" s="3">
        <v>0</v>
      </c>
      <c r="O410" s="3">
        <v>0.43695606573501178</v>
      </c>
      <c r="P410" s="3">
        <v>0.51092815068838615</v>
      </c>
      <c r="Q410" s="3">
        <v>2.0431894176081811E-2</v>
      </c>
      <c r="R410" s="3">
        <v>0.94788421642339793</v>
      </c>
      <c r="S410" t="s">
        <v>44</v>
      </c>
      <c r="T410" s="4">
        <f t="shared" si="6"/>
        <v>243.84</v>
      </c>
    </row>
    <row r="411" spans="1:20" x14ac:dyDescent="0.2">
      <c r="A411">
        <v>443</v>
      </c>
      <c r="B411">
        <v>4</v>
      </c>
      <c r="C411" t="s">
        <v>1773</v>
      </c>
      <c r="D411" t="s">
        <v>1774</v>
      </c>
      <c r="E411" t="s">
        <v>39</v>
      </c>
      <c r="H411" t="s">
        <v>67</v>
      </c>
      <c r="I411" t="s">
        <v>67</v>
      </c>
      <c r="J411" t="s">
        <v>26</v>
      </c>
      <c r="K411" t="s">
        <v>1775</v>
      </c>
      <c r="L411" s="2">
        <v>1601944.0988394669</v>
      </c>
      <c r="M411" s="3">
        <v>0</v>
      </c>
      <c r="N411" s="3">
        <v>0</v>
      </c>
      <c r="O411" s="3">
        <v>0.40740330849731188</v>
      </c>
      <c r="P411" s="3">
        <v>0.59259669150262706</v>
      </c>
      <c r="Q411" s="3">
        <v>6.106226635438361E-14</v>
      </c>
      <c r="R411" s="3">
        <v>0.99999999999993894</v>
      </c>
      <c r="S411" t="s">
        <v>44</v>
      </c>
      <c r="T411" s="4">
        <f t="shared" si="6"/>
        <v>259.26</v>
      </c>
    </row>
    <row r="412" spans="1:20" x14ac:dyDescent="0.2">
      <c r="A412">
        <v>444</v>
      </c>
      <c r="B412">
        <v>1</v>
      </c>
      <c r="C412" t="s">
        <v>1776</v>
      </c>
      <c r="D412" t="s">
        <v>1777</v>
      </c>
      <c r="E412" t="s">
        <v>39</v>
      </c>
      <c r="H412" t="s">
        <v>80</v>
      </c>
      <c r="I412" t="s">
        <v>793</v>
      </c>
      <c r="J412" t="s">
        <v>26</v>
      </c>
      <c r="K412" t="s">
        <v>635</v>
      </c>
      <c r="L412" s="2">
        <v>400486.02470986679</v>
      </c>
      <c r="M412" s="3">
        <v>0</v>
      </c>
      <c r="N412" s="3">
        <v>0</v>
      </c>
      <c r="O412" s="3">
        <v>0.39545559516170697</v>
      </c>
      <c r="P412" s="3">
        <v>0.6045444048382983</v>
      </c>
      <c r="Q412" s="3">
        <v>0</v>
      </c>
      <c r="R412" s="3">
        <v>1.0000000000000051</v>
      </c>
      <c r="S412" t="s">
        <v>44</v>
      </c>
      <c r="T412" s="4">
        <f t="shared" si="6"/>
        <v>260.45</v>
      </c>
    </row>
    <row r="413" spans="1:20" x14ac:dyDescent="0.2">
      <c r="A413">
        <v>445</v>
      </c>
      <c r="B413">
        <v>6</v>
      </c>
      <c r="C413" t="s">
        <v>1778</v>
      </c>
      <c r="D413" t="s">
        <v>1779</v>
      </c>
      <c r="E413" t="s">
        <v>39</v>
      </c>
      <c r="H413" t="s">
        <v>67</v>
      </c>
      <c r="I413" t="s">
        <v>67</v>
      </c>
      <c r="J413" t="s">
        <v>26</v>
      </c>
      <c r="K413" t="s">
        <v>635</v>
      </c>
      <c r="L413" s="2">
        <v>2402916.1482592011</v>
      </c>
      <c r="M413" s="3">
        <v>0</v>
      </c>
      <c r="N413" s="3">
        <v>0</v>
      </c>
      <c r="O413" s="3">
        <v>0.4521136988071337</v>
      </c>
      <c r="P413" s="3">
        <v>0.54788630119285142</v>
      </c>
      <c r="Q413" s="3">
        <v>1.5006514549516701E-14</v>
      </c>
      <c r="R413" s="3">
        <v>0.99999999999998512</v>
      </c>
      <c r="S413" t="s">
        <v>44</v>
      </c>
      <c r="T413" s="4">
        <f t="shared" si="6"/>
        <v>254.79</v>
      </c>
    </row>
    <row r="414" spans="1:20" x14ac:dyDescent="0.2">
      <c r="A414">
        <v>446</v>
      </c>
      <c r="B414">
        <v>1</v>
      </c>
      <c r="C414" t="s">
        <v>1780</v>
      </c>
      <c r="D414" t="s">
        <v>1781</v>
      </c>
      <c r="E414" t="s">
        <v>39</v>
      </c>
      <c r="H414" t="s">
        <v>67</v>
      </c>
      <c r="I414" t="s">
        <v>67</v>
      </c>
      <c r="J414" t="s">
        <v>34</v>
      </c>
      <c r="K414" t="s">
        <v>187</v>
      </c>
      <c r="L414" s="2">
        <v>400486.02470986679</v>
      </c>
      <c r="M414" s="3">
        <v>0</v>
      </c>
      <c r="N414" s="3">
        <v>0</v>
      </c>
      <c r="O414" s="3">
        <v>0.44105231637052039</v>
      </c>
      <c r="P414" s="3">
        <v>0.55894768362943426</v>
      </c>
      <c r="Q414" s="3">
        <v>4.5297099404706387E-14</v>
      </c>
      <c r="R414" s="3">
        <v>0.9999999999999547</v>
      </c>
      <c r="S414" t="s">
        <v>44</v>
      </c>
      <c r="T414" s="4">
        <f t="shared" si="6"/>
        <v>255.89</v>
      </c>
    </row>
    <row r="415" spans="1:20" x14ac:dyDescent="0.2">
      <c r="A415">
        <v>447</v>
      </c>
      <c r="B415">
        <v>1</v>
      </c>
      <c r="C415" t="s">
        <v>1782</v>
      </c>
      <c r="D415" t="s">
        <v>1783</v>
      </c>
      <c r="E415" t="s">
        <v>1686</v>
      </c>
      <c r="F415" t="s">
        <v>1784</v>
      </c>
      <c r="G415" t="s">
        <v>1785</v>
      </c>
      <c r="H415" t="s">
        <v>80</v>
      </c>
      <c r="I415" t="s">
        <v>296</v>
      </c>
      <c r="J415" t="s">
        <v>34</v>
      </c>
      <c r="K415" t="s">
        <v>27</v>
      </c>
      <c r="L415" s="2">
        <v>400486.02470990678</v>
      </c>
      <c r="M415" s="3">
        <v>0.50342498556778137</v>
      </c>
      <c r="N415" s="3">
        <v>0</v>
      </c>
      <c r="O415" s="3">
        <v>0.1984331774536218</v>
      </c>
      <c r="P415" s="3">
        <v>4.598139728978469E-2</v>
      </c>
      <c r="Q415" s="3">
        <v>0.25216043968881219</v>
      </c>
      <c r="R415" s="3">
        <v>0.2444145747434065</v>
      </c>
      <c r="S415" t="s">
        <v>69</v>
      </c>
      <c r="T415" s="4">
        <f t="shared" si="6"/>
        <v>103.82</v>
      </c>
    </row>
    <row r="416" spans="1:20" x14ac:dyDescent="0.2">
      <c r="A416">
        <v>448</v>
      </c>
      <c r="B416">
        <v>1</v>
      </c>
      <c r="C416" t="s">
        <v>1786</v>
      </c>
      <c r="D416" t="s">
        <v>1787</v>
      </c>
      <c r="E416" t="s">
        <v>1788</v>
      </c>
      <c r="F416" t="s">
        <v>1789</v>
      </c>
      <c r="G416" t="s">
        <v>1790</v>
      </c>
      <c r="H416" t="s">
        <v>80</v>
      </c>
      <c r="I416" t="s">
        <v>80</v>
      </c>
      <c r="J416" t="s">
        <v>34</v>
      </c>
      <c r="K416" t="s">
        <v>561</v>
      </c>
      <c r="L416" s="2">
        <v>400486.02470990678</v>
      </c>
      <c r="M416" s="3">
        <v>2.954965154785385E-3</v>
      </c>
      <c r="N416" s="3">
        <v>0</v>
      </c>
      <c r="O416" s="3">
        <v>0.38084853470811081</v>
      </c>
      <c r="P416" s="3">
        <v>0.60048699077351242</v>
      </c>
      <c r="Q416" s="3">
        <v>1.5709509363591501E-2</v>
      </c>
      <c r="R416" s="3">
        <v>0.98133552548162317</v>
      </c>
      <c r="S416" t="s">
        <v>44</v>
      </c>
      <c r="T416" s="4">
        <f t="shared" si="6"/>
        <v>256.61</v>
      </c>
    </row>
    <row r="417" spans="1:20" x14ac:dyDescent="0.2">
      <c r="A417">
        <v>449</v>
      </c>
      <c r="B417">
        <v>1</v>
      </c>
      <c r="C417" t="s">
        <v>1791</v>
      </c>
      <c r="D417" t="s">
        <v>1792</v>
      </c>
      <c r="E417" t="s">
        <v>801</v>
      </c>
      <c r="F417" t="s">
        <v>1793</v>
      </c>
      <c r="G417" t="s">
        <v>1794</v>
      </c>
      <c r="H417" t="s">
        <v>25</v>
      </c>
      <c r="I417" t="s">
        <v>25</v>
      </c>
      <c r="J417" t="s">
        <v>92</v>
      </c>
      <c r="K417" t="s">
        <v>86</v>
      </c>
      <c r="L417" s="2">
        <v>400486.02470990678</v>
      </c>
      <c r="M417" s="3">
        <v>5.6901391136304053E-4</v>
      </c>
      <c r="N417" s="3">
        <v>0</v>
      </c>
      <c r="O417" s="3">
        <v>0.22129301147909189</v>
      </c>
      <c r="P417" s="3">
        <v>3.217296261581605E-2</v>
      </c>
      <c r="Q417" s="3">
        <v>0.745965011993729</v>
      </c>
      <c r="R417" s="3">
        <v>0.25346597409490801</v>
      </c>
      <c r="S417" t="s">
        <v>69</v>
      </c>
      <c r="T417" s="4">
        <f t="shared" si="6"/>
        <v>53.97</v>
      </c>
    </row>
    <row r="418" spans="1:20" x14ac:dyDescent="0.2">
      <c r="A418">
        <v>450</v>
      </c>
      <c r="B418">
        <v>1</v>
      </c>
      <c r="C418" t="s">
        <v>1795</v>
      </c>
      <c r="D418" t="s">
        <v>1796</v>
      </c>
      <c r="E418" t="s">
        <v>801</v>
      </c>
      <c r="F418" t="s">
        <v>1797</v>
      </c>
      <c r="G418" t="s">
        <v>1798</v>
      </c>
      <c r="H418" t="s">
        <v>336</v>
      </c>
      <c r="I418" t="s">
        <v>336</v>
      </c>
      <c r="J418" t="s">
        <v>92</v>
      </c>
      <c r="K418" t="s">
        <v>891</v>
      </c>
      <c r="L418" s="2">
        <v>400486.02470990678</v>
      </c>
      <c r="M418" s="3">
        <v>1.4954522079432171E-3</v>
      </c>
      <c r="N418" s="3">
        <v>0</v>
      </c>
      <c r="O418" s="3">
        <v>0.26614707396405568</v>
      </c>
      <c r="P418" s="3">
        <v>8.728631632313702E-2</v>
      </c>
      <c r="Q418" s="3">
        <v>0.64507115750486399</v>
      </c>
      <c r="R418" s="3">
        <v>0.35343339028719267</v>
      </c>
      <c r="S418" t="s">
        <v>69</v>
      </c>
      <c r="T418" s="4">
        <f t="shared" si="6"/>
        <v>79.56</v>
      </c>
    </row>
    <row r="419" spans="1:20" x14ac:dyDescent="0.2">
      <c r="A419">
        <v>451</v>
      </c>
      <c r="B419">
        <v>5</v>
      </c>
      <c r="C419" t="s">
        <v>1799</v>
      </c>
      <c r="D419" t="s">
        <v>1800</v>
      </c>
      <c r="E419" t="s">
        <v>830</v>
      </c>
      <c r="F419" t="s">
        <v>1801</v>
      </c>
      <c r="G419" t="s">
        <v>1802</v>
      </c>
      <c r="H419" t="s">
        <v>67</v>
      </c>
      <c r="I419" t="s">
        <v>67</v>
      </c>
      <c r="J419" t="s">
        <v>34</v>
      </c>
      <c r="K419" t="s">
        <v>43</v>
      </c>
      <c r="L419" s="2">
        <v>2002430.123549534</v>
      </c>
      <c r="M419" s="3">
        <v>0.23773074175996251</v>
      </c>
      <c r="N419" s="3">
        <v>0.1303644763804887</v>
      </c>
      <c r="O419" s="3">
        <v>0.20802785873087931</v>
      </c>
      <c r="P419" s="3">
        <v>0.13383213773461011</v>
      </c>
      <c r="Q419" s="3">
        <v>0.29004478539405948</v>
      </c>
      <c r="R419" s="3">
        <v>0.34185999646548942</v>
      </c>
      <c r="S419" t="s">
        <v>69</v>
      </c>
      <c r="T419" s="4">
        <f t="shared" si="6"/>
        <v>105.53</v>
      </c>
    </row>
    <row r="420" spans="1:20" x14ac:dyDescent="0.2">
      <c r="A420">
        <v>452</v>
      </c>
      <c r="B420">
        <v>1</v>
      </c>
      <c r="C420" t="s">
        <v>1803</v>
      </c>
      <c r="D420" t="s">
        <v>1804</v>
      </c>
      <c r="E420" t="s">
        <v>830</v>
      </c>
      <c r="F420" t="s">
        <v>1805</v>
      </c>
      <c r="G420" t="s">
        <v>1806</v>
      </c>
      <c r="H420" t="s">
        <v>67</v>
      </c>
      <c r="I420" t="s">
        <v>67</v>
      </c>
      <c r="J420" t="s">
        <v>26</v>
      </c>
      <c r="K420" t="s">
        <v>667</v>
      </c>
      <c r="L420" s="2">
        <v>400486.02470990678</v>
      </c>
      <c r="M420" s="3">
        <v>0.1569343858125917</v>
      </c>
      <c r="N420" s="3">
        <v>0.1491999012367515</v>
      </c>
      <c r="O420" s="3">
        <v>0.22404623740530541</v>
      </c>
      <c r="P420" s="3">
        <v>3.4426347811351121E-2</v>
      </c>
      <c r="Q420" s="3">
        <v>0.43539312773400018</v>
      </c>
      <c r="R420" s="3">
        <v>0.2584725852166565</v>
      </c>
      <c r="S420" t="s">
        <v>69</v>
      </c>
      <c r="T420" s="4">
        <f t="shared" si="6"/>
        <v>70.83</v>
      </c>
    </row>
    <row r="421" spans="1:20" x14ac:dyDescent="0.2">
      <c r="A421">
        <v>455</v>
      </c>
      <c r="B421">
        <v>1</v>
      </c>
      <c r="C421" t="s">
        <v>1807</v>
      </c>
      <c r="D421" t="s">
        <v>1808</v>
      </c>
      <c r="E421" t="s">
        <v>1358</v>
      </c>
      <c r="H421" t="s">
        <v>67</v>
      </c>
      <c r="I421" t="s">
        <v>67</v>
      </c>
      <c r="J421" t="s">
        <v>26</v>
      </c>
      <c r="K421" t="s">
        <v>621</v>
      </c>
      <c r="L421" s="2">
        <v>400486.02470986679</v>
      </c>
      <c r="M421" s="3">
        <v>0.85218501567119165</v>
      </c>
      <c r="N421" s="3">
        <v>0</v>
      </c>
      <c r="O421" s="3">
        <v>7.6088948394023567E-2</v>
      </c>
      <c r="P421" s="3">
        <v>1.7396660231752251E-2</v>
      </c>
      <c r="Q421" s="3">
        <v>5.4329375703032527E-2</v>
      </c>
      <c r="R421" s="3">
        <v>9.3485608625775818E-2</v>
      </c>
      <c r="S421" t="s">
        <v>28</v>
      </c>
      <c r="T421" s="4">
        <f t="shared" si="6"/>
        <v>105.66</v>
      </c>
    </row>
    <row r="422" spans="1:20" x14ac:dyDescent="0.2">
      <c r="A422">
        <v>456</v>
      </c>
      <c r="B422">
        <v>1</v>
      </c>
      <c r="C422" t="s">
        <v>1809</v>
      </c>
      <c r="D422" t="s">
        <v>1810</v>
      </c>
      <c r="E422" t="s">
        <v>109</v>
      </c>
      <c r="F422" t="s">
        <v>1811</v>
      </c>
      <c r="G422" t="s">
        <v>1812</v>
      </c>
      <c r="H422" t="s">
        <v>25</v>
      </c>
      <c r="I422" t="s">
        <v>25</v>
      </c>
      <c r="J422" t="s">
        <v>26</v>
      </c>
      <c r="K422" t="s">
        <v>187</v>
      </c>
      <c r="L422" s="2">
        <v>400486.02470986679</v>
      </c>
      <c r="M422" s="3">
        <v>0.52596740041950463</v>
      </c>
      <c r="N422" s="3">
        <v>0</v>
      </c>
      <c r="O422" s="3">
        <v>0</v>
      </c>
      <c r="P422" s="3">
        <v>0</v>
      </c>
      <c r="Q422" s="3">
        <v>0.47403259958049537</v>
      </c>
      <c r="R422" s="3">
        <v>0</v>
      </c>
      <c r="S422" t="s">
        <v>28</v>
      </c>
      <c r="T422" s="4">
        <f t="shared" si="6"/>
        <v>52.6</v>
      </c>
    </row>
    <row r="423" spans="1:20" x14ac:dyDescent="0.2">
      <c r="A423">
        <v>457</v>
      </c>
      <c r="B423">
        <v>15</v>
      </c>
      <c r="C423" t="s">
        <v>1813</v>
      </c>
      <c r="D423" t="s">
        <v>1814</v>
      </c>
      <c r="E423" t="s">
        <v>1365</v>
      </c>
      <c r="F423" t="s">
        <v>1815</v>
      </c>
      <c r="G423" t="s">
        <v>1816</v>
      </c>
      <c r="H423" t="s">
        <v>67</v>
      </c>
      <c r="I423" t="s">
        <v>67</v>
      </c>
      <c r="J423" t="s">
        <v>26</v>
      </c>
      <c r="K423" t="s">
        <v>1817</v>
      </c>
      <c r="L423" s="2">
        <v>6007290.3706480004</v>
      </c>
      <c r="M423" s="3">
        <v>0.90469393776439277</v>
      </c>
      <c r="N423" s="3">
        <v>0</v>
      </c>
      <c r="O423" s="3">
        <v>6.2584372046214087E-2</v>
      </c>
      <c r="P423" s="3">
        <v>0</v>
      </c>
      <c r="Q423" s="3">
        <v>3.2721690189393443E-2</v>
      </c>
      <c r="R423" s="3">
        <v>6.2584372046214087E-2</v>
      </c>
      <c r="S423" t="s">
        <v>28</v>
      </c>
      <c r="T423" s="4">
        <f t="shared" si="6"/>
        <v>102.99</v>
      </c>
    </row>
    <row r="424" spans="1:20" x14ac:dyDescent="0.2">
      <c r="A424">
        <v>458</v>
      </c>
      <c r="B424">
        <v>1</v>
      </c>
      <c r="C424" t="s">
        <v>1818</v>
      </c>
      <c r="D424" t="s">
        <v>1819</v>
      </c>
      <c r="E424" t="s">
        <v>1820</v>
      </c>
      <c r="H424" t="s">
        <v>25</v>
      </c>
      <c r="I424" t="s">
        <v>25</v>
      </c>
      <c r="J424" t="s">
        <v>92</v>
      </c>
      <c r="K424" t="s">
        <v>561</v>
      </c>
      <c r="L424" s="2">
        <v>400486.02470986679</v>
      </c>
      <c r="M424" s="3">
        <v>0</v>
      </c>
      <c r="N424" s="3">
        <v>0</v>
      </c>
      <c r="O424" s="3">
        <v>0.22744460151617149</v>
      </c>
      <c r="P424" s="3">
        <v>0.22381021902064319</v>
      </c>
      <c r="Q424" s="3">
        <v>0.54874517946318535</v>
      </c>
      <c r="R424" s="3">
        <v>0.4512548205368147</v>
      </c>
      <c r="S424" t="s">
        <v>125</v>
      </c>
      <c r="T424" s="4">
        <f t="shared" si="6"/>
        <v>112.63</v>
      </c>
    </row>
    <row r="425" spans="1:20" x14ac:dyDescent="0.2">
      <c r="A425">
        <v>459</v>
      </c>
      <c r="B425">
        <v>1</v>
      </c>
      <c r="C425" t="s">
        <v>1821</v>
      </c>
      <c r="D425" t="s">
        <v>1822</v>
      </c>
      <c r="E425" t="s">
        <v>22</v>
      </c>
      <c r="H425" t="s">
        <v>67</v>
      </c>
      <c r="I425" t="s">
        <v>67</v>
      </c>
      <c r="J425" t="s">
        <v>26</v>
      </c>
      <c r="K425" t="s">
        <v>771</v>
      </c>
      <c r="L425" s="2">
        <v>400486.02470986679</v>
      </c>
      <c r="M425" s="3">
        <v>4.2884277418901787E-2</v>
      </c>
      <c r="N425" s="3">
        <v>0</v>
      </c>
      <c r="O425" s="3">
        <v>0.22402403186093231</v>
      </c>
      <c r="P425" s="3">
        <v>0.40545789012879352</v>
      </c>
      <c r="Q425" s="3">
        <v>0.32763380059137243</v>
      </c>
      <c r="R425" s="3">
        <v>0.62948192198972575</v>
      </c>
      <c r="S425" t="s">
        <v>44</v>
      </c>
      <c r="T425" s="4">
        <f t="shared" si="6"/>
        <v>170.73</v>
      </c>
    </row>
    <row r="426" spans="1:20" x14ac:dyDescent="0.2">
      <c r="A426">
        <v>460</v>
      </c>
      <c r="B426">
        <v>1</v>
      </c>
      <c r="C426" t="s">
        <v>1823</v>
      </c>
      <c r="D426" t="s">
        <v>1824</v>
      </c>
      <c r="E426" t="s">
        <v>1019</v>
      </c>
      <c r="F426" t="s">
        <v>1825</v>
      </c>
      <c r="G426" t="s">
        <v>1826</v>
      </c>
      <c r="H426" t="s">
        <v>25</v>
      </c>
      <c r="I426" t="s">
        <v>25</v>
      </c>
      <c r="J426" t="s">
        <v>92</v>
      </c>
      <c r="K426" t="s">
        <v>210</v>
      </c>
      <c r="L426" s="2">
        <v>400486.02470986679</v>
      </c>
      <c r="M426" s="3">
        <v>0.95269320523316225</v>
      </c>
      <c r="N426" s="3">
        <v>0</v>
      </c>
      <c r="O426" s="3">
        <v>4.7306794766847189E-2</v>
      </c>
      <c r="P426" s="3">
        <v>0</v>
      </c>
      <c r="Q426" s="3">
        <v>0</v>
      </c>
      <c r="R426" s="3">
        <v>4.7306794766847189E-2</v>
      </c>
      <c r="S426" t="s">
        <v>28</v>
      </c>
      <c r="T426" s="4">
        <f t="shared" si="6"/>
        <v>104.73</v>
      </c>
    </row>
    <row r="427" spans="1:20" x14ac:dyDescent="0.2">
      <c r="A427">
        <v>461</v>
      </c>
      <c r="B427">
        <v>1</v>
      </c>
      <c r="C427" t="s">
        <v>1827</v>
      </c>
      <c r="D427" t="s">
        <v>1828</v>
      </c>
      <c r="E427" t="s">
        <v>39</v>
      </c>
      <c r="H427" t="s">
        <v>67</v>
      </c>
      <c r="I427" t="s">
        <v>67</v>
      </c>
      <c r="J427" t="s">
        <v>34</v>
      </c>
      <c r="K427" t="s">
        <v>1829</v>
      </c>
      <c r="L427" s="2">
        <v>400486.02470986679</v>
      </c>
      <c r="M427" s="3">
        <v>0</v>
      </c>
      <c r="N427" s="3">
        <v>0</v>
      </c>
      <c r="O427" s="3">
        <v>0.42305010684053862</v>
      </c>
      <c r="P427" s="3">
        <v>0.57694989315942125</v>
      </c>
      <c r="Q427" s="3">
        <v>4.0190073491430673E-14</v>
      </c>
      <c r="R427" s="3">
        <v>0.99999999999995981</v>
      </c>
      <c r="S427" t="s">
        <v>44</v>
      </c>
      <c r="T427" s="4">
        <f t="shared" si="6"/>
        <v>257.69</v>
      </c>
    </row>
    <row r="428" spans="1:20" x14ac:dyDescent="0.2">
      <c r="A428">
        <v>462</v>
      </c>
      <c r="B428">
        <v>1</v>
      </c>
      <c r="C428" t="s">
        <v>1830</v>
      </c>
      <c r="D428" t="s">
        <v>1831</v>
      </c>
      <c r="E428" t="s">
        <v>333</v>
      </c>
      <c r="H428" t="s">
        <v>67</v>
      </c>
      <c r="I428" t="s">
        <v>67</v>
      </c>
      <c r="J428" t="s">
        <v>92</v>
      </c>
      <c r="K428" t="s">
        <v>621</v>
      </c>
      <c r="L428" s="2">
        <v>400486.02470990678</v>
      </c>
      <c r="M428" s="3">
        <v>1.260862356995094E-2</v>
      </c>
      <c r="N428" s="3">
        <v>0</v>
      </c>
      <c r="O428" s="3">
        <v>0.25387131466976931</v>
      </c>
      <c r="P428" s="3">
        <v>0.42832590526971348</v>
      </c>
      <c r="Q428" s="3">
        <v>0.30519415649056619</v>
      </c>
      <c r="R428" s="3">
        <v>0.68219721993948279</v>
      </c>
      <c r="S428" t="s">
        <v>44</v>
      </c>
      <c r="T428" s="4">
        <f t="shared" si="6"/>
        <v>180.53</v>
      </c>
    </row>
    <row r="429" spans="1:20" x14ac:dyDescent="0.2">
      <c r="A429">
        <v>463</v>
      </c>
      <c r="B429">
        <v>2</v>
      </c>
      <c r="C429" t="s">
        <v>1832</v>
      </c>
      <c r="D429" t="s">
        <v>1833</v>
      </c>
      <c r="E429" t="s">
        <v>291</v>
      </c>
      <c r="H429" t="s">
        <v>67</v>
      </c>
      <c r="I429" t="s">
        <v>67</v>
      </c>
      <c r="J429" t="s">
        <v>26</v>
      </c>
      <c r="K429" t="s">
        <v>1817</v>
      </c>
      <c r="L429" s="2">
        <v>800972.04941973358</v>
      </c>
      <c r="M429" s="3">
        <v>1.2333825107871579E-2</v>
      </c>
      <c r="N429" s="3">
        <v>0</v>
      </c>
      <c r="O429" s="3">
        <v>0.30228272796179739</v>
      </c>
      <c r="P429" s="3">
        <v>0.61645673662164124</v>
      </c>
      <c r="Q429" s="3">
        <v>6.8926710308689687E-2</v>
      </c>
      <c r="R429" s="3">
        <v>0.91873946458343858</v>
      </c>
      <c r="S429" t="s">
        <v>44</v>
      </c>
      <c r="T429" s="4">
        <f t="shared" si="6"/>
        <v>246.63</v>
      </c>
    </row>
    <row r="430" spans="1:20" x14ac:dyDescent="0.2">
      <c r="A430">
        <v>464</v>
      </c>
      <c r="B430">
        <v>1</v>
      </c>
      <c r="C430" t="s">
        <v>1834</v>
      </c>
      <c r="D430" t="s">
        <v>1835</v>
      </c>
      <c r="E430" t="s">
        <v>1476</v>
      </c>
      <c r="H430" t="s">
        <v>25</v>
      </c>
      <c r="I430" t="s">
        <v>25</v>
      </c>
      <c r="J430" t="s">
        <v>92</v>
      </c>
      <c r="K430" t="s">
        <v>775</v>
      </c>
      <c r="L430" s="2">
        <v>400486.02470990678</v>
      </c>
      <c r="M430" s="3">
        <v>0.30461803060964598</v>
      </c>
      <c r="N430" s="3">
        <v>0</v>
      </c>
      <c r="O430" s="3">
        <v>0.12047792927776629</v>
      </c>
      <c r="P430" s="3">
        <v>6.5793767910271889E-2</v>
      </c>
      <c r="Q430" s="3">
        <v>0.50911027220231575</v>
      </c>
      <c r="R430" s="3">
        <v>0.18627169718803821</v>
      </c>
      <c r="S430" t="s">
        <v>36</v>
      </c>
      <c r="T430" s="4">
        <f t="shared" si="6"/>
        <v>74.3</v>
      </c>
    </row>
    <row r="431" spans="1:20" x14ac:dyDescent="0.2">
      <c r="A431">
        <v>465</v>
      </c>
      <c r="B431">
        <v>1</v>
      </c>
      <c r="C431" t="s">
        <v>1836</v>
      </c>
      <c r="D431" t="s">
        <v>1837</v>
      </c>
      <c r="E431" t="s">
        <v>474</v>
      </c>
      <c r="F431" t="s">
        <v>1838</v>
      </c>
      <c r="G431" t="s">
        <v>1839</v>
      </c>
      <c r="H431" t="s">
        <v>260</v>
      </c>
      <c r="I431" t="s">
        <v>260</v>
      </c>
      <c r="J431" t="s">
        <v>92</v>
      </c>
      <c r="K431" t="s">
        <v>621</v>
      </c>
      <c r="L431" s="2">
        <v>400486.02470990678</v>
      </c>
      <c r="M431" s="3">
        <v>5.763244063227798E-2</v>
      </c>
      <c r="N431" s="3">
        <v>0</v>
      </c>
      <c r="O431" s="3">
        <v>0.13569526898595061</v>
      </c>
      <c r="P431" s="3">
        <v>1.7395244137722188E-2</v>
      </c>
      <c r="Q431" s="3">
        <v>0.78927704624404915</v>
      </c>
      <c r="R431" s="3">
        <v>0.15309051312367281</v>
      </c>
      <c r="S431" t="s">
        <v>36</v>
      </c>
      <c r="T431" s="4">
        <f t="shared" si="6"/>
        <v>38.119999999999997</v>
      </c>
    </row>
    <row r="432" spans="1:20" x14ac:dyDescent="0.2">
      <c r="A432">
        <v>466</v>
      </c>
      <c r="B432">
        <v>1</v>
      </c>
      <c r="C432" t="s">
        <v>1840</v>
      </c>
      <c r="D432" t="s">
        <v>1841</v>
      </c>
      <c r="E432" t="s">
        <v>474</v>
      </c>
      <c r="F432" t="s">
        <v>1842</v>
      </c>
      <c r="G432" t="s">
        <v>1843</v>
      </c>
      <c r="H432" t="s">
        <v>67</v>
      </c>
      <c r="I432" t="s">
        <v>67</v>
      </c>
      <c r="J432" t="s">
        <v>26</v>
      </c>
      <c r="K432" t="s">
        <v>1844</v>
      </c>
      <c r="L432" s="2">
        <v>400486.02470990678</v>
      </c>
      <c r="M432" s="3">
        <v>0.107206373284227</v>
      </c>
      <c r="N432" s="3">
        <v>0</v>
      </c>
      <c r="O432" s="3">
        <v>0.1575228399014717</v>
      </c>
      <c r="P432" s="3">
        <v>1.7729212353202271E-2</v>
      </c>
      <c r="Q432" s="3">
        <v>0.71754157446109912</v>
      </c>
      <c r="R432" s="3">
        <v>0.175252052254674</v>
      </c>
      <c r="S432" t="s">
        <v>36</v>
      </c>
      <c r="T432" s="4">
        <f t="shared" si="6"/>
        <v>47.54</v>
      </c>
    </row>
    <row r="433" spans="1:20" x14ac:dyDescent="0.2">
      <c r="A433">
        <v>467</v>
      </c>
      <c r="B433">
        <v>1</v>
      </c>
      <c r="C433" t="s">
        <v>1845</v>
      </c>
      <c r="D433" t="s">
        <v>1846</v>
      </c>
      <c r="E433" t="s">
        <v>1847</v>
      </c>
      <c r="F433" t="s">
        <v>1563</v>
      </c>
      <c r="G433" t="s">
        <v>1848</v>
      </c>
      <c r="H433" t="s">
        <v>67</v>
      </c>
      <c r="I433" t="s">
        <v>67</v>
      </c>
      <c r="J433" t="s">
        <v>26</v>
      </c>
      <c r="K433" t="s">
        <v>585</v>
      </c>
      <c r="L433" s="2">
        <v>400486.02470986679</v>
      </c>
      <c r="M433" s="3">
        <v>0.32975557699658442</v>
      </c>
      <c r="N433" s="3">
        <v>0</v>
      </c>
      <c r="O433" s="3">
        <v>0.38341090496345759</v>
      </c>
      <c r="P433" s="3">
        <v>0.2495085104451141</v>
      </c>
      <c r="Q433" s="3">
        <v>3.7325007594843813E-2</v>
      </c>
      <c r="R433" s="3">
        <v>0.63291941540857166</v>
      </c>
      <c r="S433" t="s">
        <v>44</v>
      </c>
      <c r="T433" s="4">
        <f t="shared" si="6"/>
        <v>184.51</v>
      </c>
    </row>
    <row r="434" spans="1:20" x14ac:dyDescent="0.2">
      <c r="A434">
        <v>468</v>
      </c>
      <c r="B434">
        <v>3</v>
      </c>
      <c r="C434" t="s">
        <v>1849</v>
      </c>
      <c r="D434" t="s">
        <v>1850</v>
      </c>
      <c r="E434" t="s">
        <v>1618</v>
      </c>
      <c r="H434" t="s">
        <v>67</v>
      </c>
      <c r="I434" t="s">
        <v>67</v>
      </c>
      <c r="J434" t="s">
        <v>34</v>
      </c>
      <c r="K434" t="s">
        <v>1372</v>
      </c>
      <c r="L434" s="2">
        <v>1201458.0741296001</v>
      </c>
      <c r="M434" s="3">
        <v>3.5883134188419178E-3</v>
      </c>
      <c r="N434" s="3">
        <v>0</v>
      </c>
      <c r="O434" s="3">
        <v>0.39393549532297928</v>
      </c>
      <c r="P434" s="3">
        <v>0.25387978984457432</v>
      </c>
      <c r="Q434" s="3">
        <v>0.34859640141360448</v>
      </c>
      <c r="R434" s="3">
        <v>0.6478152851675536</v>
      </c>
      <c r="S434" t="s">
        <v>44</v>
      </c>
      <c r="T434" s="4">
        <f t="shared" si="6"/>
        <v>155.31</v>
      </c>
    </row>
    <row r="435" spans="1:20" x14ac:dyDescent="0.2">
      <c r="A435">
        <v>469</v>
      </c>
      <c r="B435">
        <v>5</v>
      </c>
      <c r="C435" t="s">
        <v>1851</v>
      </c>
      <c r="D435" t="s">
        <v>1852</v>
      </c>
      <c r="E435" t="s">
        <v>1853</v>
      </c>
      <c r="F435" t="s">
        <v>1854</v>
      </c>
      <c r="G435" t="s">
        <v>1855</v>
      </c>
      <c r="H435" t="s">
        <v>25</v>
      </c>
      <c r="I435" t="s">
        <v>25</v>
      </c>
      <c r="J435" t="s">
        <v>92</v>
      </c>
      <c r="K435" t="s">
        <v>1856</v>
      </c>
      <c r="L435" s="2">
        <v>2002430.123549534</v>
      </c>
      <c r="M435" s="3">
        <v>1.841276976908357E-2</v>
      </c>
      <c r="N435" s="3">
        <v>0</v>
      </c>
      <c r="O435" s="3">
        <v>0.13541960948220949</v>
      </c>
      <c r="P435" s="3">
        <v>0.32268580934191049</v>
      </c>
      <c r="Q435" s="3">
        <v>0.52348181140679639</v>
      </c>
      <c r="R435" s="3">
        <v>0.45810541882411993</v>
      </c>
      <c r="S435" t="s">
        <v>125</v>
      </c>
      <c r="T435" s="4">
        <f t="shared" si="6"/>
        <v>125.73</v>
      </c>
    </row>
    <row r="436" spans="1:20" x14ac:dyDescent="0.2">
      <c r="A436">
        <v>470</v>
      </c>
      <c r="B436">
        <v>1</v>
      </c>
      <c r="C436" t="s">
        <v>1857</v>
      </c>
      <c r="D436" t="s">
        <v>1858</v>
      </c>
      <c r="E436" t="s">
        <v>1859</v>
      </c>
      <c r="F436" t="s">
        <v>1860</v>
      </c>
      <c r="H436" t="s">
        <v>25</v>
      </c>
      <c r="I436" t="s">
        <v>25</v>
      </c>
      <c r="J436" t="s">
        <v>26</v>
      </c>
      <c r="K436" t="s">
        <v>43</v>
      </c>
      <c r="L436" s="2">
        <v>400486.02470990678</v>
      </c>
      <c r="M436" s="3">
        <v>0.78420052694791154</v>
      </c>
      <c r="N436" s="3">
        <v>0</v>
      </c>
      <c r="O436" s="3">
        <v>7.0665066000209206E-2</v>
      </c>
      <c r="P436" s="3">
        <v>7.9218444696024598E-2</v>
      </c>
      <c r="Q436" s="3">
        <v>6.5915962355854729E-2</v>
      </c>
      <c r="R436" s="3">
        <v>0.14988351069623379</v>
      </c>
      <c r="S436" t="s">
        <v>36</v>
      </c>
      <c r="T436" s="4">
        <f t="shared" si="6"/>
        <v>116.32</v>
      </c>
    </row>
    <row r="437" spans="1:20" x14ac:dyDescent="0.2">
      <c r="A437">
        <v>471</v>
      </c>
      <c r="B437">
        <v>1</v>
      </c>
      <c r="C437" t="s">
        <v>1861</v>
      </c>
      <c r="D437" t="s">
        <v>1862</v>
      </c>
      <c r="E437" t="s">
        <v>638</v>
      </c>
      <c r="F437" t="s">
        <v>1863</v>
      </c>
      <c r="G437" t="s">
        <v>1864</v>
      </c>
      <c r="H437" t="s">
        <v>67</v>
      </c>
      <c r="I437" t="s">
        <v>67</v>
      </c>
      <c r="J437" t="s">
        <v>26</v>
      </c>
      <c r="K437" t="s">
        <v>277</v>
      </c>
      <c r="L437" s="2">
        <v>400486.02470990678</v>
      </c>
      <c r="M437" s="3">
        <v>2.062819435837196E-2</v>
      </c>
      <c r="N437" s="3">
        <v>0</v>
      </c>
      <c r="O437" s="3">
        <v>0.19487891358469919</v>
      </c>
      <c r="P437" s="3">
        <v>4.1977876645365959E-2</v>
      </c>
      <c r="Q437" s="3">
        <v>0.74251501541156284</v>
      </c>
      <c r="R437" s="3">
        <v>0.23685679023006509</v>
      </c>
      <c r="S437" t="s">
        <v>69</v>
      </c>
      <c r="T437" s="4">
        <f t="shared" si="6"/>
        <v>53.63</v>
      </c>
    </row>
    <row r="438" spans="1:20" x14ac:dyDescent="0.2">
      <c r="A438">
        <v>472</v>
      </c>
      <c r="B438">
        <v>1</v>
      </c>
      <c r="C438" t="s">
        <v>1865</v>
      </c>
      <c r="D438" t="s">
        <v>1866</v>
      </c>
      <c r="E438" t="s">
        <v>612</v>
      </c>
      <c r="H438" t="s">
        <v>67</v>
      </c>
      <c r="I438" t="s">
        <v>67</v>
      </c>
      <c r="J438" t="s">
        <v>26</v>
      </c>
      <c r="K438" t="s">
        <v>56</v>
      </c>
      <c r="L438" s="2">
        <v>400486.02470986679</v>
      </c>
      <c r="M438" s="3">
        <v>0.18662443535009471</v>
      </c>
      <c r="N438" s="3">
        <v>0</v>
      </c>
      <c r="O438" s="3">
        <v>0.43919518910112648</v>
      </c>
      <c r="P438" s="3">
        <v>7.9681901198497912E-2</v>
      </c>
      <c r="Q438" s="3">
        <v>0.29449847435028093</v>
      </c>
      <c r="R438" s="3">
        <v>0.51887709029962437</v>
      </c>
      <c r="S438" t="s">
        <v>125</v>
      </c>
      <c r="T438" s="4">
        <f t="shared" si="6"/>
        <v>130.41</v>
      </c>
    </row>
    <row r="439" spans="1:20" x14ac:dyDescent="0.2">
      <c r="A439">
        <v>473</v>
      </c>
      <c r="B439">
        <v>1</v>
      </c>
      <c r="C439" t="s">
        <v>1867</v>
      </c>
      <c r="D439" t="s">
        <v>1868</v>
      </c>
      <c r="E439" t="s">
        <v>1869</v>
      </c>
      <c r="F439" t="s">
        <v>1870</v>
      </c>
      <c r="G439" t="s">
        <v>1871</v>
      </c>
      <c r="H439" t="s">
        <v>25</v>
      </c>
      <c r="I439" t="s">
        <v>25</v>
      </c>
      <c r="J439" t="s">
        <v>92</v>
      </c>
      <c r="K439" t="s">
        <v>266</v>
      </c>
      <c r="L439" s="2">
        <v>400486.02470990678</v>
      </c>
      <c r="M439" s="3">
        <v>0.89009953775020068</v>
      </c>
      <c r="N439" s="3">
        <v>0</v>
      </c>
      <c r="O439" s="3">
        <v>0.1049539050413642</v>
      </c>
      <c r="P439" s="3">
        <v>4.9465572084329921E-3</v>
      </c>
      <c r="Q439" s="3">
        <v>2.109423746787797E-15</v>
      </c>
      <c r="R439" s="3">
        <v>0.1099004622497972</v>
      </c>
      <c r="S439" t="s">
        <v>36</v>
      </c>
      <c r="T439" s="4">
        <f t="shared" si="6"/>
        <v>111.48</v>
      </c>
    </row>
    <row r="440" spans="1:20" x14ac:dyDescent="0.2">
      <c r="A440">
        <v>474</v>
      </c>
      <c r="B440">
        <v>1</v>
      </c>
      <c r="C440" t="s">
        <v>1872</v>
      </c>
      <c r="D440" t="s">
        <v>1873</v>
      </c>
      <c r="E440" t="s">
        <v>513</v>
      </c>
      <c r="H440" t="s">
        <v>25</v>
      </c>
      <c r="I440" t="s">
        <v>25</v>
      </c>
      <c r="J440" t="s">
        <v>26</v>
      </c>
      <c r="K440" t="s">
        <v>705</v>
      </c>
      <c r="L440" s="2">
        <v>400486.02470990678</v>
      </c>
      <c r="M440" s="3">
        <v>0.20278954182642581</v>
      </c>
      <c r="N440" s="3">
        <v>0</v>
      </c>
      <c r="O440" s="3">
        <v>6.2070482049191841E-2</v>
      </c>
      <c r="P440" s="3">
        <v>1.076995629499074E-3</v>
      </c>
      <c r="Q440" s="3">
        <v>0.73406298049488328</v>
      </c>
      <c r="R440" s="3">
        <v>6.3147477678690916E-2</v>
      </c>
      <c r="S440" t="s">
        <v>28</v>
      </c>
      <c r="T440" s="4">
        <f t="shared" si="6"/>
        <v>33.020000000000003</v>
      </c>
    </row>
  </sheetData>
  <autoFilter ref="A1:S440" xr:uid="{00000000-0009-0000-0000-000004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40" customWidth="1"/>
    <col min="4" max="4" width="10" customWidth="1"/>
    <col min="5" max="5" width="26" customWidth="1"/>
    <col min="6" max="6" width="24" customWidth="1"/>
    <col min="7" max="7" width="27" customWidth="1"/>
    <col min="8" max="8" width="10" customWidth="1"/>
    <col min="9" max="10" width="12" customWidth="1"/>
    <col min="11" max="11" width="10" customWidth="1"/>
    <col min="12" max="12" width="19" customWidth="1"/>
    <col min="13" max="13" width="23" customWidth="1"/>
    <col min="14" max="14" width="16" customWidth="1"/>
    <col min="15" max="15" width="22" customWidth="1"/>
    <col min="16" max="16" width="24" customWidth="1"/>
    <col min="17" max="17" width="23" customWidth="1"/>
    <col min="18" max="18" width="21" customWidth="1"/>
    <col min="19" max="19" width="37" customWidth="1"/>
    <col min="20" max="20" width="12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>
        <v>168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s="2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t="s">
        <v>28</v>
      </c>
      <c r="T2" s="4">
        <f t="shared" ref="T2:T65" si="0">ROUND((M2*100*1)+(O2*100*2)+(P2*100*3),2)</f>
        <v>0</v>
      </c>
    </row>
    <row r="3" spans="1:20" x14ac:dyDescent="0.2">
      <c r="A3">
        <v>1</v>
      </c>
      <c r="B3">
        <v>1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25</v>
      </c>
      <c r="I3" t="s">
        <v>25</v>
      </c>
      <c r="J3" t="s">
        <v>34</v>
      </c>
      <c r="K3" t="s">
        <v>35</v>
      </c>
      <c r="L3" s="2">
        <v>1149852.2360690541</v>
      </c>
      <c r="M3" s="3">
        <v>4.8775852680890207E-2</v>
      </c>
      <c r="N3" s="3">
        <v>0</v>
      </c>
      <c r="O3" s="3">
        <v>0.14848370703463271</v>
      </c>
      <c r="P3" s="3">
        <v>2.6161014639939952E-2</v>
      </c>
      <c r="Q3" s="3">
        <v>0.77657942564453708</v>
      </c>
      <c r="R3" s="3">
        <v>0.17464472167457271</v>
      </c>
      <c r="S3" t="s">
        <v>36</v>
      </c>
      <c r="T3" s="4">
        <f t="shared" si="0"/>
        <v>42.42</v>
      </c>
    </row>
    <row r="4" spans="1:20" x14ac:dyDescent="0.2">
      <c r="A4">
        <v>2</v>
      </c>
      <c r="B4">
        <v>1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25</v>
      </c>
      <c r="I4" t="s">
        <v>42</v>
      </c>
      <c r="J4" t="s">
        <v>26</v>
      </c>
      <c r="K4" t="s">
        <v>43</v>
      </c>
      <c r="L4" s="2">
        <v>1149852.236069005</v>
      </c>
      <c r="M4" s="3">
        <v>0</v>
      </c>
      <c r="N4" s="3">
        <v>0</v>
      </c>
      <c r="O4" s="3">
        <v>0.41984431827173352</v>
      </c>
      <c r="P4" s="3">
        <v>0.58015568172827958</v>
      </c>
      <c r="Q4" s="3">
        <v>0</v>
      </c>
      <c r="R4" s="3">
        <v>1.0000000000000131</v>
      </c>
      <c r="S4" t="s">
        <v>44</v>
      </c>
      <c r="T4" s="4">
        <f t="shared" si="0"/>
        <v>258.02</v>
      </c>
    </row>
    <row r="5" spans="1:20" x14ac:dyDescent="0.2">
      <c r="A5">
        <v>3</v>
      </c>
      <c r="B5">
        <v>1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25</v>
      </c>
      <c r="I5" t="s">
        <v>25</v>
      </c>
      <c r="J5" t="s">
        <v>26</v>
      </c>
      <c r="K5" t="s">
        <v>50</v>
      </c>
      <c r="L5" s="2">
        <v>1149852.236069005</v>
      </c>
      <c r="M5" s="3">
        <v>0.2131390725234012</v>
      </c>
      <c r="N5" s="3">
        <v>0</v>
      </c>
      <c r="O5" s="3">
        <v>3.9717828198315673E-2</v>
      </c>
      <c r="P5" s="3">
        <v>0</v>
      </c>
      <c r="Q5" s="3">
        <v>0.74714309927828315</v>
      </c>
      <c r="R5" s="3">
        <v>3.9717828198315673E-2</v>
      </c>
      <c r="S5" t="s">
        <v>28</v>
      </c>
      <c r="T5" s="4">
        <f t="shared" si="0"/>
        <v>29.26</v>
      </c>
    </row>
    <row r="6" spans="1:20" x14ac:dyDescent="0.2">
      <c r="A6">
        <v>4</v>
      </c>
      <c r="B6">
        <v>1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25</v>
      </c>
      <c r="J6" t="s">
        <v>26</v>
      </c>
      <c r="K6" t="s">
        <v>56</v>
      </c>
      <c r="L6" s="2">
        <v>1149852.236069005</v>
      </c>
      <c r="M6" s="3">
        <v>1.063937058382001E-2</v>
      </c>
      <c r="N6" s="3">
        <v>0</v>
      </c>
      <c r="O6" s="3">
        <v>9.2408189267544114E-2</v>
      </c>
      <c r="P6" s="3">
        <v>3.396901973396598E-3</v>
      </c>
      <c r="Q6" s="3">
        <v>0.89355553817523925</v>
      </c>
      <c r="R6" s="3">
        <v>9.5805091240940707E-2</v>
      </c>
      <c r="S6" t="s">
        <v>28</v>
      </c>
      <c r="T6" s="4">
        <f t="shared" si="0"/>
        <v>20.56</v>
      </c>
    </row>
    <row r="7" spans="1:20" x14ac:dyDescent="0.2">
      <c r="A7">
        <v>5</v>
      </c>
      <c r="B7">
        <v>1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25</v>
      </c>
      <c r="I7" t="s">
        <v>25</v>
      </c>
      <c r="J7" t="s">
        <v>26</v>
      </c>
      <c r="K7" t="s">
        <v>62</v>
      </c>
      <c r="L7" s="2">
        <v>1149852.236069005</v>
      </c>
      <c r="M7" s="3">
        <v>0.43615913322967209</v>
      </c>
      <c r="N7" s="3">
        <v>0</v>
      </c>
      <c r="O7" s="3">
        <v>0.1822439059024881</v>
      </c>
      <c r="P7" s="3">
        <v>0.23469762713638809</v>
      </c>
      <c r="Q7" s="3">
        <v>0.1468993337314517</v>
      </c>
      <c r="R7" s="3">
        <v>0.41694153303887621</v>
      </c>
      <c r="S7" t="s">
        <v>125</v>
      </c>
      <c r="T7" s="4">
        <f t="shared" si="0"/>
        <v>150.47</v>
      </c>
    </row>
    <row r="8" spans="1:20" x14ac:dyDescent="0.2">
      <c r="A8">
        <v>6</v>
      </c>
      <c r="B8">
        <v>4</v>
      </c>
      <c r="C8" t="s">
        <v>63</v>
      </c>
      <c r="D8" t="s">
        <v>64</v>
      </c>
      <c r="E8" t="s">
        <v>59</v>
      </c>
      <c r="F8" t="s">
        <v>65</v>
      </c>
      <c r="G8" t="s">
        <v>66</v>
      </c>
      <c r="H8" t="s">
        <v>67</v>
      </c>
      <c r="I8" t="s">
        <v>67</v>
      </c>
      <c r="J8" t="s">
        <v>26</v>
      </c>
      <c r="K8" t="s">
        <v>68</v>
      </c>
      <c r="L8" s="2">
        <v>4599408.9442760199</v>
      </c>
      <c r="M8" s="3">
        <v>0.73109971058458523</v>
      </c>
      <c r="N8" s="3">
        <v>0</v>
      </c>
      <c r="O8" s="3">
        <v>0.1131425047741817</v>
      </c>
      <c r="P8" s="3">
        <v>3.7794559742276398E-2</v>
      </c>
      <c r="Q8" s="3">
        <v>0.11796322489895671</v>
      </c>
      <c r="R8" s="3">
        <v>0.15093706451645811</v>
      </c>
      <c r="S8" t="s">
        <v>36</v>
      </c>
      <c r="T8" s="4">
        <f t="shared" si="0"/>
        <v>107.08</v>
      </c>
    </row>
    <row r="9" spans="1:20" x14ac:dyDescent="0.2">
      <c r="A9">
        <v>7</v>
      </c>
      <c r="B9">
        <v>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  <c r="I9" t="s">
        <v>25</v>
      </c>
      <c r="J9" t="s">
        <v>26</v>
      </c>
      <c r="K9" t="s">
        <v>62</v>
      </c>
      <c r="L9" s="2">
        <v>1149852.236069005</v>
      </c>
      <c r="M9" s="3">
        <v>0.52618551741420383</v>
      </c>
      <c r="N9" s="3">
        <v>0</v>
      </c>
      <c r="O9" s="3">
        <v>0.1021308660257161</v>
      </c>
      <c r="P9" s="3">
        <v>1.2204521892614001E-3</v>
      </c>
      <c r="Q9" s="3">
        <v>0.37046316437081872</v>
      </c>
      <c r="R9" s="3">
        <v>0.10335131821497751</v>
      </c>
      <c r="S9" t="s">
        <v>36</v>
      </c>
      <c r="T9" s="4">
        <f t="shared" si="0"/>
        <v>73.41</v>
      </c>
    </row>
    <row r="10" spans="1:20" x14ac:dyDescent="0.2">
      <c r="A10">
        <v>8</v>
      </c>
      <c r="B10">
        <v>1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80</v>
      </c>
      <c r="J10" t="s">
        <v>26</v>
      </c>
      <c r="K10" t="s">
        <v>56</v>
      </c>
      <c r="L10" s="2">
        <v>1149852.236069005</v>
      </c>
      <c r="M10" s="3">
        <v>0.61487355336195393</v>
      </c>
      <c r="N10" s="3">
        <v>0</v>
      </c>
      <c r="O10" s="3">
        <v>0.18953465976380621</v>
      </c>
      <c r="P10" s="3">
        <v>0.11927641463317459</v>
      </c>
      <c r="Q10" s="3">
        <v>7.6315372241065216E-2</v>
      </c>
      <c r="R10" s="3">
        <v>0.3088110743969808</v>
      </c>
      <c r="S10" t="s">
        <v>69</v>
      </c>
      <c r="T10" s="4">
        <f t="shared" si="0"/>
        <v>135.18</v>
      </c>
    </row>
    <row r="11" spans="1:20" x14ac:dyDescent="0.2">
      <c r="A11">
        <v>9</v>
      </c>
      <c r="B11">
        <v>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25</v>
      </c>
      <c r="J11" t="s">
        <v>34</v>
      </c>
      <c r="K11" t="s">
        <v>86</v>
      </c>
      <c r="L11" s="2">
        <v>1149852.236069005</v>
      </c>
      <c r="M11" s="3">
        <v>0.14171137526140101</v>
      </c>
      <c r="N11" s="3">
        <v>0</v>
      </c>
      <c r="O11" s="3">
        <v>6.1932565270165579E-2</v>
      </c>
      <c r="P11" s="3">
        <v>0.6158550060929453</v>
      </c>
      <c r="Q11" s="3">
        <v>0.18050105337548811</v>
      </c>
      <c r="R11" s="3">
        <v>0.67778757136311085</v>
      </c>
      <c r="S11" t="s">
        <v>44</v>
      </c>
      <c r="T11" s="4">
        <f t="shared" si="0"/>
        <v>211.31</v>
      </c>
    </row>
    <row r="12" spans="1:20" x14ac:dyDescent="0.2">
      <c r="A12">
        <v>10</v>
      </c>
      <c r="B12">
        <v>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25</v>
      </c>
      <c r="I12" t="s">
        <v>25</v>
      </c>
      <c r="J12" t="s">
        <v>92</v>
      </c>
      <c r="K12" t="s">
        <v>93</v>
      </c>
      <c r="L12" s="2">
        <v>1149852.236069005</v>
      </c>
      <c r="M12" s="3">
        <v>0.46138530189126309</v>
      </c>
      <c r="N12" s="3">
        <v>0</v>
      </c>
      <c r="O12" s="3">
        <v>0.1730908357266866</v>
      </c>
      <c r="P12" s="3">
        <v>0.13350790169397839</v>
      </c>
      <c r="Q12" s="3">
        <v>0.23201596068807179</v>
      </c>
      <c r="R12" s="3">
        <v>0.30659873742066501</v>
      </c>
      <c r="S12" t="s">
        <v>69</v>
      </c>
      <c r="T12" s="4">
        <f t="shared" si="0"/>
        <v>120.81</v>
      </c>
    </row>
    <row r="13" spans="1:20" x14ac:dyDescent="0.2">
      <c r="A13">
        <v>11</v>
      </c>
      <c r="B13">
        <v>1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25</v>
      </c>
      <c r="I13" t="s">
        <v>25</v>
      </c>
      <c r="J13" t="s">
        <v>92</v>
      </c>
      <c r="K13" t="s">
        <v>93</v>
      </c>
      <c r="L13" s="2">
        <v>1149852.236069005</v>
      </c>
      <c r="M13" s="3">
        <v>0.39741236530508689</v>
      </c>
      <c r="N13" s="3">
        <v>0</v>
      </c>
      <c r="O13" s="3">
        <v>0.1109826677874893</v>
      </c>
      <c r="P13" s="3">
        <v>4.3940850713836913E-3</v>
      </c>
      <c r="Q13" s="3">
        <v>0.48721088183604011</v>
      </c>
      <c r="R13" s="3">
        <v>0.115376752858873</v>
      </c>
      <c r="S13" t="s">
        <v>36</v>
      </c>
      <c r="T13" s="4">
        <f t="shared" si="0"/>
        <v>63.26</v>
      </c>
    </row>
    <row r="14" spans="1:20" x14ac:dyDescent="0.2">
      <c r="A14">
        <v>12</v>
      </c>
      <c r="B14">
        <v>1</v>
      </c>
      <c r="C14" t="s">
        <v>99</v>
      </c>
      <c r="D14" t="s">
        <v>100</v>
      </c>
      <c r="E14" t="s">
        <v>96</v>
      </c>
      <c r="F14" t="s">
        <v>101</v>
      </c>
      <c r="G14" t="s">
        <v>102</v>
      </c>
      <c r="H14" t="s">
        <v>25</v>
      </c>
      <c r="I14" t="s">
        <v>25</v>
      </c>
      <c r="J14" t="s">
        <v>34</v>
      </c>
      <c r="K14" t="s">
        <v>93</v>
      </c>
      <c r="L14" s="2">
        <v>1149852.236069005</v>
      </c>
      <c r="M14" s="3">
        <v>0.53953004255199344</v>
      </c>
      <c r="N14" s="3">
        <v>0</v>
      </c>
      <c r="O14" s="3">
        <v>5.7149972058803643E-2</v>
      </c>
      <c r="P14" s="3">
        <v>0</v>
      </c>
      <c r="Q14" s="3">
        <v>0.40331998538920288</v>
      </c>
      <c r="R14" s="3">
        <v>5.7149972058803643E-2</v>
      </c>
      <c r="S14" t="s">
        <v>28</v>
      </c>
      <c r="T14" s="4">
        <f t="shared" si="0"/>
        <v>65.38</v>
      </c>
    </row>
    <row r="15" spans="1:20" x14ac:dyDescent="0.2">
      <c r="A15">
        <v>13</v>
      </c>
      <c r="B15">
        <v>2</v>
      </c>
      <c r="C15" t="s">
        <v>103</v>
      </c>
      <c r="D15" t="s">
        <v>104</v>
      </c>
      <c r="E15" t="s">
        <v>83</v>
      </c>
      <c r="F15" t="s">
        <v>105</v>
      </c>
      <c r="G15" t="s">
        <v>106</v>
      </c>
      <c r="H15" t="s">
        <v>25</v>
      </c>
      <c r="I15" t="s">
        <v>25</v>
      </c>
      <c r="J15" t="s">
        <v>26</v>
      </c>
      <c r="K15" t="s">
        <v>93</v>
      </c>
      <c r="L15" s="2">
        <v>2299704.47213801</v>
      </c>
      <c r="M15" s="3">
        <v>0.55213944640978641</v>
      </c>
      <c r="N15" s="3">
        <v>0</v>
      </c>
      <c r="O15" s="3">
        <v>8.2100386502020103E-2</v>
      </c>
      <c r="P15" s="3">
        <v>1.3051748824772741E-3</v>
      </c>
      <c r="Q15" s="3">
        <v>0.3644549922057162</v>
      </c>
      <c r="R15" s="3">
        <v>8.3405561384497381E-2</v>
      </c>
      <c r="S15" t="s">
        <v>28</v>
      </c>
      <c r="T15" s="4">
        <f t="shared" si="0"/>
        <v>72.03</v>
      </c>
    </row>
    <row r="16" spans="1:20" x14ac:dyDescent="0.2">
      <c r="A16">
        <v>14</v>
      </c>
      <c r="B16">
        <v>1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80</v>
      </c>
      <c r="I16" t="s">
        <v>80</v>
      </c>
      <c r="J16" t="s">
        <v>34</v>
      </c>
      <c r="K16" t="s">
        <v>112</v>
      </c>
      <c r="L16" s="2">
        <v>1149852.236069005</v>
      </c>
      <c r="M16" s="3">
        <v>0.4286492383007951</v>
      </c>
      <c r="N16" s="3">
        <v>0</v>
      </c>
      <c r="O16" s="3">
        <v>6.6589269747336977E-2</v>
      </c>
      <c r="P16" s="3">
        <v>1.6466137341648011E-4</v>
      </c>
      <c r="Q16" s="3">
        <v>0.50459683057845139</v>
      </c>
      <c r="R16" s="3">
        <v>6.6753931120753451E-2</v>
      </c>
      <c r="S16" t="s">
        <v>28</v>
      </c>
      <c r="T16" s="4">
        <f t="shared" si="0"/>
        <v>56.23</v>
      </c>
    </row>
    <row r="17" spans="1:20" x14ac:dyDescent="0.2">
      <c r="A17">
        <v>15</v>
      </c>
      <c r="B17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25</v>
      </c>
      <c r="I17" t="s">
        <v>25</v>
      </c>
      <c r="J17" t="s">
        <v>34</v>
      </c>
      <c r="K17" t="s">
        <v>118</v>
      </c>
      <c r="L17" s="2">
        <v>1149852.236069005</v>
      </c>
      <c r="M17" s="3">
        <v>0.7893468057304045</v>
      </c>
      <c r="N17" s="3">
        <v>0</v>
      </c>
      <c r="O17" s="3">
        <v>7.4740969718214506E-2</v>
      </c>
      <c r="P17" s="3">
        <v>4.7933104463628463E-4</v>
      </c>
      <c r="Q17" s="3">
        <v>0.1354328935067447</v>
      </c>
      <c r="R17" s="3">
        <v>7.5220300762850786E-2</v>
      </c>
      <c r="S17" t="s">
        <v>28</v>
      </c>
      <c r="T17" s="4">
        <f t="shared" si="0"/>
        <v>94.03</v>
      </c>
    </row>
    <row r="18" spans="1:20" x14ac:dyDescent="0.2">
      <c r="A18">
        <v>16</v>
      </c>
      <c r="B18">
        <v>1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25</v>
      </c>
      <c r="I18" t="s">
        <v>25</v>
      </c>
      <c r="J18" t="s">
        <v>34</v>
      </c>
      <c r="K18" t="s">
        <v>124</v>
      </c>
      <c r="L18" s="2">
        <v>1149852.236069005</v>
      </c>
      <c r="M18" s="3">
        <v>1.8963649568336381E-2</v>
      </c>
      <c r="N18" s="3">
        <v>0</v>
      </c>
      <c r="O18" s="3">
        <v>0.1311406691309607</v>
      </c>
      <c r="P18" s="3">
        <v>0.23784848075978809</v>
      </c>
      <c r="Q18" s="3">
        <v>0.61204720054091488</v>
      </c>
      <c r="R18" s="3">
        <v>0.36898914989074882</v>
      </c>
      <c r="S18" t="s">
        <v>69</v>
      </c>
      <c r="T18" s="4">
        <f t="shared" si="0"/>
        <v>99.48</v>
      </c>
    </row>
    <row r="19" spans="1:20" x14ac:dyDescent="0.2">
      <c r="A19">
        <v>17</v>
      </c>
      <c r="B19">
        <v>1</v>
      </c>
      <c r="C19" t="s">
        <v>126</v>
      </c>
      <c r="D19" t="s">
        <v>127</v>
      </c>
      <c r="E19" t="s">
        <v>77</v>
      </c>
      <c r="F19" t="s">
        <v>128</v>
      </c>
      <c r="G19" t="s">
        <v>129</v>
      </c>
      <c r="H19" t="s">
        <v>67</v>
      </c>
      <c r="I19" t="s">
        <v>67</v>
      </c>
      <c r="J19" t="s">
        <v>92</v>
      </c>
      <c r="K19" t="s">
        <v>130</v>
      </c>
      <c r="L19" s="2">
        <v>1149852.236069005</v>
      </c>
      <c r="M19" s="3">
        <v>0.10385749604388229</v>
      </c>
      <c r="N19" s="3">
        <v>0</v>
      </c>
      <c r="O19" s="3">
        <v>0.30166699475201242</v>
      </c>
      <c r="P19" s="3">
        <v>0.35452795226619249</v>
      </c>
      <c r="Q19" s="3">
        <v>0.23994755693791281</v>
      </c>
      <c r="R19" s="3">
        <v>0.65619494701820491</v>
      </c>
      <c r="S19" t="s">
        <v>44</v>
      </c>
      <c r="T19" s="4">
        <f t="shared" si="0"/>
        <v>177.08</v>
      </c>
    </row>
    <row r="20" spans="1:20" x14ac:dyDescent="0.2">
      <c r="A20">
        <v>18</v>
      </c>
      <c r="B20">
        <v>1</v>
      </c>
      <c r="C20" t="s">
        <v>131</v>
      </c>
      <c r="D20" t="s">
        <v>132</v>
      </c>
      <c r="E20" t="s">
        <v>77</v>
      </c>
      <c r="F20" t="s">
        <v>128</v>
      </c>
      <c r="G20" t="s">
        <v>133</v>
      </c>
      <c r="H20" t="s">
        <v>67</v>
      </c>
      <c r="I20" t="s">
        <v>67</v>
      </c>
      <c r="J20" t="s">
        <v>92</v>
      </c>
      <c r="K20" t="s">
        <v>86</v>
      </c>
      <c r="L20" s="2">
        <v>1149852.236069005</v>
      </c>
      <c r="M20" s="3">
        <v>9.8198383580180783E-4</v>
      </c>
      <c r="N20" s="3">
        <v>0</v>
      </c>
      <c r="O20" s="3">
        <v>0.39045260278007338</v>
      </c>
      <c r="P20" s="3">
        <v>0.51011414513419795</v>
      </c>
      <c r="Q20" s="3">
        <v>9.8451268249926782E-2</v>
      </c>
      <c r="R20" s="3">
        <v>0.90056674791427138</v>
      </c>
      <c r="S20" t="s">
        <v>44</v>
      </c>
      <c r="T20" s="4">
        <f t="shared" si="0"/>
        <v>231.22</v>
      </c>
    </row>
    <row r="21" spans="1:20" x14ac:dyDescent="0.2">
      <c r="A21">
        <v>19</v>
      </c>
      <c r="B21">
        <v>1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25</v>
      </c>
      <c r="I21" t="s">
        <v>25</v>
      </c>
      <c r="J21" t="s">
        <v>92</v>
      </c>
      <c r="K21" t="s">
        <v>86</v>
      </c>
      <c r="L21" s="2">
        <v>1149852.236069005</v>
      </c>
      <c r="M21" s="3">
        <v>0.94157306813384056</v>
      </c>
      <c r="N21" s="3">
        <v>0</v>
      </c>
      <c r="O21" s="3">
        <v>5.8329322256651467E-2</v>
      </c>
      <c r="P21" s="3">
        <v>9.7609609533634998E-5</v>
      </c>
      <c r="Q21" s="3">
        <v>0</v>
      </c>
      <c r="R21" s="3">
        <v>5.8426931866185111E-2</v>
      </c>
      <c r="S21" t="s">
        <v>28</v>
      </c>
      <c r="T21" s="4">
        <f t="shared" si="0"/>
        <v>105.85</v>
      </c>
    </row>
    <row r="22" spans="1:20" x14ac:dyDescent="0.2">
      <c r="A22">
        <v>20</v>
      </c>
      <c r="B22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67</v>
      </c>
      <c r="I22" t="s">
        <v>67</v>
      </c>
      <c r="J22" t="s">
        <v>26</v>
      </c>
      <c r="K22" t="s">
        <v>93</v>
      </c>
      <c r="L22" s="2">
        <v>1149852.236069005</v>
      </c>
      <c r="M22" s="3">
        <v>0.29676966361782331</v>
      </c>
      <c r="N22" s="3">
        <v>0</v>
      </c>
      <c r="O22" s="3">
        <v>0.2422787884222824</v>
      </c>
      <c r="P22" s="3">
        <v>0.38942192956506488</v>
      </c>
      <c r="Q22" s="3">
        <v>7.1529618394829408E-2</v>
      </c>
      <c r="R22" s="3">
        <v>0.63170071798734728</v>
      </c>
      <c r="S22" t="s">
        <v>44</v>
      </c>
      <c r="T22" s="4">
        <f t="shared" si="0"/>
        <v>194.96</v>
      </c>
    </row>
    <row r="23" spans="1:20" x14ac:dyDescent="0.2">
      <c r="A23">
        <v>21</v>
      </c>
      <c r="B23">
        <v>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67</v>
      </c>
      <c r="I23" t="s">
        <v>67</v>
      </c>
      <c r="J23" t="s">
        <v>34</v>
      </c>
      <c r="K23" t="s">
        <v>149</v>
      </c>
      <c r="L23" s="2">
        <v>0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t="s">
        <v>28</v>
      </c>
      <c r="T23" s="4">
        <f t="shared" si="0"/>
        <v>0</v>
      </c>
    </row>
    <row r="24" spans="1:20" x14ac:dyDescent="0.2">
      <c r="A24">
        <v>22</v>
      </c>
      <c r="B24">
        <v>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25</v>
      </c>
      <c r="I24" t="s">
        <v>25</v>
      </c>
      <c r="J24" t="s">
        <v>26</v>
      </c>
      <c r="K24" t="s">
        <v>155</v>
      </c>
      <c r="L24" s="2">
        <v>1149852.2360690541</v>
      </c>
      <c r="M24" s="3">
        <v>0.55756159381425208</v>
      </c>
      <c r="N24" s="3">
        <v>0</v>
      </c>
      <c r="O24" s="3">
        <v>0.13217532246399491</v>
      </c>
      <c r="P24" s="3">
        <v>0.26461518703547321</v>
      </c>
      <c r="Q24" s="3">
        <v>4.5647896686279887E-2</v>
      </c>
      <c r="R24" s="3">
        <v>0.39679050949946809</v>
      </c>
      <c r="S24" t="s">
        <v>69</v>
      </c>
      <c r="T24" s="4">
        <f t="shared" si="0"/>
        <v>161.58000000000001</v>
      </c>
    </row>
    <row r="25" spans="1:20" x14ac:dyDescent="0.2">
      <c r="A25">
        <v>23</v>
      </c>
      <c r="B25">
        <v>1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25</v>
      </c>
      <c r="I25" t="s">
        <v>25</v>
      </c>
      <c r="J25" t="s">
        <v>26</v>
      </c>
      <c r="K25" t="s">
        <v>161</v>
      </c>
      <c r="L25" s="2">
        <v>1149852.2360690541</v>
      </c>
      <c r="M25" s="3">
        <v>0.36193860042298309</v>
      </c>
      <c r="N25" s="3">
        <v>0</v>
      </c>
      <c r="O25" s="3">
        <v>0.14920070802111299</v>
      </c>
      <c r="P25" s="3">
        <v>2.3118603139203501E-2</v>
      </c>
      <c r="Q25" s="3">
        <v>0.46574208841670062</v>
      </c>
      <c r="R25" s="3">
        <v>0.17231931116031651</v>
      </c>
      <c r="S25" t="s">
        <v>36</v>
      </c>
      <c r="T25" s="4">
        <f t="shared" si="0"/>
        <v>72.97</v>
      </c>
    </row>
    <row r="26" spans="1:20" x14ac:dyDescent="0.2">
      <c r="A26">
        <v>24</v>
      </c>
      <c r="B26">
        <v>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25</v>
      </c>
      <c r="I26" t="s">
        <v>25</v>
      </c>
      <c r="J26" t="s">
        <v>92</v>
      </c>
      <c r="K26" t="s">
        <v>167</v>
      </c>
      <c r="L26" s="2">
        <v>1149852.236069005</v>
      </c>
      <c r="M26" s="3">
        <v>0.59192500808288828</v>
      </c>
      <c r="N26" s="3">
        <v>0</v>
      </c>
      <c r="O26" s="3">
        <v>9.7091040867135256E-2</v>
      </c>
      <c r="P26" s="3">
        <v>8.2451176422318961E-4</v>
      </c>
      <c r="Q26" s="3">
        <v>0.31015943928575329</v>
      </c>
      <c r="R26" s="3">
        <v>9.7915552631358441E-2</v>
      </c>
      <c r="S26" t="s">
        <v>28</v>
      </c>
      <c r="T26" s="4">
        <f t="shared" si="0"/>
        <v>78.86</v>
      </c>
    </row>
    <row r="27" spans="1:20" x14ac:dyDescent="0.2">
      <c r="A27">
        <v>25</v>
      </c>
      <c r="B27">
        <v>1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25</v>
      </c>
      <c r="I27" t="s">
        <v>25</v>
      </c>
      <c r="J27" t="s">
        <v>34</v>
      </c>
      <c r="K27" t="s">
        <v>167</v>
      </c>
      <c r="L27" s="2">
        <v>1149852.2360690541</v>
      </c>
      <c r="M27" s="3">
        <v>0.22599656249109051</v>
      </c>
      <c r="N27" s="3">
        <v>0</v>
      </c>
      <c r="O27" s="3">
        <v>0.17889912571679989</v>
      </c>
      <c r="P27" s="3">
        <v>0.21501534779195849</v>
      </c>
      <c r="Q27" s="3">
        <v>0.38008896400015107</v>
      </c>
      <c r="R27" s="3">
        <v>0.39391447350875841</v>
      </c>
      <c r="S27" t="s">
        <v>69</v>
      </c>
      <c r="T27" s="4">
        <f t="shared" si="0"/>
        <v>122.88</v>
      </c>
    </row>
    <row r="28" spans="1:20" x14ac:dyDescent="0.2">
      <c r="A28">
        <v>26</v>
      </c>
      <c r="B28">
        <v>1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25</v>
      </c>
      <c r="I28" t="s">
        <v>25</v>
      </c>
      <c r="J28" t="s">
        <v>34</v>
      </c>
      <c r="K28" t="s">
        <v>167</v>
      </c>
      <c r="L28" s="2">
        <v>1149852.2360690541</v>
      </c>
      <c r="M28" s="3">
        <v>0</v>
      </c>
      <c r="N28" s="3">
        <v>0</v>
      </c>
      <c r="O28" s="3">
        <v>5.0137258869180142E-2</v>
      </c>
      <c r="P28" s="3">
        <v>0</v>
      </c>
      <c r="Q28" s="3">
        <v>0.9498627411308197</v>
      </c>
      <c r="R28" s="3">
        <v>5.0137258869180142E-2</v>
      </c>
      <c r="S28" t="s">
        <v>28</v>
      </c>
      <c r="T28" s="4">
        <f t="shared" si="0"/>
        <v>10.029999999999999</v>
      </c>
    </row>
    <row r="29" spans="1:20" x14ac:dyDescent="0.2">
      <c r="A29">
        <v>27</v>
      </c>
      <c r="B29">
        <v>1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25</v>
      </c>
      <c r="I29" t="s">
        <v>25</v>
      </c>
      <c r="J29" t="s">
        <v>34</v>
      </c>
      <c r="K29" t="s">
        <v>167</v>
      </c>
      <c r="L29" s="2">
        <v>1149852.2360690541</v>
      </c>
      <c r="M29" s="3">
        <v>1.134501705782083E-2</v>
      </c>
      <c r="N29" s="3">
        <v>0</v>
      </c>
      <c r="O29" s="3">
        <v>0.10235555339001549</v>
      </c>
      <c r="P29" s="3">
        <v>0</v>
      </c>
      <c r="Q29" s="3">
        <v>0.88629942955216368</v>
      </c>
      <c r="R29" s="3">
        <v>0.10235555339001549</v>
      </c>
      <c r="S29" t="s">
        <v>36</v>
      </c>
      <c r="T29" s="4">
        <f t="shared" si="0"/>
        <v>21.61</v>
      </c>
    </row>
    <row r="30" spans="1:20" x14ac:dyDescent="0.2">
      <c r="A30">
        <v>28</v>
      </c>
      <c r="B30">
        <v>1</v>
      </c>
      <c r="C30" t="s">
        <v>183</v>
      </c>
      <c r="D30" t="s">
        <v>184</v>
      </c>
      <c r="E30" t="s">
        <v>185</v>
      </c>
      <c r="F30" t="s">
        <v>186</v>
      </c>
      <c r="G30" t="s">
        <v>160</v>
      </c>
      <c r="H30" t="s">
        <v>25</v>
      </c>
      <c r="I30" t="s">
        <v>25</v>
      </c>
      <c r="J30" t="s">
        <v>34</v>
      </c>
      <c r="K30" t="s">
        <v>187</v>
      </c>
      <c r="L30" s="2">
        <v>1149852.2360690541</v>
      </c>
      <c r="M30" s="3">
        <v>0.92643751232118876</v>
      </c>
      <c r="N30" s="3">
        <v>0</v>
      </c>
      <c r="O30" s="3">
        <v>7.3562487678809504E-2</v>
      </c>
      <c r="P30" s="3">
        <v>0</v>
      </c>
      <c r="Q30" s="3">
        <v>1.7763568394002501E-15</v>
      </c>
      <c r="R30" s="3">
        <v>7.3562487678809504E-2</v>
      </c>
      <c r="S30" t="s">
        <v>28</v>
      </c>
      <c r="T30" s="4">
        <f t="shared" si="0"/>
        <v>107.36</v>
      </c>
    </row>
    <row r="31" spans="1:20" x14ac:dyDescent="0.2">
      <c r="A31">
        <v>29</v>
      </c>
      <c r="B31">
        <v>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25</v>
      </c>
      <c r="I31" t="s">
        <v>25</v>
      </c>
      <c r="J31" t="s">
        <v>92</v>
      </c>
      <c r="K31" t="s">
        <v>193</v>
      </c>
      <c r="L31" s="2">
        <v>1149852.2360690541</v>
      </c>
      <c r="M31" s="3">
        <v>0.92658462584964707</v>
      </c>
      <c r="N31" s="3">
        <v>0</v>
      </c>
      <c r="O31" s="3">
        <v>2.7132091974620881E-2</v>
      </c>
      <c r="P31" s="3">
        <v>0</v>
      </c>
      <c r="Q31" s="3">
        <v>4.6283282175732077E-2</v>
      </c>
      <c r="R31" s="3">
        <v>2.7132091974620881E-2</v>
      </c>
      <c r="S31" t="s">
        <v>28</v>
      </c>
      <c r="T31" s="4">
        <f t="shared" si="0"/>
        <v>98.08</v>
      </c>
    </row>
    <row r="32" spans="1:20" x14ac:dyDescent="0.2">
      <c r="A32">
        <v>30</v>
      </c>
      <c r="B32">
        <v>1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25</v>
      </c>
      <c r="I32" t="s">
        <v>25</v>
      </c>
      <c r="J32" t="s">
        <v>34</v>
      </c>
      <c r="K32" t="s">
        <v>193</v>
      </c>
      <c r="L32" s="2">
        <v>1149852.2360690541</v>
      </c>
      <c r="M32" s="3">
        <v>0.12025182275321041</v>
      </c>
      <c r="N32" s="3">
        <v>0</v>
      </c>
      <c r="O32" s="3">
        <v>0.10150599914022949</v>
      </c>
      <c r="P32" s="3">
        <v>0</v>
      </c>
      <c r="Q32" s="3">
        <v>0.77824217810656005</v>
      </c>
      <c r="R32" s="3">
        <v>0.10150599914022949</v>
      </c>
      <c r="S32" t="s">
        <v>36</v>
      </c>
      <c r="T32" s="4">
        <f t="shared" si="0"/>
        <v>32.33</v>
      </c>
    </row>
    <row r="33" spans="1:20" x14ac:dyDescent="0.2">
      <c r="A33">
        <v>31</v>
      </c>
      <c r="B33">
        <v>1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67</v>
      </c>
      <c r="I33" t="s">
        <v>67</v>
      </c>
      <c r="J33" t="s">
        <v>34</v>
      </c>
      <c r="K33" t="s">
        <v>204</v>
      </c>
      <c r="L33" s="2">
        <v>1149852.2360690541</v>
      </c>
      <c r="M33" s="3">
        <v>0.84814843804689488</v>
      </c>
      <c r="N33" s="3">
        <v>0</v>
      </c>
      <c r="O33" s="3">
        <v>9.28016789661429E-2</v>
      </c>
      <c r="P33" s="3">
        <v>5.9049882986936843E-2</v>
      </c>
      <c r="Q33" s="3">
        <v>2.5424107263916078E-14</v>
      </c>
      <c r="R33" s="3">
        <v>0.15185156195307981</v>
      </c>
      <c r="S33" t="s">
        <v>36</v>
      </c>
      <c r="T33" s="4">
        <f t="shared" si="0"/>
        <v>121.09</v>
      </c>
    </row>
    <row r="34" spans="1:20" x14ac:dyDescent="0.2">
      <c r="A34">
        <v>32</v>
      </c>
      <c r="B34">
        <v>1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  <c r="H34" t="s">
        <v>25</v>
      </c>
      <c r="I34" t="s">
        <v>25</v>
      </c>
      <c r="J34" t="s">
        <v>34</v>
      </c>
      <c r="K34" t="s">
        <v>210</v>
      </c>
      <c r="L34" s="2">
        <v>1149852.2360690541</v>
      </c>
      <c r="M34" s="3">
        <v>0.49706405369647472</v>
      </c>
      <c r="N34" s="3">
        <v>0</v>
      </c>
      <c r="O34" s="3">
        <v>7.377284905143236E-2</v>
      </c>
      <c r="P34" s="3">
        <v>8.4930671967488238E-4</v>
      </c>
      <c r="Q34" s="3">
        <v>0.42831379053241803</v>
      </c>
      <c r="R34" s="3">
        <v>7.4622155771107243E-2</v>
      </c>
      <c r="S34" t="s">
        <v>28</v>
      </c>
      <c r="T34" s="4">
        <f t="shared" si="0"/>
        <v>64.72</v>
      </c>
    </row>
    <row r="35" spans="1:20" x14ac:dyDescent="0.2">
      <c r="A35">
        <v>33</v>
      </c>
      <c r="B35">
        <v>1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25</v>
      </c>
      <c r="I35" t="s">
        <v>25</v>
      </c>
      <c r="J35" t="s">
        <v>34</v>
      </c>
      <c r="K35" t="s">
        <v>27</v>
      </c>
      <c r="L35" s="2">
        <v>1149852.2360690541</v>
      </c>
      <c r="M35" s="3">
        <v>0.93594790159568075</v>
      </c>
      <c r="N35" s="3">
        <v>0</v>
      </c>
      <c r="O35" s="3">
        <v>6.4052098404320218E-2</v>
      </c>
      <c r="P35" s="3">
        <v>0</v>
      </c>
      <c r="Q35" s="3">
        <v>0</v>
      </c>
      <c r="R35" s="3">
        <v>6.4052098404320218E-2</v>
      </c>
      <c r="S35" t="s">
        <v>28</v>
      </c>
      <c r="T35" s="4">
        <f t="shared" si="0"/>
        <v>106.41</v>
      </c>
    </row>
    <row r="36" spans="1:20" x14ac:dyDescent="0.2">
      <c r="A36">
        <v>34</v>
      </c>
      <c r="B36">
        <v>1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67</v>
      </c>
      <c r="I36" t="s">
        <v>67</v>
      </c>
      <c r="J36" t="s">
        <v>92</v>
      </c>
      <c r="K36" t="s">
        <v>130</v>
      </c>
      <c r="L36" s="2">
        <v>1149852.236069005</v>
      </c>
      <c r="M36" s="3">
        <v>0.40414614856189113</v>
      </c>
      <c r="N36" s="3">
        <v>0</v>
      </c>
      <c r="O36" s="3">
        <v>8.5959559490751056E-2</v>
      </c>
      <c r="P36" s="3">
        <v>2.4124876553175349E-2</v>
      </c>
      <c r="Q36" s="3">
        <v>0.4857694153941825</v>
      </c>
      <c r="R36" s="3">
        <v>0.1100844360439264</v>
      </c>
      <c r="S36" t="s">
        <v>36</v>
      </c>
      <c r="T36" s="4">
        <f t="shared" si="0"/>
        <v>64.84</v>
      </c>
    </row>
    <row r="37" spans="1:20" x14ac:dyDescent="0.2">
      <c r="A37">
        <v>35</v>
      </c>
      <c r="B37">
        <v>2</v>
      </c>
      <c r="C37" t="s">
        <v>221</v>
      </c>
      <c r="D37" t="s">
        <v>222</v>
      </c>
      <c r="E37" t="s">
        <v>175</v>
      </c>
      <c r="F37" t="s">
        <v>223</v>
      </c>
      <c r="G37" t="s">
        <v>224</v>
      </c>
      <c r="H37" t="s">
        <v>67</v>
      </c>
      <c r="I37" t="s">
        <v>67</v>
      </c>
      <c r="J37" t="s">
        <v>92</v>
      </c>
      <c r="K37" t="s">
        <v>27</v>
      </c>
      <c r="L37" s="2">
        <v>2299704.4721381082</v>
      </c>
      <c r="M37" s="3">
        <v>0</v>
      </c>
      <c r="N37" s="3">
        <v>0</v>
      </c>
      <c r="O37" s="3">
        <v>0.1148041178832693</v>
      </c>
      <c r="P37" s="3">
        <v>1.004224499081386E-2</v>
      </c>
      <c r="Q37" s="3">
        <v>0.87515363712591676</v>
      </c>
      <c r="R37" s="3">
        <v>0.1248463628740832</v>
      </c>
      <c r="S37" t="s">
        <v>36</v>
      </c>
      <c r="T37" s="4">
        <f t="shared" si="0"/>
        <v>25.97</v>
      </c>
    </row>
    <row r="38" spans="1:20" x14ac:dyDescent="0.2">
      <c r="A38">
        <v>36</v>
      </c>
      <c r="B38">
        <v>2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67</v>
      </c>
      <c r="I38" t="s">
        <v>67</v>
      </c>
      <c r="J38" t="s">
        <v>34</v>
      </c>
      <c r="K38" t="s">
        <v>230</v>
      </c>
      <c r="L38" s="2">
        <v>2299704.4721381082</v>
      </c>
      <c r="M38" s="3">
        <v>2.308973550117709E-2</v>
      </c>
      <c r="N38" s="3">
        <v>0</v>
      </c>
      <c r="O38" s="3">
        <v>0.29261262760627449</v>
      </c>
      <c r="P38" s="3">
        <v>0.2535243324367587</v>
      </c>
      <c r="Q38" s="3">
        <v>0.43077330445578982</v>
      </c>
      <c r="R38" s="3">
        <v>0.54613696004303325</v>
      </c>
      <c r="S38" t="s">
        <v>125</v>
      </c>
      <c r="T38" s="4">
        <f t="shared" si="0"/>
        <v>136.88999999999999</v>
      </c>
    </row>
    <row r="39" spans="1:20" x14ac:dyDescent="0.2">
      <c r="A39">
        <v>37</v>
      </c>
      <c r="B39">
        <v>2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67</v>
      </c>
      <c r="I39" t="s">
        <v>67</v>
      </c>
      <c r="J39" t="s">
        <v>34</v>
      </c>
      <c r="K39" t="s">
        <v>204</v>
      </c>
      <c r="L39" s="2">
        <v>2299704.4721381082</v>
      </c>
      <c r="M39" s="3">
        <v>0.79653404000068284</v>
      </c>
      <c r="N39" s="3">
        <v>0</v>
      </c>
      <c r="O39" s="3">
        <v>0.1499447529110749</v>
      </c>
      <c r="P39" s="3">
        <v>4.1222995610036263E-2</v>
      </c>
      <c r="Q39" s="3">
        <v>1.229821147820598E-2</v>
      </c>
      <c r="R39" s="3">
        <v>0.19116774852111121</v>
      </c>
      <c r="S39" t="s">
        <v>36</v>
      </c>
      <c r="T39" s="4">
        <f t="shared" si="0"/>
        <v>122.01</v>
      </c>
    </row>
    <row r="40" spans="1:20" x14ac:dyDescent="0.2">
      <c r="A40">
        <v>38</v>
      </c>
      <c r="B40">
        <v>1</v>
      </c>
      <c r="C40" t="s">
        <v>236</v>
      </c>
      <c r="D40" t="s">
        <v>237</v>
      </c>
      <c r="E40" t="s">
        <v>207</v>
      </c>
      <c r="F40" t="s">
        <v>238</v>
      </c>
      <c r="G40" t="s">
        <v>239</v>
      </c>
      <c r="H40" t="s">
        <v>67</v>
      </c>
      <c r="I40" t="s">
        <v>67</v>
      </c>
      <c r="J40" t="s">
        <v>34</v>
      </c>
      <c r="K40" t="s">
        <v>240</v>
      </c>
      <c r="L40" s="2">
        <v>1149852.2360690541</v>
      </c>
      <c r="M40" s="3">
        <v>0.89117496205667091</v>
      </c>
      <c r="N40" s="3">
        <v>0</v>
      </c>
      <c r="O40" s="3">
        <v>8.2329695710495282E-2</v>
      </c>
      <c r="P40" s="3">
        <v>1.4087239022918759E-3</v>
      </c>
      <c r="Q40" s="3">
        <v>2.5086618330541929E-2</v>
      </c>
      <c r="R40" s="3">
        <v>8.3738419612787163E-2</v>
      </c>
      <c r="S40" t="s">
        <v>28</v>
      </c>
      <c r="T40" s="4">
        <f t="shared" si="0"/>
        <v>106.01</v>
      </c>
    </row>
    <row r="41" spans="1:20" x14ac:dyDescent="0.2">
      <c r="A41">
        <v>39</v>
      </c>
      <c r="B41">
        <v>1</v>
      </c>
      <c r="C41" t="s">
        <v>241</v>
      </c>
      <c r="D41" t="s">
        <v>242</v>
      </c>
      <c r="E41" t="s">
        <v>243</v>
      </c>
      <c r="F41" t="s">
        <v>186</v>
      </c>
      <c r="G41" t="s">
        <v>160</v>
      </c>
      <c r="H41" t="s">
        <v>25</v>
      </c>
      <c r="I41" t="s">
        <v>25</v>
      </c>
      <c r="J41" t="s">
        <v>34</v>
      </c>
      <c r="K41" t="s">
        <v>240</v>
      </c>
      <c r="L41" s="2">
        <v>1149852.2360690541</v>
      </c>
      <c r="M41" s="3">
        <v>0.89800491538618998</v>
      </c>
      <c r="N41" s="3">
        <v>0</v>
      </c>
      <c r="O41" s="3">
        <v>0.1019437363487076</v>
      </c>
      <c r="P41" s="3">
        <v>5.1348265106303077E-5</v>
      </c>
      <c r="Q41" s="3">
        <v>0</v>
      </c>
      <c r="R41" s="3">
        <v>0.1019950846138139</v>
      </c>
      <c r="S41" t="s">
        <v>36</v>
      </c>
      <c r="T41" s="4">
        <f t="shared" si="0"/>
        <v>110.2</v>
      </c>
    </row>
    <row r="42" spans="1:20" x14ac:dyDescent="0.2">
      <c r="A42">
        <v>40</v>
      </c>
      <c r="B42">
        <v>1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25</v>
      </c>
      <c r="I42" t="s">
        <v>25</v>
      </c>
      <c r="J42" t="s">
        <v>34</v>
      </c>
      <c r="K42" t="s">
        <v>249</v>
      </c>
      <c r="L42" s="2">
        <v>1149852.2360690541</v>
      </c>
      <c r="M42" s="3">
        <v>0.82507488432367904</v>
      </c>
      <c r="N42" s="3">
        <v>0</v>
      </c>
      <c r="O42" s="3">
        <v>0.1352133016701052</v>
      </c>
      <c r="P42" s="3">
        <v>1.7331507135231899E-4</v>
      </c>
      <c r="Q42" s="3">
        <v>3.9538498934863497E-2</v>
      </c>
      <c r="R42" s="3">
        <v>0.13538661674145749</v>
      </c>
      <c r="S42" t="s">
        <v>36</v>
      </c>
      <c r="T42" s="4">
        <f t="shared" si="0"/>
        <v>109.6</v>
      </c>
    </row>
    <row r="43" spans="1:20" x14ac:dyDescent="0.2">
      <c r="A43">
        <v>41</v>
      </c>
      <c r="B43">
        <v>1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67</v>
      </c>
      <c r="I43" t="s">
        <v>67</v>
      </c>
      <c r="J43" t="s">
        <v>26</v>
      </c>
      <c r="K43" t="s">
        <v>249</v>
      </c>
      <c r="L43" s="2">
        <v>1149852.2360690541</v>
      </c>
      <c r="M43" s="3">
        <v>0.34041530284914012</v>
      </c>
      <c r="N43" s="3">
        <v>0</v>
      </c>
      <c r="O43" s="3">
        <v>0.1208004976287341</v>
      </c>
      <c r="P43" s="3">
        <v>5.0196751022433893E-2</v>
      </c>
      <c r="Q43" s="3">
        <v>0.48858744849969188</v>
      </c>
      <c r="R43" s="3">
        <v>0.170997248651168</v>
      </c>
      <c r="S43" t="s">
        <v>36</v>
      </c>
      <c r="T43" s="4">
        <f t="shared" si="0"/>
        <v>73.260000000000005</v>
      </c>
    </row>
    <row r="44" spans="1:20" x14ac:dyDescent="0.2">
      <c r="A44">
        <v>42</v>
      </c>
      <c r="B44">
        <v>1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260</v>
      </c>
      <c r="J44" t="s">
        <v>34</v>
      </c>
      <c r="K44" t="s">
        <v>249</v>
      </c>
      <c r="L44" s="2">
        <v>1149852.2360690541</v>
      </c>
      <c r="M44" s="3">
        <v>0.1542473060493979</v>
      </c>
      <c r="N44" s="3">
        <v>0</v>
      </c>
      <c r="O44" s="3">
        <v>0.18991574991798299</v>
      </c>
      <c r="P44" s="3">
        <v>0.52191038924465105</v>
      </c>
      <c r="Q44" s="3">
        <v>0.133926554787968</v>
      </c>
      <c r="R44" s="3">
        <v>0.71182613916263404</v>
      </c>
      <c r="S44" t="s">
        <v>44</v>
      </c>
      <c r="T44" s="4">
        <f t="shared" si="0"/>
        <v>209.98</v>
      </c>
    </row>
    <row r="45" spans="1:20" x14ac:dyDescent="0.2">
      <c r="A45">
        <v>43</v>
      </c>
      <c r="B45">
        <v>1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25</v>
      </c>
      <c r="I45" t="s">
        <v>25</v>
      </c>
      <c r="J45" t="s">
        <v>26</v>
      </c>
      <c r="K45" t="s">
        <v>266</v>
      </c>
      <c r="L45" s="2">
        <v>1149852.2360690541</v>
      </c>
      <c r="M45" s="3">
        <v>3.9131022331690038E-2</v>
      </c>
      <c r="N45" s="3">
        <v>0</v>
      </c>
      <c r="O45" s="3">
        <v>9.3851642606545188E-2</v>
      </c>
      <c r="P45" s="3">
        <v>3.585438850755622E-3</v>
      </c>
      <c r="Q45" s="3">
        <v>0.86343189621100913</v>
      </c>
      <c r="R45" s="3">
        <v>9.7437081457300817E-2</v>
      </c>
      <c r="S45" t="s">
        <v>28</v>
      </c>
      <c r="T45" s="4">
        <f t="shared" si="0"/>
        <v>23.76</v>
      </c>
    </row>
    <row r="46" spans="1:20" x14ac:dyDescent="0.2">
      <c r="A46">
        <v>44</v>
      </c>
      <c r="B46">
        <v>1</v>
      </c>
      <c r="C46" t="s">
        <v>267</v>
      </c>
      <c r="D46" t="s">
        <v>268</v>
      </c>
      <c r="E46" t="s">
        <v>252</v>
      </c>
      <c r="F46" t="s">
        <v>269</v>
      </c>
      <c r="G46" t="s">
        <v>270</v>
      </c>
      <c r="H46" t="s">
        <v>25</v>
      </c>
      <c r="I46" t="s">
        <v>25</v>
      </c>
      <c r="J46" t="s">
        <v>34</v>
      </c>
      <c r="K46" t="s">
        <v>271</v>
      </c>
      <c r="L46" s="2">
        <v>1149852.2360690541</v>
      </c>
      <c r="M46" s="3">
        <v>0.43777919750542088</v>
      </c>
      <c r="N46" s="3">
        <v>0</v>
      </c>
      <c r="O46" s="3">
        <v>4.7957563608918292E-2</v>
      </c>
      <c r="P46" s="3">
        <v>5.8450823763904797E-5</v>
      </c>
      <c r="Q46" s="3">
        <v>0.51420478806189696</v>
      </c>
      <c r="R46" s="3">
        <v>4.8016014432682198E-2</v>
      </c>
      <c r="S46" t="s">
        <v>28</v>
      </c>
      <c r="T46" s="4">
        <f t="shared" si="0"/>
        <v>53.39</v>
      </c>
    </row>
    <row r="47" spans="1:20" x14ac:dyDescent="0.2">
      <c r="A47">
        <v>45</v>
      </c>
      <c r="B47">
        <v>1</v>
      </c>
      <c r="C47" t="s">
        <v>272</v>
      </c>
      <c r="D47" t="s">
        <v>273</v>
      </c>
      <c r="E47" t="s">
        <v>274</v>
      </c>
      <c r="F47" t="s">
        <v>275</v>
      </c>
      <c r="G47" t="s">
        <v>276</v>
      </c>
      <c r="H47" t="s">
        <v>25</v>
      </c>
      <c r="I47" t="s">
        <v>25</v>
      </c>
      <c r="J47" t="s">
        <v>34</v>
      </c>
      <c r="K47" t="s">
        <v>277</v>
      </c>
      <c r="L47" s="2">
        <v>1149852.2360690541</v>
      </c>
      <c r="M47" s="3">
        <v>0.4019971295179402</v>
      </c>
      <c r="N47" s="3">
        <v>0</v>
      </c>
      <c r="O47" s="3">
        <v>8.8771619245524666E-2</v>
      </c>
      <c r="P47" s="3">
        <v>5.259424821008734E-2</v>
      </c>
      <c r="Q47" s="3">
        <v>0.45663700302644777</v>
      </c>
      <c r="R47" s="3">
        <v>0.141365867455612</v>
      </c>
      <c r="S47" t="s">
        <v>36</v>
      </c>
      <c r="T47" s="4">
        <f t="shared" si="0"/>
        <v>73.73</v>
      </c>
    </row>
    <row r="48" spans="1:20" x14ac:dyDescent="0.2">
      <c r="A48">
        <v>46</v>
      </c>
      <c r="B48">
        <v>1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25</v>
      </c>
      <c r="I48" t="s">
        <v>25</v>
      </c>
      <c r="J48" t="s">
        <v>26</v>
      </c>
      <c r="K48" t="s">
        <v>283</v>
      </c>
      <c r="L48" s="2">
        <v>1149852.2360690541</v>
      </c>
      <c r="M48" s="3">
        <v>0.6356997238195855</v>
      </c>
      <c r="N48" s="3">
        <v>0</v>
      </c>
      <c r="O48" s="3">
        <v>0.1670720044761661</v>
      </c>
      <c r="P48" s="3">
        <v>5.7519519689578053E-2</v>
      </c>
      <c r="Q48" s="3">
        <v>0.1397087520146704</v>
      </c>
      <c r="R48" s="3">
        <v>0.22459152416574421</v>
      </c>
      <c r="S48" t="s">
        <v>69</v>
      </c>
      <c r="T48" s="4">
        <f t="shared" si="0"/>
        <v>114.24</v>
      </c>
    </row>
    <row r="49" spans="1:20" x14ac:dyDescent="0.2">
      <c r="A49">
        <v>47</v>
      </c>
      <c r="B49">
        <v>2</v>
      </c>
      <c r="C49" t="s">
        <v>284</v>
      </c>
      <c r="D49" t="s">
        <v>285</v>
      </c>
      <c r="E49" t="s">
        <v>286</v>
      </c>
      <c r="F49" t="s">
        <v>287</v>
      </c>
      <c r="G49" t="s">
        <v>288</v>
      </c>
      <c r="H49" t="s">
        <v>25</v>
      </c>
      <c r="I49" t="s">
        <v>25</v>
      </c>
      <c r="J49" t="s">
        <v>92</v>
      </c>
      <c r="K49" t="s">
        <v>86</v>
      </c>
      <c r="L49" s="2">
        <v>2299704.4721381082</v>
      </c>
      <c r="M49" s="3">
        <v>0.19256583893529861</v>
      </c>
      <c r="N49" s="3">
        <v>0</v>
      </c>
      <c r="O49" s="3">
        <v>0.17221494132063289</v>
      </c>
      <c r="P49" s="3">
        <v>0.4395187129209443</v>
      </c>
      <c r="Q49" s="3">
        <v>0.1957005068231242</v>
      </c>
      <c r="R49" s="3">
        <v>0.61173365424157722</v>
      </c>
      <c r="S49" t="s">
        <v>44</v>
      </c>
      <c r="T49" s="4">
        <f t="shared" si="0"/>
        <v>185.56</v>
      </c>
    </row>
    <row r="50" spans="1:20" x14ac:dyDescent="0.2">
      <c r="A50">
        <v>48</v>
      </c>
      <c r="B50">
        <v>1</v>
      </c>
      <c r="C50" t="s">
        <v>289</v>
      </c>
      <c r="D50" t="s">
        <v>290</v>
      </c>
      <c r="E50" t="s">
        <v>291</v>
      </c>
      <c r="F50" t="s">
        <v>122</v>
      </c>
      <c r="G50" t="s">
        <v>123</v>
      </c>
      <c r="H50" t="s">
        <v>25</v>
      </c>
      <c r="I50" t="s">
        <v>25</v>
      </c>
      <c r="J50" t="s">
        <v>34</v>
      </c>
      <c r="K50" t="s">
        <v>35</v>
      </c>
      <c r="L50" s="2">
        <v>1149852.236069005</v>
      </c>
      <c r="M50" s="3">
        <v>0</v>
      </c>
      <c r="N50" s="3">
        <v>0</v>
      </c>
      <c r="O50" s="3">
        <v>7.3078041783669695E-2</v>
      </c>
      <c r="P50" s="3">
        <v>0</v>
      </c>
      <c r="Q50" s="3">
        <v>0.92692195821633028</v>
      </c>
      <c r="R50" s="3">
        <v>7.3078041783669695E-2</v>
      </c>
      <c r="S50" t="s">
        <v>28</v>
      </c>
      <c r="T50" s="4">
        <f t="shared" si="0"/>
        <v>14.62</v>
      </c>
    </row>
    <row r="51" spans="1:20" x14ac:dyDescent="0.2">
      <c r="A51">
        <v>49</v>
      </c>
      <c r="B51">
        <v>1</v>
      </c>
      <c r="C51" t="s">
        <v>292</v>
      </c>
      <c r="D51" t="s">
        <v>293</v>
      </c>
      <c r="E51" t="s">
        <v>291</v>
      </c>
      <c r="F51" t="s">
        <v>294</v>
      </c>
      <c r="G51" t="s">
        <v>295</v>
      </c>
      <c r="H51" t="s">
        <v>80</v>
      </c>
      <c r="I51" t="s">
        <v>296</v>
      </c>
      <c r="J51" t="s">
        <v>34</v>
      </c>
      <c r="K51" t="s">
        <v>230</v>
      </c>
      <c r="L51" s="2">
        <v>0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t="s">
        <v>28</v>
      </c>
      <c r="T51" s="4">
        <f t="shared" si="0"/>
        <v>0</v>
      </c>
    </row>
    <row r="52" spans="1:20" x14ac:dyDescent="0.2">
      <c r="A52">
        <v>50</v>
      </c>
      <c r="B52">
        <v>1</v>
      </c>
      <c r="C52" t="s">
        <v>297</v>
      </c>
      <c r="D52" t="s">
        <v>298</v>
      </c>
      <c r="E52" t="s">
        <v>291</v>
      </c>
      <c r="F52" t="s">
        <v>299</v>
      </c>
      <c r="G52" t="s">
        <v>300</v>
      </c>
      <c r="H52" t="s">
        <v>80</v>
      </c>
      <c r="I52" t="s">
        <v>296</v>
      </c>
      <c r="J52" t="s">
        <v>34</v>
      </c>
      <c r="K52" t="s">
        <v>230</v>
      </c>
      <c r="L52" s="2">
        <v>1149852.236069005</v>
      </c>
      <c r="M52" s="3">
        <v>0.5629402209969443</v>
      </c>
      <c r="N52" s="3">
        <v>0</v>
      </c>
      <c r="O52" s="3">
        <v>0.1146950208637523</v>
      </c>
      <c r="P52" s="3">
        <v>1.0994200906742141E-2</v>
      </c>
      <c r="Q52" s="3">
        <v>0.31137055723256118</v>
      </c>
      <c r="R52" s="3">
        <v>0.12568922177049441</v>
      </c>
      <c r="S52" t="s">
        <v>36</v>
      </c>
      <c r="T52" s="4">
        <f t="shared" si="0"/>
        <v>82.53</v>
      </c>
    </row>
    <row r="53" spans="1:20" x14ac:dyDescent="0.2">
      <c r="A53">
        <v>51</v>
      </c>
      <c r="B53">
        <v>1</v>
      </c>
      <c r="C53" t="s">
        <v>301</v>
      </c>
      <c r="D53" t="s">
        <v>302</v>
      </c>
      <c r="E53" t="s">
        <v>303</v>
      </c>
      <c r="F53" t="s">
        <v>304</v>
      </c>
      <c r="G53" t="s">
        <v>305</v>
      </c>
      <c r="H53" t="s">
        <v>25</v>
      </c>
      <c r="I53" t="s">
        <v>25</v>
      </c>
      <c r="J53" t="s">
        <v>34</v>
      </c>
      <c r="K53" t="s">
        <v>35</v>
      </c>
      <c r="L53" s="2">
        <v>1149852.236069005</v>
      </c>
      <c r="M53" s="3">
        <v>0.36197458950891981</v>
      </c>
      <c r="N53" s="3">
        <v>0</v>
      </c>
      <c r="O53" s="3">
        <v>0.13509002069480991</v>
      </c>
      <c r="P53" s="3">
        <v>2.5457810494753069E-2</v>
      </c>
      <c r="Q53" s="3">
        <v>0.47747757930151719</v>
      </c>
      <c r="R53" s="3">
        <v>0.16054783118956301</v>
      </c>
      <c r="S53" t="s">
        <v>36</v>
      </c>
      <c r="T53" s="4">
        <f t="shared" si="0"/>
        <v>70.849999999999994</v>
      </c>
    </row>
    <row r="54" spans="1:20" x14ac:dyDescent="0.2">
      <c r="A54">
        <v>52</v>
      </c>
      <c r="B54">
        <v>1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 t="s">
        <v>25</v>
      </c>
      <c r="I54" t="s">
        <v>25</v>
      </c>
      <c r="J54" t="s">
        <v>92</v>
      </c>
      <c r="K54" t="s">
        <v>35</v>
      </c>
      <c r="L54" s="2">
        <v>1149852.236069005</v>
      </c>
      <c r="M54" s="3">
        <v>0</v>
      </c>
      <c r="N54" s="3">
        <v>0</v>
      </c>
      <c r="O54" s="3">
        <v>4.2209845438840911E-2</v>
      </c>
      <c r="P54" s="3">
        <v>0</v>
      </c>
      <c r="Q54" s="3">
        <v>0.95779015456115901</v>
      </c>
      <c r="R54" s="3">
        <v>4.2209845438840911E-2</v>
      </c>
      <c r="S54" t="s">
        <v>28</v>
      </c>
      <c r="T54" s="4">
        <f t="shared" si="0"/>
        <v>8.44</v>
      </c>
    </row>
    <row r="55" spans="1:20" x14ac:dyDescent="0.2">
      <c r="A55">
        <v>53</v>
      </c>
      <c r="B55">
        <v>1</v>
      </c>
      <c r="C55" t="s">
        <v>311</v>
      </c>
      <c r="D55" t="s">
        <v>312</v>
      </c>
      <c r="E55" t="s">
        <v>308</v>
      </c>
      <c r="F55" t="s">
        <v>313</v>
      </c>
      <c r="G55" t="s">
        <v>314</v>
      </c>
      <c r="H55" t="s">
        <v>25</v>
      </c>
      <c r="I55" t="s">
        <v>25</v>
      </c>
      <c r="J55" t="s">
        <v>26</v>
      </c>
      <c r="K55" t="s">
        <v>35</v>
      </c>
      <c r="L55" s="2">
        <v>1149852.236069005</v>
      </c>
      <c r="M55" s="3">
        <v>5.382758328122917E-2</v>
      </c>
      <c r="N55" s="3">
        <v>0</v>
      </c>
      <c r="O55" s="3">
        <v>3.9271904403664203E-2</v>
      </c>
      <c r="P55" s="3">
        <v>6.5770655493089809E-4</v>
      </c>
      <c r="Q55" s="3">
        <v>0.90624280576017568</v>
      </c>
      <c r="R55" s="3">
        <v>3.9929610958595103E-2</v>
      </c>
      <c r="S55" t="s">
        <v>28</v>
      </c>
      <c r="T55" s="4">
        <f t="shared" si="0"/>
        <v>13.43</v>
      </c>
    </row>
    <row r="56" spans="1:20" x14ac:dyDescent="0.2">
      <c r="A56">
        <v>54</v>
      </c>
      <c r="B56">
        <v>1</v>
      </c>
      <c r="C56" t="s">
        <v>315</v>
      </c>
      <c r="D56" t="s">
        <v>316</v>
      </c>
      <c r="E56" t="s">
        <v>308</v>
      </c>
      <c r="F56" t="s">
        <v>317</v>
      </c>
      <c r="G56" t="s">
        <v>318</v>
      </c>
      <c r="H56" t="s">
        <v>25</v>
      </c>
      <c r="I56" t="s">
        <v>25</v>
      </c>
      <c r="J56" t="s">
        <v>34</v>
      </c>
      <c r="K56" t="s">
        <v>35</v>
      </c>
      <c r="L56" s="2">
        <v>1149852.236069005</v>
      </c>
      <c r="M56" s="3">
        <v>4.890604820757629E-2</v>
      </c>
      <c r="N56" s="3">
        <v>0</v>
      </c>
      <c r="O56" s="3">
        <v>6.2070874975021818E-2</v>
      </c>
      <c r="P56" s="3">
        <v>5.5144768979059026E-4</v>
      </c>
      <c r="Q56" s="3">
        <v>0.88847162912761135</v>
      </c>
      <c r="R56" s="3">
        <v>6.2622322664812408E-2</v>
      </c>
      <c r="S56" t="s">
        <v>28</v>
      </c>
      <c r="T56" s="4">
        <f t="shared" si="0"/>
        <v>17.47</v>
      </c>
    </row>
    <row r="57" spans="1:20" x14ac:dyDescent="0.2">
      <c r="A57">
        <v>55</v>
      </c>
      <c r="B57">
        <v>1</v>
      </c>
      <c r="C57" t="s">
        <v>319</v>
      </c>
      <c r="D57" t="s">
        <v>320</v>
      </c>
      <c r="E57" t="s">
        <v>321</v>
      </c>
      <c r="F57" t="s">
        <v>322</v>
      </c>
      <c r="G57" t="s">
        <v>323</v>
      </c>
      <c r="H57" t="s">
        <v>25</v>
      </c>
      <c r="I57" t="s">
        <v>25</v>
      </c>
      <c r="J57" t="s">
        <v>92</v>
      </c>
      <c r="K57" t="s">
        <v>35</v>
      </c>
      <c r="L57" s="2">
        <v>1149852.236069005</v>
      </c>
      <c r="M57" s="3">
        <v>3.312490350800282E-16</v>
      </c>
      <c r="N57" s="3">
        <v>0</v>
      </c>
      <c r="O57" s="3">
        <v>8.9076945893203224E-2</v>
      </c>
      <c r="P57" s="3">
        <v>4.7943347380730713E-3</v>
      </c>
      <c r="Q57" s="3">
        <v>0.90612871936872341</v>
      </c>
      <c r="R57" s="3">
        <v>9.3871280631276297E-2</v>
      </c>
      <c r="S57" t="s">
        <v>28</v>
      </c>
      <c r="T57" s="4">
        <f t="shared" si="0"/>
        <v>19.25</v>
      </c>
    </row>
    <row r="58" spans="1:20" x14ac:dyDescent="0.2">
      <c r="A58">
        <v>56</v>
      </c>
      <c r="B58">
        <v>3</v>
      </c>
      <c r="C58" t="s">
        <v>324</v>
      </c>
      <c r="D58" t="s">
        <v>325</v>
      </c>
      <c r="E58" t="s">
        <v>321</v>
      </c>
      <c r="F58" t="s">
        <v>326</v>
      </c>
      <c r="G58" t="s">
        <v>327</v>
      </c>
      <c r="H58" t="s">
        <v>25</v>
      </c>
      <c r="I58" t="s">
        <v>25</v>
      </c>
      <c r="J58" t="s">
        <v>26</v>
      </c>
      <c r="K58" t="s">
        <v>35</v>
      </c>
      <c r="L58" s="2">
        <v>3449556.7082070149</v>
      </c>
      <c r="M58" s="3">
        <v>0</v>
      </c>
      <c r="N58" s="3">
        <v>0</v>
      </c>
      <c r="O58" s="3">
        <v>5.441397205413586E-2</v>
      </c>
      <c r="P58" s="3">
        <v>0</v>
      </c>
      <c r="Q58" s="3">
        <v>0.9455860279458641</v>
      </c>
      <c r="R58" s="3">
        <v>5.441397205413586E-2</v>
      </c>
      <c r="S58" t="s">
        <v>28</v>
      </c>
      <c r="T58" s="4">
        <f t="shared" si="0"/>
        <v>10.88</v>
      </c>
    </row>
    <row r="59" spans="1:20" x14ac:dyDescent="0.2">
      <c r="A59">
        <v>57</v>
      </c>
      <c r="B59">
        <v>1</v>
      </c>
      <c r="C59" t="s">
        <v>328</v>
      </c>
      <c r="D59" t="s">
        <v>329</v>
      </c>
      <c r="E59" t="s">
        <v>321</v>
      </c>
      <c r="F59" t="s">
        <v>330</v>
      </c>
      <c r="H59" t="s">
        <v>25</v>
      </c>
      <c r="I59" t="s">
        <v>25</v>
      </c>
      <c r="J59" t="s">
        <v>92</v>
      </c>
      <c r="K59" t="s">
        <v>35</v>
      </c>
      <c r="L59" s="2">
        <v>1149852.236069005</v>
      </c>
      <c r="M59" s="3">
        <v>0</v>
      </c>
      <c r="N59" s="3">
        <v>0</v>
      </c>
      <c r="O59" s="3">
        <v>8.8091374485605445E-2</v>
      </c>
      <c r="P59" s="3">
        <v>8.6240502700771337E-3</v>
      </c>
      <c r="Q59" s="3">
        <v>0.90328457524431738</v>
      </c>
      <c r="R59" s="3">
        <v>9.671542475568258E-2</v>
      </c>
      <c r="S59" t="s">
        <v>28</v>
      </c>
      <c r="T59" s="4">
        <f t="shared" si="0"/>
        <v>20.21</v>
      </c>
    </row>
    <row r="60" spans="1:20" x14ac:dyDescent="0.2">
      <c r="A60">
        <v>58</v>
      </c>
      <c r="B60">
        <v>1</v>
      </c>
      <c r="C60" t="s">
        <v>331</v>
      </c>
      <c r="D60" t="s">
        <v>332</v>
      </c>
      <c r="E60" t="s">
        <v>333</v>
      </c>
      <c r="F60" t="s">
        <v>334</v>
      </c>
      <c r="G60" t="s">
        <v>335</v>
      </c>
      <c r="H60" t="s">
        <v>336</v>
      </c>
      <c r="I60" t="s">
        <v>336</v>
      </c>
      <c r="J60" t="s">
        <v>34</v>
      </c>
      <c r="K60" t="s">
        <v>155</v>
      </c>
      <c r="L60" s="2">
        <v>1149852.2360690541</v>
      </c>
      <c r="M60" s="3">
        <v>0.28591474322917892</v>
      </c>
      <c r="N60" s="3">
        <v>0</v>
      </c>
      <c r="O60" s="3">
        <v>8.2092624356328955E-2</v>
      </c>
      <c r="P60" s="3">
        <v>4.4803102892973902E-3</v>
      </c>
      <c r="Q60" s="3">
        <v>0.62751232212519481</v>
      </c>
      <c r="R60" s="3">
        <v>8.6572934645626348E-2</v>
      </c>
      <c r="S60" t="s">
        <v>28</v>
      </c>
      <c r="T60" s="4">
        <f t="shared" si="0"/>
        <v>46.35</v>
      </c>
    </row>
    <row r="61" spans="1:20" x14ac:dyDescent="0.2">
      <c r="A61">
        <v>59</v>
      </c>
      <c r="B61">
        <v>1</v>
      </c>
      <c r="C61" t="s">
        <v>337</v>
      </c>
      <c r="D61" t="s">
        <v>338</v>
      </c>
      <c r="E61" t="s">
        <v>339</v>
      </c>
      <c r="F61" t="s">
        <v>340</v>
      </c>
      <c r="G61" t="s">
        <v>341</v>
      </c>
      <c r="H61" t="s">
        <v>25</v>
      </c>
      <c r="I61" t="s">
        <v>25</v>
      </c>
      <c r="J61" t="s">
        <v>26</v>
      </c>
      <c r="K61" t="s">
        <v>35</v>
      </c>
      <c r="L61" s="2">
        <v>1149852.236069005</v>
      </c>
      <c r="M61" s="3">
        <v>3.6092266274508379E-2</v>
      </c>
      <c r="N61" s="3">
        <v>0</v>
      </c>
      <c r="O61" s="3">
        <v>7.9249133120823434E-2</v>
      </c>
      <c r="P61" s="3">
        <v>9.4070718262638086E-4</v>
      </c>
      <c r="Q61" s="3">
        <v>0.88371789342204177</v>
      </c>
      <c r="R61" s="3">
        <v>8.0189840303449819E-2</v>
      </c>
      <c r="S61" t="s">
        <v>28</v>
      </c>
      <c r="T61" s="4">
        <f t="shared" si="0"/>
        <v>19.739999999999998</v>
      </c>
    </row>
    <row r="62" spans="1:20" x14ac:dyDescent="0.2">
      <c r="A62">
        <v>60</v>
      </c>
      <c r="B62">
        <v>2</v>
      </c>
      <c r="C62" t="s">
        <v>342</v>
      </c>
      <c r="D62" t="s">
        <v>343</v>
      </c>
      <c r="E62" t="s">
        <v>339</v>
      </c>
      <c r="F62" t="s">
        <v>344</v>
      </c>
      <c r="G62" t="s">
        <v>345</v>
      </c>
      <c r="H62" t="s">
        <v>25</v>
      </c>
      <c r="I62" t="s">
        <v>25</v>
      </c>
      <c r="J62" t="s">
        <v>92</v>
      </c>
      <c r="K62" t="s">
        <v>35</v>
      </c>
      <c r="L62" s="2">
        <v>2299704.47213801</v>
      </c>
      <c r="M62" s="3">
        <v>0.44377322451794521</v>
      </c>
      <c r="N62" s="3">
        <v>0</v>
      </c>
      <c r="O62" s="3">
        <v>4.3774249455566287E-2</v>
      </c>
      <c r="P62" s="3">
        <v>7.0118642937638828E-6</v>
      </c>
      <c r="Q62" s="3">
        <v>0.51244551416219475</v>
      </c>
      <c r="R62" s="3">
        <v>4.378126131986005E-2</v>
      </c>
      <c r="S62" t="s">
        <v>28</v>
      </c>
      <c r="T62" s="4">
        <f t="shared" si="0"/>
        <v>53.13</v>
      </c>
    </row>
    <row r="63" spans="1:20" x14ac:dyDescent="0.2">
      <c r="A63">
        <v>61</v>
      </c>
      <c r="B63">
        <v>1</v>
      </c>
      <c r="C63" t="s">
        <v>346</v>
      </c>
      <c r="D63" t="s">
        <v>347</v>
      </c>
      <c r="E63" t="s">
        <v>339</v>
      </c>
      <c r="F63" t="s">
        <v>348</v>
      </c>
      <c r="G63" t="s">
        <v>327</v>
      </c>
      <c r="H63" t="s">
        <v>25</v>
      </c>
      <c r="I63" t="s">
        <v>25</v>
      </c>
      <c r="J63" t="s">
        <v>26</v>
      </c>
      <c r="K63" t="s">
        <v>35</v>
      </c>
      <c r="L63" s="2">
        <v>1149852.236069005</v>
      </c>
      <c r="M63" s="3">
        <v>0.35518902605799563</v>
      </c>
      <c r="N63" s="3">
        <v>0</v>
      </c>
      <c r="O63" s="3">
        <v>5.0788752362221967E-2</v>
      </c>
      <c r="P63" s="3">
        <v>0</v>
      </c>
      <c r="Q63" s="3">
        <v>0.59402222157978235</v>
      </c>
      <c r="R63" s="3">
        <v>5.0788752362221967E-2</v>
      </c>
      <c r="S63" t="s">
        <v>28</v>
      </c>
      <c r="T63" s="4">
        <f t="shared" si="0"/>
        <v>45.68</v>
      </c>
    </row>
    <row r="64" spans="1:20" x14ac:dyDescent="0.2">
      <c r="A64">
        <v>62</v>
      </c>
      <c r="B64">
        <v>3</v>
      </c>
      <c r="C64" t="s">
        <v>349</v>
      </c>
      <c r="D64" t="s">
        <v>350</v>
      </c>
      <c r="E64" t="s">
        <v>351</v>
      </c>
      <c r="F64" t="s">
        <v>352</v>
      </c>
      <c r="G64" t="s">
        <v>327</v>
      </c>
      <c r="H64" t="s">
        <v>25</v>
      </c>
      <c r="I64" t="s">
        <v>25</v>
      </c>
      <c r="J64" t="s">
        <v>26</v>
      </c>
      <c r="K64" t="s">
        <v>35</v>
      </c>
      <c r="L64" s="2">
        <v>3449556.7082070149</v>
      </c>
      <c r="M64" s="3">
        <v>9.4336040017167735E-2</v>
      </c>
      <c r="N64" s="3">
        <v>0</v>
      </c>
      <c r="O64" s="3">
        <v>4.426990774199159E-2</v>
      </c>
      <c r="P64" s="3">
        <v>0</v>
      </c>
      <c r="Q64" s="3">
        <v>0.86139405224084065</v>
      </c>
      <c r="R64" s="3">
        <v>4.426990774199159E-2</v>
      </c>
      <c r="S64" t="s">
        <v>28</v>
      </c>
      <c r="T64" s="4">
        <f t="shared" si="0"/>
        <v>18.29</v>
      </c>
    </row>
    <row r="65" spans="1:20" x14ac:dyDescent="0.2">
      <c r="A65">
        <v>63</v>
      </c>
      <c r="B65">
        <v>1</v>
      </c>
      <c r="C65" t="s">
        <v>353</v>
      </c>
      <c r="D65" t="s">
        <v>354</v>
      </c>
      <c r="E65" t="s">
        <v>355</v>
      </c>
      <c r="F65" t="s">
        <v>356</v>
      </c>
      <c r="G65" t="s">
        <v>357</v>
      </c>
      <c r="H65" t="s">
        <v>67</v>
      </c>
      <c r="I65" t="s">
        <v>67</v>
      </c>
      <c r="J65" t="s">
        <v>34</v>
      </c>
      <c r="K65" t="s">
        <v>149</v>
      </c>
      <c r="L65" s="2">
        <v>1149852.236069005</v>
      </c>
      <c r="M65" s="3">
        <v>0.14776869316295829</v>
      </c>
      <c r="N65" s="3">
        <v>0</v>
      </c>
      <c r="O65" s="3">
        <v>6.2402523036133813E-2</v>
      </c>
      <c r="P65" s="3">
        <v>0</v>
      </c>
      <c r="Q65" s="3">
        <v>0.78982878380090793</v>
      </c>
      <c r="R65" s="3">
        <v>6.2402523036133813E-2</v>
      </c>
      <c r="S65" t="s">
        <v>28</v>
      </c>
      <c r="T65" s="4">
        <f t="shared" si="0"/>
        <v>27.26</v>
      </c>
    </row>
    <row r="66" spans="1:20" x14ac:dyDescent="0.2">
      <c r="A66">
        <v>64</v>
      </c>
      <c r="B66">
        <v>1</v>
      </c>
      <c r="C66" t="s">
        <v>358</v>
      </c>
      <c r="D66" t="s">
        <v>359</v>
      </c>
      <c r="E66" t="s">
        <v>360</v>
      </c>
      <c r="F66" t="s">
        <v>361</v>
      </c>
      <c r="G66" t="s">
        <v>362</v>
      </c>
      <c r="H66" t="s">
        <v>25</v>
      </c>
      <c r="I66" t="s">
        <v>25</v>
      </c>
      <c r="J66" t="s">
        <v>34</v>
      </c>
      <c r="K66" t="s">
        <v>363</v>
      </c>
      <c r="L66" s="2">
        <v>1149852.2360690541</v>
      </c>
      <c r="M66" s="3">
        <v>0.44800544870513243</v>
      </c>
      <c r="N66" s="3">
        <v>0</v>
      </c>
      <c r="O66" s="3">
        <v>5.0890994126874652E-2</v>
      </c>
      <c r="P66" s="3">
        <v>1.2940053527323481E-3</v>
      </c>
      <c r="Q66" s="3">
        <v>0.49980955181526049</v>
      </c>
      <c r="R66" s="3">
        <v>5.2184999479607003E-2</v>
      </c>
      <c r="S66" t="s">
        <v>28</v>
      </c>
      <c r="T66" s="4">
        <f t="shared" ref="T66:T129" si="1">ROUND((M66*100*1)+(O66*100*2)+(P66*100*3),2)</f>
        <v>55.37</v>
      </c>
    </row>
    <row r="67" spans="1:20" x14ac:dyDescent="0.2">
      <c r="A67">
        <v>65</v>
      </c>
      <c r="B67">
        <v>1</v>
      </c>
      <c r="C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67</v>
      </c>
      <c r="I67" t="s">
        <v>67</v>
      </c>
      <c r="J67" t="s">
        <v>26</v>
      </c>
      <c r="K67" t="s">
        <v>56</v>
      </c>
      <c r="L67" s="2">
        <v>1149852.236069005</v>
      </c>
      <c r="M67" s="3">
        <v>0.390074573975634</v>
      </c>
      <c r="N67" s="3">
        <v>0</v>
      </c>
      <c r="O67" s="3">
        <v>6.0129440730209503E-2</v>
      </c>
      <c r="P67" s="3">
        <v>0</v>
      </c>
      <c r="Q67" s="3">
        <v>0.54979598529415652</v>
      </c>
      <c r="R67" s="3">
        <v>6.0129440730209503E-2</v>
      </c>
      <c r="S67" t="s">
        <v>28</v>
      </c>
      <c r="T67" s="4">
        <f t="shared" si="1"/>
        <v>51.03</v>
      </c>
    </row>
    <row r="68" spans="1:20" x14ac:dyDescent="0.2">
      <c r="A68">
        <v>66</v>
      </c>
      <c r="B68">
        <v>1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25</v>
      </c>
      <c r="I68" t="s">
        <v>25</v>
      </c>
      <c r="J68" t="s">
        <v>34</v>
      </c>
      <c r="K68" t="s">
        <v>56</v>
      </c>
      <c r="L68" s="2">
        <v>1149852.2360690541</v>
      </c>
      <c r="M68" s="3">
        <v>2.1055858937975489E-2</v>
      </c>
      <c r="N68" s="3">
        <v>0</v>
      </c>
      <c r="O68" s="3">
        <v>0.12658607323871149</v>
      </c>
      <c r="P68" s="3">
        <v>0.1143106370959799</v>
      </c>
      <c r="Q68" s="3">
        <v>0.73804743072733314</v>
      </c>
      <c r="R68" s="3">
        <v>0.2408967103346914</v>
      </c>
      <c r="S68" t="s">
        <v>69</v>
      </c>
      <c r="T68" s="4">
        <f t="shared" si="1"/>
        <v>61.72</v>
      </c>
    </row>
    <row r="69" spans="1:20" x14ac:dyDescent="0.2">
      <c r="A69">
        <v>67</v>
      </c>
      <c r="B69">
        <v>1</v>
      </c>
      <c r="C69" t="s">
        <v>374</v>
      </c>
      <c r="D69" t="s">
        <v>375</v>
      </c>
      <c r="E69" t="s">
        <v>366</v>
      </c>
      <c r="F69" t="s">
        <v>122</v>
      </c>
      <c r="G69" t="s">
        <v>123</v>
      </c>
      <c r="H69" t="s">
        <v>25</v>
      </c>
      <c r="I69" t="s">
        <v>25</v>
      </c>
      <c r="J69" t="s">
        <v>34</v>
      </c>
      <c r="K69" t="s">
        <v>187</v>
      </c>
      <c r="L69" s="2">
        <v>1149852.236069005</v>
      </c>
      <c r="M69" s="3">
        <v>0.33935217277964402</v>
      </c>
      <c r="N69" s="3">
        <v>0</v>
      </c>
      <c r="O69" s="3">
        <v>6.6869882537240549E-2</v>
      </c>
      <c r="P69" s="3">
        <v>0</v>
      </c>
      <c r="Q69" s="3">
        <v>0.59377794468311551</v>
      </c>
      <c r="R69" s="3">
        <v>6.6869882537240549E-2</v>
      </c>
      <c r="S69" t="s">
        <v>28</v>
      </c>
      <c r="T69" s="4">
        <f t="shared" si="1"/>
        <v>47.31</v>
      </c>
    </row>
    <row r="70" spans="1:20" x14ac:dyDescent="0.2">
      <c r="A70">
        <v>68</v>
      </c>
      <c r="B70">
        <v>1</v>
      </c>
      <c r="C70" t="s">
        <v>376</v>
      </c>
      <c r="D70" t="s">
        <v>377</v>
      </c>
      <c r="E70" t="s">
        <v>378</v>
      </c>
      <c r="F70" t="s">
        <v>379</v>
      </c>
      <c r="G70" t="s">
        <v>380</v>
      </c>
      <c r="H70" t="s">
        <v>25</v>
      </c>
      <c r="I70" t="s">
        <v>25</v>
      </c>
      <c r="J70" t="s">
        <v>34</v>
      </c>
      <c r="K70" t="s">
        <v>187</v>
      </c>
      <c r="L70" s="2">
        <v>1149852.2360690541</v>
      </c>
      <c r="M70" s="3">
        <v>0.17320231636324171</v>
      </c>
      <c r="N70" s="3">
        <v>0</v>
      </c>
      <c r="O70" s="3">
        <v>0.1011383315209151</v>
      </c>
      <c r="P70" s="3">
        <v>5.9175491962585236E-4</v>
      </c>
      <c r="Q70" s="3">
        <v>0.72506759719621727</v>
      </c>
      <c r="R70" s="3">
        <v>0.10173008644054091</v>
      </c>
      <c r="S70" t="s">
        <v>36</v>
      </c>
      <c r="T70" s="4">
        <f t="shared" si="1"/>
        <v>37.729999999999997</v>
      </c>
    </row>
    <row r="71" spans="1:20" x14ac:dyDescent="0.2">
      <c r="A71">
        <v>69</v>
      </c>
      <c r="B71">
        <v>1</v>
      </c>
      <c r="C71" t="s">
        <v>381</v>
      </c>
      <c r="D71" t="s">
        <v>382</v>
      </c>
      <c r="E71" t="s">
        <v>383</v>
      </c>
      <c r="F71" t="s">
        <v>384</v>
      </c>
      <c r="G71" t="s">
        <v>385</v>
      </c>
      <c r="H71" t="s">
        <v>25</v>
      </c>
      <c r="I71" t="s">
        <v>25</v>
      </c>
      <c r="J71" t="s">
        <v>26</v>
      </c>
      <c r="K71" t="s">
        <v>27</v>
      </c>
      <c r="L71" s="2">
        <v>1149852.2360690541</v>
      </c>
      <c r="M71" s="3">
        <v>0.10347330936191371</v>
      </c>
      <c r="N71" s="3">
        <v>0</v>
      </c>
      <c r="O71" s="3">
        <v>0.1212956401140792</v>
      </c>
      <c r="P71" s="3">
        <v>2.8021084121599042E-2</v>
      </c>
      <c r="Q71" s="3">
        <v>0.747209966402408</v>
      </c>
      <c r="R71" s="3">
        <v>0.14931672423567829</v>
      </c>
      <c r="S71" t="s">
        <v>36</v>
      </c>
      <c r="T71" s="4">
        <f t="shared" si="1"/>
        <v>43.01</v>
      </c>
    </row>
    <row r="72" spans="1:20" x14ac:dyDescent="0.2">
      <c r="A72">
        <v>70</v>
      </c>
      <c r="B72">
        <v>1</v>
      </c>
      <c r="C72" t="s">
        <v>386</v>
      </c>
      <c r="D72" t="s">
        <v>387</v>
      </c>
      <c r="E72" t="s">
        <v>360</v>
      </c>
      <c r="F72" t="s">
        <v>388</v>
      </c>
      <c r="G72" t="s">
        <v>389</v>
      </c>
      <c r="H72" t="s">
        <v>25</v>
      </c>
      <c r="I72" t="s">
        <v>25</v>
      </c>
      <c r="J72" t="s">
        <v>26</v>
      </c>
      <c r="K72" t="s">
        <v>27</v>
      </c>
      <c r="L72" s="2">
        <v>1149852.2360690541</v>
      </c>
      <c r="M72" s="3">
        <v>0.60372682447665338</v>
      </c>
      <c r="N72" s="3">
        <v>0</v>
      </c>
      <c r="O72" s="3">
        <v>5.1815732981334073E-2</v>
      </c>
      <c r="P72" s="3">
        <v>1.0753966004833379E-4</v>
      </c>
      <c r="Q72" s="3">
        <v>0.34434990288196432</v>
      </c>
      <c r="R72" s="3">
        <v>5.1923272641382412E-2</v>
      </c>
      <c r="S72" t="s">
        <v>28</v>
      </c>
      <c r="T72" s="4">
        <f t="shared" si="1"/>
        <v>70.77</v>
      </c>
    </row>
    <row r="73" spans="1:20" x14ac:dyDescent="0.2">
      <c r="A73">
        <v>71</v>
      </c>
      <c r="B73">
        <v>1</v>
      </c>
      <c r="C73" t="s">
        <v>390</v>
      </c>
      <c r="D73" t="s">
        <v>391</v>
      </c>
      <c r="E73" t="s">
        <v>392</v>
      </c>
      <c r="F73" t="s">
        <v>393</v>
      </c>
      <c r="G73" t="s">
        <v>394</v>
      </c>
      <c r="H73" t="s">
        <v>25</v>
      </c>
      <c r="I73" t="s">
        <v>25</v>
      </c>
      <c r="J73" t="s">
        <v>34</v>
      </c>
      <c r="K73" t="s">
        <v>130</v>
      </c>
      <c r="L73" s="2">
        <v>1149852.2360690541</v>
      </c>
      <c r="M73" s="3">
        <v>2.1532135290885091E-2</v>
      </c>
      <c r="N73" s="3">
        <v>0</v>
      </c>
      <c r="O73" s="3">
        <v>5.07990198399529E-2</v>
      </c>
      <c r="P73" s="3">
        <v>0</v>
      </c>
      <c r="Q73" s="3">
        <v>0.92766884486916212</v>
      </c>
      <c r="R73" s="3">
        <v>5.07990198399529E-2</v>
      </c>
      <c r="S73" t="s">
        <v>28</v>
      </c>
      <c r="T73" s="4">
        <f t="shared" si="1"/>
        <v>12.31</v>
      </c>
    </row>
    <row r="74" spans="1:20" x14ac:dyDescent="0.2">
      <c r="A74">
        <v>72</v>
      </c>
      <c r="B74">
        <v>1</v>
      </c>
      <c r="C74" t="s">
        <v>395</v>
      </c>
      <c r="D74" t="s">
        <v>396</v>
      </c>
      <c r="E74" t="s">
        <v>392</v>
      </c>
      <c r="F74" t="s">
        <v>397</v>
      </c>
      <c r="G74" t="s">
        <v>398</v>
      </c>
      <c r="H74" t="s">
        <v>25</v>
      </c>
      <c r="I74" t="s">
        <v>25</v>
      </c>
      <c r="J74" t="s">
        <v>92</v>
      </c>
      <c r="K74" t="s">
        <v>130</v>
      </c>
      <c r="L74" s="2">
        <v>1149852.2360690541</v>
      </c>
      <c r="M74" s="3">
        <v>0</v>
      </c>
      <c r="N74" s="3">
        <v>0</v>
      </c>
      <c r="O74" s="3">
        <v>5.2862081248520869E-2</v>
      </c>
      <c r="P74" s="3">
        <v>0</v>
      </c>
      <c r="Q74" s="3">
        <v>0.94713791875147912</v>
      </c>
      <c r="R74" s="3">
        <v>5.2862081248520869E-2</v>
      </c>
      <c r="S74" t="s">
        <v>28</v>
      </c>
      <c r="T74" s="4">
        <f t="shared" si="1"/>
        <v>10.57</v>
      </c>
    </row>
    <row r="75" spans="1:20" x14ac:dyDescent="0.2">
      <c r="A75">
        <v>73</v>
      </c>
      <c r="B75">
        <v>2</v>
      </c>
      <c r="C75" t="s">
        <v>399</v>
      </c>
      <c r="D75" t="s">
        <v>400</v>
      </c>
      <c r="E75" t="s">
        <v>401</v>
      </c>
      <c r="F75" t="s">
        <v>402</v>
      </c>
      <c r="G75" t="s">
        <v>403</v>
      </c>
      <c r="H75" t="s">
        <v>25</v>
      </c>
      <c r="I75" t="s">
        <v>25</v>
      </c>
      <c r="J75" t="s">
        <v>26</v>
      </c>
      <c r="K75" t="s">
        <v>93</v>
      </c>
      <c r="L75" s="2">
        <v>2299704.4721381082</v>
      </c>
      <c r="M75" s="3">
        <v>0.23369328358170341</v>
      </c>
      <c r="N75" s="3">
        <v>0</v>
      </c>
      <c r="O75" s="3">
        <v>0.10265233359579511</v>
      </c>
      <c r="P75" s="3">
        <v>2.0865042660498021E-2</v>
      </c>
      <c r="Q75" s="3">
        <v>0.6427893401620034</v>
      </c>
      <c r="R75" s="3">
        <v>0.1235173762562931</v>
      </c>
      <c r="S75" t="s">
        <v>36</v>
      </c>
      <c r="T75" s="4">
        <f t="shared" si="1"/>
        <v>50.16</v>
      </c>
    </row>
    <row r="76" spans="1:20" x14ac:dyDescent="0.2">
      <c r="A76">
        <v>74</v>
      </c>
      <c r="B76">
        <v>1</v>
      </c>
      <c r="C76" t="s">
        <v>404</v>
      </c>
      <c r="D76" t="s">
        <v>405</v>
      </c>
      <c r="E76" t="s">
        <v>401</v>
      </c>
      <c r="F76" t="s">
        <v>406</v>
      </c>
      <c r="G76" t="s">
        <v>407</v>
      </c>
      <c r="H76" t="s">
        <v>25</v>
      </c>
      <c r="I76" t="s">
        <v>25</v>
      </c>
      <c r="J76" t="s">
        <v>34</v>
      </c>
      <c r="K76" t="s">
        <v>86</v>
      </c>
      <c r="L76" s="2">
        <v>1149852.2360690541</v>
      </c>
      <c r="M76" s="3">
        <v>0</v>
      </c>
      <c r="N76" s="3">
        <v>0</v>
      </c>
      <c r="O76" s="3">
        <v>2.017830928861563E-2</v>
      </c>
      <c r="P76" s="3">
        <v>0</v>
      </c>
      <c r="Q76" s="3">
        <v>0.97982169071138436</v>
      </c>
      <c r="R76" s="3">
        <v>2.017830928861563E-2</v>
      </c>
      <c r="S76" t="s">
        <v>28</v>
      </c>
      <c r="T76" s="4">
        <f t="shared" si="1"/>
        <v>4.04</v>
      </c>
    </row>
    <row r="77" spans="1:20" x14ac:dyDescent="0.2">
      <c r="A77">
        <v>75</v>
      </c>
      <c r="B77">
        <v>1</v>
      </c>
      <c r="C77" t="s">
        <v>408</v>
      </c>
      <c r="D77" t="s">
        <v>409</v>
      </c>
      <c r="E77" t="s">
        <v>401</v>
      </c>
      <c r="F77" t="s">
        <v>410</v>
      </c>
      <c r="G77" t="s">
        <v>411</v>
      </c>
      <c r="H77" t="s">
        <v>25</v>
      </c>
      <c r="I77" t="s">
        <v>25</v>
      </c>
      <c r="J77" t="s">
        <v>34</v>
      </c>
      <c r="K77" t="s">
        <v>86</v>
      </c>
      <c r="L77" s="2">
        <v>1149852.2360690541</v>
      </c>
      <c r="M77" s="3">
        <v>7.8571949086303328E-2</v>
      </c>
      <c r="N77" s="3">
        <v>0</v>
      </c>
      <c r="O77" s="3">
        <v>9.512542606970957E-2</v>
      </c>
      <c r="P77" s="3">
        <v>4.2796911012990713E-2</v>
      </c>
      <c r="Q77" s="3">
        <v>0.78350571383099643</v>
      </c>
      <c r="R77" s="3">
        <v>0.1379223370827003</v>
      </c>
      <c r="S77" t="s">
        <v>36</v>
      </c>
      <c r="T77" s="4">
        <f t="shared" si="1"/>
        <v>39.72</v>
      </c>
    </row>
    <row r="78" spans="1:20" x14ac:dyDescent="0.2">
      <c r="A78">
        <v>76</v>
      </c>
      <c r="B78">
        <v>1</v>
      </c>
      <c r="C78" t="s">
        <v>412</v>
      </c>
      <c r="D78" t="s">
        <v>413</v>
      </c>
      <c r="E78" t="s">
        <v>401</v>
      </c>
      <c r="F78" t="s">
        <v>414</v>
      </c>
      <c r="G78" t="s">
        <v>415</v>
      </c>
      <c r="H78" t="s">
        <v>25</v>
      </c>
      <c r="I78" t="s">
        <v>25</v>
      </c>
      <c r="J78" t="s">
        <v>92</v>
      </c>
      <c r="K78" t="s">
        <v>86</v>
      </c>
      <c r="L78" s="2">
        <v>1149852.2360690541</v>
      </c>
      <c r="M78" s="3">
        <v>6.1083336212203569E-2</v>
      </c>
      <c r="N78" s="3">
        <v>0</v>
      </c>
      <c r="O78" s="3">
        <v>0.1684726265418961</v>
      </c>
      <c r="P78" s="3">
        <v>0.2228413944650034</v>
      </c>
      <c r="Q78" s="3">
        <v>0.54760264278089699</v>
      </c>
      <c r="R78" s="3">
        <v>0.39131402100689949</v>
      </c>
      <c r="S78" t="s">
        <v>69</v>
      </c>
      <c r="T78" s="4">
        <f t="shared" si="1"/>
        <v>106.66</v>
      </c>
    </row>
    <row r="79" spans="1:20" x14ac:dyDescent="0.2">
      <c r="A79">
        <v>77</v>
      </c>
      <c r="B79">
        <v>1</v>
      </c>
      <c r="C79" t="s">
        <v>416</v>
      </c>
      <c r="D79" t="s">
        <v>417</v>
      </c>
      <c r="E79" t="s">
        <v>418</v>
      </c>
      <c r="F79" t="s">
        <v>171</v>
      </c>
      <c r="G79" t="s">
        <v>419</v>
      </c>
      <c r="H79" t="s">
        <v>25</v>
      </c>
      <c r="I79" t="s">
        <v>25</v>
      </c>
      <c r="J79" t="s">
        <v>92</v>
      </c>
      <c r="K79" t="s">
        <v>86</v>
      </c>
      <c r="L79" s="2">
        <v>1149852.2360690541</v>
      </c>
      <c r="M79" s="3">
        <v>8.4686585452033988E-2</v>
      </c>
      <c r="N79" s="3">
        <v>0</v>
      </c>
      <c r="O79" s="3">
        <v>0.1894593620286481</v>
      </c>
      <c r="P79" s="3">
        <v>2.079461897075884E-3</v>
      </c>
      <c r="Q79" s="3">
        <v>0.72377459062224203</v>
      </c>
      <c r="R79" s="3">
        <v>0.19153882392572399</v>
      </c>
      <c r="S79" t="s">
        <v>36</v>
      </c>
      <c r="T79" s="4">
        <f t="shared" si="1"/>
        <v>46.98</v>
      </c>
    </row>
    <row r="80" spans="1:20" x14ac:dyDescent="0.2">
      <c r="A80">
        <v>78</v>
      </c>
      <c r="B80">
        <v>1</v>
      </c>
      <c r="C80" t="s">
        <v>420</v>
      </c>
      <c r="D80" t="s">
        <v>421</v>
      </c>
      <c r="E80" t="s">
        <v>422</v>
      </c>
      <c r="F80" t="s">
        <v>423</v>
      </c>
      <c r="G80" t="s">
        <v>424</v>
      </c>
      <c r="H80" t="s">
        <v>25</v>
      </c>
      <c r="I80" t="s">
        <v>25</v>
      </c>
      <c r="J80" t="s">
        <v>34</v>
      </c>
      <c r="K80" t="s">
        <v>86</v>
      </c>
      <c r="L80" s="2">
        <v>1149852.2360690541</v>
      </c>
      <c r="M80" s="3">
        <v>0.49578040567370041</v>
      </c>
      <c r="N80" s="3">
        <v>0</v>
      </c>
      <c r="O80" s="3">
        <v>5.1149343293984219E-2</v>
      </c>
      <c r="P80" s="3">
        <v>2.874504054801982E-2</v>
      </c>
      <c r="Q80" s="3">
        <v>0.42432521048429561</v>
      </c>
      <c r="R80" s="3">
        <v>7.9894383842004035E-2</v>
      </c>
      <c r="S80" t="s">
        <v>28</v>
      </c>
      <c r="T80" s="4">
        <f t="shared" si="1"/>
        <v>68.430000000000007</v>
      </c>
    </row>
    <row r="81" spans="1:20" x14ac:dyDescent="0.2">
      <c r="A81">
        <v>79</v>
      </c>
      <c r="B81">
        <v>1</v>
      </c>
      <c r="C81" t="s">
        <v>425</v>
      </c>
      <c r="D81" t="s">
        <v>426</v>
      </c>
      <c r="E81" t="s">
        <v>422</v>
      </c>
      <c r="F81" t="s">
        <v>427</v>
      </c>
      <c r="G81" t="s">
        <v>428</v>
      </c>
      <c r="H81" t="s">
        <v>25</v>
      </c>
      <c r="I81" t="s">
        <v>25</v>
      </c>
      <c r="J81" t="s">
        <v>92</v>
      </c>
      <c r="K81" t="s">
        <v>86</v>
      </c>
      <c r="L81" s="2">
        <v>1149852.2360690541</v>
      </c>
      <c r="M81" s="3">
        <v>0.71548595742987453</v>
      </c>
      <c r="N81" s="3">
        <v>0</v>
      </c>
      <c r="O81" s="3">
        <v>0.17685610850669231</v>
      </c>
      <c r="P81" s="3">
        <v>8.968631032604846E-4</v>
      </c>
      <c r="Q81" s="3">
        <v>0.10676107096017259</v>
      </c>
      <c r="R81" s="3">
        <v>0.17775297160995279</v>
      </c>
      <c r="S81" t="s">
        <v>36</v>
      </c>
      <c r="T81" s="4">
        <f t="shared" si="1"/>
        <v>107.19</v>
      </c>
    </row>
    <row r="82" spans="1:20" x14ac:dyDescent="0.2">
      <c r="A82">
        <v>80</v>
      </c>
      <c r="B82">
        <v>1</v>
      </c>
      <c r="C82" t="s">
        <v>429</v>
      </c>
      <c r="D82" t="s">
        <v>430</v>
      </c>
      <c r="E82" t="s">
        <v>431</v>
      </c>
      <c r="F82" t="s">
        <v>432</v>
      </c>
      <c r="G82" t="s">
        <v>433</v>
      </c>
      <c r="H82" t="s">
        <v>25</v>
      </c>
      <c r="I82" t="s">
        <v>25</v>
      </c>
      <c r="J82" t="s">
        <v>34</v>
      </c>
      <c r="K82" t="s">
        <v>86</v>
      </c>
      <c r="L82" s="2">
        <v>1149852.2360690541</v>
      </c>
      <c r="M82" s="3">
        <v>1.757418921781394E-3</v>
      </c>
      <c r="N82" s="3">
        <v>0</v>
      </c>
      <c r="O82" s="3">
        <v>8.0091230367484723E-2</v>
      </c>
      <c r="P82" s="3">
        <v>0</v>
      </c>
      <c r="Q82" s="3">
        <v>0.91815135071073384</v>
      </c>
      <c r="R82" s="3">
        <v>8.0091230367484723E-2</v>
      </c>
      <c r="S82" t="s">
        <v>28</v>
      </c>
      <c r="T82" s="4">
        <f t="shared" si="1"/>
        <v>16.190000000000001</v>
      </c>
    </row>
    <row r="83" spans="1:20" x14ac:dyDescent="0.2">
      <c r="A83">
        <v>81</v>
      </c>
      <c r="B83">
        <v>1</v>
      </c>
      <c r="C83" t="s">
        <v>434</v>
      </c>
      <c r="D83" t="s">
        <v>435</v>
      </c>
      <c r="E83" t="s">
        <v>436</v>
      </c>
      <c r="F83" t="s">
        <v>437</v>
      </c>
      <c r="G83" t="s">
        <v>438</v>
      </c>
      <c r="H83" t="s">
        <v>25</v>
      </c>
      <c r="I83" t="s">
        <v>25</v>
      </c>
      <c r="J83" t="s">
        <v>92</v>
      </c>
      <c r="K83" t="s">
        <v>86</v>
      </c>
      <c r="L83" s="2">
        <v>1149852.2360690541</v>
      </c>
      <c r="M83" s="3">
        <v>0.1229804674982326</v>
      </c>
      <c r="N83" s="3">
        <v>0</v>
      </c>
      <c r="O83" s="3">
        <v>7.5770868532786986E-2</v>
      </c>
      <c r="P83" s="3">
        <v>8.7516153066382121E-3</v>
      </c>
      <c r="Q83" s="3">
        <v>0.79249704866234216</v>
      </c>
      <c r="R83" s="3">
        <v>8.4522483839425205E-2</v>
      </c>
      <c r="S83" t="s">
        <v>28</v>
      </c>
      <c r="T83" s="4">
        <f t="shared" si="1"/>
        <v>30.08</v>
      </c>
    </row>
    <row r="84" spans="1:20" x14ac:dyDescent="0.2">
      <c r="A84">
        <v>82</v>
      </c>
      <c r="B84">
        <v>1</v>
      </c>
      <c r="C84" t="s">
        <v>439</v>
      </c>
      <c r="D84" t="s">
        <v>440</v>
      </c>
      <c r="E84" t="s">
        <v>441</v>
      </c>
      <c r="F84" t="s">
        <v>442</v>
      </c>
      <c r="G84" t="s">
        <v>443</v>
      </c>
      <c r="H84" t="s">
        <v>25</v>
      </c>
      <c r="I84" t="s">
        <v>25</v>
      </c>
      <c r="J84" t="s">
        <v>92</v>
      </c>
      <c r="K84" t="s">
        <v>86</v>
      </c>
      <c r="L84" s="2">
        <v>1149852.2360690541</v>
      </c>
      <c r="M84" s="3">
        <v>7.7465777822680798E-2</v>
      </c>
      <c r="N84" s="3">
        <v>0</v>
      </c>
      <c r="O84" s="3">
        <v>0.12264865304859381</v>
      </c>
      <c r="P84" s="3">
        <v>1.316003350722739E-2</v>
      </c>
      <c r="Q84" s="3">
        <v>0.78672553562149794</v>
      </c>
      <c r="R84" s="3">
        <v>0.13580868655582121</v>
      </c>
      <c r="S84" t="s">
        <v>36</v>
      </c>
      <c r="T84" s="4">
        <f t="shared" si="1"/>
        <v>36.22</v>
      </c>
    </row>
    <row r="85" spans="1:20" x14ac:dyDescent="0.2">
      <c r="A85">
        <v>83</v>
      </c>
      <c r="B85">
        <v>1</v>
      </c>
      <c r="C85" t="s">
        <v>444</v>
      </c>
      <c r="D85" t="s">
        <v>445</v>
      </c>
      <c r="E85" t="s">
        <v>446</v>
      </c>
      <c r="F85" t="s">
        <v>447</v>
      </c>
      <c r="G85" t="s">
        <v>448</v>
      </c>
      <c r="H85" t="s">
        <v>25</v>
      </c>
      <c r="I85" t="s">
        <v>25</v>
      </c>
      <c r="J85" t="s">
        <v>26</v>
      </c>
      <c r="K85" t="s">
        <v>62</v>
      </c>
      <c r="L85" s="2">
        <v>1149852.2360690541</v>
      </c>
      <c r="M85" s="3">
        <v>5.7766211728451635E-4</v>
      </c>
      <c r="N85" s="3">
        <v>0</v>
      </c>
      <c r="O85" s="3">
        <v>4.4873566435989921E-2</v>
      </c>
      <c r="P85" s="3">
        <v>0.1490812719143281</v>
      </c>
      <c r="Q85" s="3">
        <v>0.80546749953239738</v>
      </c>
      <c r="R85" s="3">
        <v>0.19395483835031799</v>
      </c>
      <c r="S85" t="s">
        <v>36</v>
      </c>
      <c r="T85" s="4">
        <f t="shared" si="1"/>
        <v>53.76</v>
      </c>
    </row>
    <row r="86" spans="1:20" x14ac:dyDescent="0.2">
      <c r="A86">
        <v>84</v>
      </c>
      <c r="B86">
        <v>1</v>
      </c>
      <c r="C86" t="s">
        <v>449</v>
      </c>
      <c r="D86" t="s">
        <v>450</v>
      </c>
      <c r="E86" t="s">
        <v>451</v>
      </c>
      <c r="F86" t="s">
        <v>452</v>
      </c>
      <c r="G86" t="s">
        <v>453</v>
      </c>
      <c r="H86" t="s">
        <v>25</v>
      </c>
      <c r="I86" t="s">
        <v>25</v>
      </c>
      <c r="J86" t="s">
        <v>92</v>
      </c>
      <c r="K86" t="s">
        <v>86</v>
      </c>
      <c r="L86" s="2">
        <v>1149852.2360690541</v>
      </c>
      <c r="M86" s="3">
        <v>0</v>
      </c>
      <c r="N86" s="3">
        <v>0</v>
      </c>
      <c r="O86" s="3">
        <v>0.19554704982392851</v>
      </c>
      <c r="P86" s="3">
        <v>9.8036998356006738E-2</v>
      </c>
      <c r="Q86" s="3">
        <v>0.70641595182006478</v>
      </c>
      <c r="R86" s="3">
        <v>0.29358404817993522</v>
      </c>
      <c r="S86" t="s">
        <v>69</v>
      </c>
      <c r="T86" s="4">
        <f t="shared" si="1"/>
        <v>68.52</v>
      </c>
    </row>
    <row r="87" spans="1:20" x14ac:dyDescent="0.2">
      <c r="A87">
        <v>85</v>
      </c>
      <c r="B87">
        <v>1</v>
      </c>
      <c r="C87" t="s">
        <v>454</v>
      </c>
      <c r="D87" t="s">
        <v>455</v>
      </c>
      <c r="E87" t="s">
        <v>456</v>
      </c>
      <c r="F87" t="s">
        <v>457</v>
      </c>
      <c r="G87" t="s">
        <v>458</v>
      </c>
      <c r="H87" t="s">
        <v>25</v>
      </c>
      <c r="I87" t="s">
        <v>25</v>
      </c>
      <c r="J87" t="s">
        <v>26</v>
      </c>
      <c r="K87" t="s">
        <v>161</v>
      </c>
      <c r="L87" s="2">
        <v>1149852.2360690541</v>
      </c>
      <c r="M87" s="3">
        <v>0.18717871488798149</v>
      </c>
      <c r="N87" s="3">
        <v>0</v>
      </c>
      <c r="O87" s="3">
        <v>0.14043970583114981</v>
      </c>
      <c r="P87" s="3">
        <v>1.2604974394279749E-2</v>
      </c>
      <c r="Q87" s="3">
        <v>0.65977660488658896</v>
      </c>
      <c r="R87" s="3">
        <v>0.15304468022542961</v>
      </c>
      <c r="S87" t="s">
        <v>36</v>
      </c>
      <c r="T87" s="4">
        <f t="shared" si="1"/>
        <v>50.59</v>
      </c>
    </row>
    <row r="88" spans="1:20" x14ac:dyDescent="0.2">
      <c r="A88">
        <v>86</v>
      </c>
      <c r="B88">
        <v>1</v>
      </c>
      <c r="C88" t="s">
        <v>459</v>
      </c>
      <c r="D88" t="s">
        <v>460</v>
      </c>
      <c r="E88" t="s">
        <v>456</v>
      </c>
      <c r="F88" t="s">
        <v>461</v>
      </c>
      <c r="G88" t="s">
        <v>462</v>
      </c>
      <c r="H88" t="s">
        <v>25</v>
      </c>
      <c r="I88" t="s">
        <v>25</v>
      </c>
      <c r="J88" t="s">
        <v>26</v>
      </c>
      <c r="K88" t="s">
        <v>230</v>
      </c>
      <c r="L88" s="2">
        <v>1149852.2360690541</v>
      </c>
      <c r="M88" s="3">
        <v>0.52974221273242483</v>
      </c>
      <c r="N88" s="3">
        <v>0</v>
      </c>
      <c r="O88" s="3">
        <v>0.15005484616997089</v>
      </c>
      <c r="P88" s="3">
        <v>0.24276405421091549</v>
      </c>
      <c r="Q88" s="3">
        <v>7.7438886886688874E-2</v>
      </c>
      <c r="R88" s="3">
        <v>0.3928189003808864</v>
      </c>
      <c r="S88" t="s">
        <v>69</v>
      </c>
      <c r="T88" s="4">
        <f t="shared" si="1"/>
        <v>155.81</v>
      </c>
    </row>
    <row r="89" spans="1:20" x14ac:dyDescent="0.2">
      <c r="A89">
        <v>87</v>
      </c>
      <c r="B89">
        <v>1</v>
      </c>
      <c r="C89" t="s">
        <v>463</v>
      </c>
      <c r="D89" t="s">
        <v>464</v>
      </c>
      <c r="E89" t="s">
        <v>456</v>
      </c>
      <c r="F89" t="s">
        <v>465</v>
      </c>
      <c r="G89" t="s">
        <v>466</v>
      </c>
      <c r="H89" t="s">
        <v>25</v>
      </c>
      <c r="I89" t="s">
        <v>25</v>
      </c>
      <c r="J89" t="s">
        <v>34</v>
      </c>
      <c r="K89" t="s">
        <v>27</v>
      </c>
      <c r="L89" s="2">
        <v>1149852.2360690541</v>
      </c>
      <c r="M89" s="3">
        <v>0.90920446918030084</v>
      </c>
      <c r="N89" s="3">
        <v>0</v>
      </c>
      <c r="O89" s="3">
        <v>8.9027395635779424E-2</v>
      </c>
      <c r="P89" s="3">
        <v>1.7681351839399951E-3</v>
      </c>
      <c r="Q89" s="3">
        <v>0</v>
      </c>
      <c r="R89" s="3">
        <v>9.0795530819719417E-2</v>
      </c>
      <c r="S89" t="s">
        <v>28</v>
      </c>
      <c r="T89" s="4">
        <f t="shared" si="1"/>
        <v>109.26</v>
      </c>
    </row>
    <row r="90" spans="1:20" x14ac:dyDescent="0.2">
      <c r="A90">
        <v>88</v>
      </c>
      <c r="B90">
        <v>1</v>
      </c>
      <c r="C90" t="s">
        <v>467</v>
      </c>
      <c r="D90" t="s">
        <v>468</v>
      </c>
      <c r="E90" t="s">
        <v>469</v>
      </c>
      <c r="F90" t="s">
        <v>470</v>
      </c>
      <c r="G90" t="s">
        <v>471</v>
      </c>
      <c r="H90" t="s">
        <v>25</v>
      </c>
      <c r="I90" t="s">
        <v>25</v>
      </c>
      <c r="J90" t="s">
        <v>92</v>
      </c>
      <c r="K90" t="s">
        <v>86</v>
      </c>
      <c r="L90" s="2">
        <v>1149852.2360690541</v>
      </c>
      <c r="M90" s="3">
        <v>0.13739465391206629</v>
      </c>
      <c r="N90" s="3">
        <v>0</v>
      </c>
      <c r="O90" s="3">
        <v>4.0280052266846701E-2</v>
      </c>
      <c r="P90" s="3">
        <v>4.0950823165838198E-3</v>
      </c>
      <c r="Q90" s="3">
        <v>0.81823021150450326</v>
      </c>
      <c r="R90" s="3">
        <v>4.4375134583430523E-2</v>
      </c>
      <c r="S90" t="s">
        <v>28</v>
      </c>
      <c r="T90" s="4">
        <f t="shared" si="1"/>
        <v>23.02</v>
      </c>
    </row>
    <row r="91" spans="1:20" x14ac:dyDescent="0.2">
      <c r="A91">
        <v>89</v>
      </c>
      <c r="B91">
        <v>1</v>
      </c>
      <c r="C91" t="s">
        <v>472</v>
      </c>
      <c r="D91" t="s">
        <v>473</v>
      </c>
      <c r="E91" t="s">
        <v>474</v>
      </c>
      <c r="F91" t="s">
        <v>475</v>
      </c>
      <c r="G91" t="s">
        <v>476</v>
      </c>
      <c r="H91" t="s">
        <v>25</v>
      </c>
      <c r="I91" t="s">
        <v>25</v>
      </c>
      <c r="J91" t="s">
        <v>26</v>
      </c>
      <c r="K91" t="s">
        <v>161</v>
      </c>
      <c r="L91" s="2">
        <v>1149852.2360690541</v>
      </c>
      <c r="M91" s="3">
        <v>8.8317175573288956E-2</v>
      </c>
      <c r="N91" s="3">
        <v>0</v>
      </c>
      <c r="O91" s="3">
        <v>7.9863401882995719E-2</v>
      </c>
      <c r="P91" s="3">
        <v>2.4182865900123309E-4</v>
      </c>
      <c r="Q91" s="3">
        <v>0.83157759388471408</v>
      </c>
      <c r="R91" s="3">
        <v>8.0105230541996947E-2</v>
      </c>
      <c r="S91" t="s">
        <v>28</v>
      </c>
      <c r="T91" s="4">
        <f t="shared" si="1"/>
        <v>24.88</v>
      </c>
    </row>
    <row r="92" spans="1:20" x14ac:dyDescent="0.2">
      <c r="A92">
        <v>90</v>
      </c>
      <c r="B92">
        <v>1</v>
      </c>
      <c r="C92" t="s">
        <v>477</v>
      </c>
      <c r="D92" t="s">
        <v>478</v>
      </c>
      <c r="E92" t="s">
        <v>474</v>
      </c>
      <c r="F92" t="s">
        <v>479</v>
      </c>
      <c r="G92" t="s">
        <v>480</v>
      </c>
      <c r="H92" t="s">
        <v>25</v>
      </c>
      <c r="I92" t="s">
        <v>25</v>
      </c>
      <c r="J92" t="s">
        <v>26</v>
      </c>
      <c r="K92" t="s">
        <v>161</v>
      </c>
      <c r="L92" s="2">
        <v>1149852.2360690541</v>
      </c>
      <c r="M92" s="3">
        <v>6.6544173253331521E-2</v>
      </c>
      <c r="N92" s="3">
        <v>0</v>
      </c>
      <c r="O92" s="3">
        <v>7.315701204834589E-2</v>
      </c>
      <c r="P92" s="3">
        <v>2.0777846225983718E-3</v>
      </c>
      <c r="Q92" s="3">
        <v>0.85822103007572426</v>
      </c>
      <c r="R92" s="3">
        <v>7.5234796670944265E-2</v>
      </c>
      <c r="S92" t="s">
        <v>28</v>
      </c>
      <c r="T92" s="4">
        <f t="shared" si="1"/>
        <v>21.91</v>
      </c>
    </row>
    <row r="93" spans="1:20" x14ac:dyDescent="0.2">
      <c r="A93">
        <v>91</v>
      </c>
      <c r="B93">
        <v>2</v>
      </c>
      <c r="C93" t="s">
        <v>481</v>
      </c>
      <c r="D93" t="s">
        <v>482</v>
      </c>
      <c r="E93" t="s">
        <v>474</v>
      </c>
      <c r="F93" t="s">
        <v>401</v>
      </c>
      <c r="G93" t="s">
        <v>483</v>
      </c>
      <c r="H93" t="s">
        <v>25</v>
      </c>
      <c r="I93" t="s">
        <v>25</v>
      </c>
      <c r="J93" t="s">
        <v>34</v>
      </c>
      <c r="K93" t="s">
        <v>161</v>
      </c>
      <c r="L93" s="2">
        <v>2299704.4721381082</v>
      </c>
      <c r="M93" s="3">
        <v>5.2210607382204573E-2</v>
      </c>
      <c r="N93" s="3">
        <v>0</v>
      </c>
      <c r="O93" s="3">
        <v>0.10352007865737869</v>
      </c>
      <c r="P93" s="3">
        <v>5.0580531530779911E-2</v>
      </c>
      <c r="Q93" s="3">
        <v>0.79368878242963681</v>
      </c>
      <c r="R93" s="3">
        <v>0.1541006101881586</v>
      </c>
      <c r="S93" t="s">
        <v>36</v>
      </c>
      <c r="T93" s="4">
        <f t="shared" si="1"/>
        <v>41.1</v>
      </c>
    </row>
    <row r="94" spans="1:20" x14ac:dyDescent="0.2">
      <c r="A94">
        <v>92</v>
      </c>
      <c r="B94">
        <v>2</v>
      </c>
      <c r="C94" t="s">
        <v>484</v>
      </c>
      <c r="D94" t="s">
        <v>485</v>
      </c>
      <c r="E94" t="s">
        <v>486</v>
      </c>
      <c r="F94" t="s">
        <v>487</v>
      </c>
      <c r="G94" t="s">
        <v>488</v>
      </c>
      <c r="H94" t="s">
        <v>25</v>
      </c>
      <c r="I94" t="s">
        <v>25</v>
      </c>
      <c r="J94" t="s">
        <v>26</v>
      </c>
      <c r="K94" t="s">
        <v>62</v>
      </c>
      <c r="L94" s="2">
        <v>2299704.4721381082</v>
      </c>
      <c r="M94" s="3">
        <v>0</v>
      </c>
      <c r="N94" s="3">
        <v>0</v>
      </c>
      <c r="O94" s="3">
        <v>6.8306151800058459E-2</v>
      </c>
      <c r="P94" s="3">
        <v>0.47998271505945361</v>
      </c>
      <c r="Q94" s="3">
        <v>0.45171113314048789</v>
      </c>
      <c r="R94" s="3">
        <v>0.54828886685951206</v>
      </c>
      <c r="S94" t="s">
        <v>125</v>
      </c>
      <c r="T94" s="4">
        <f t="shared" si="1"/>
        <v>157.66</v>
      </c>
    </row>
    <row r="95" spans="1:20" x14ac:dyDescent="0.2">
      <c r="A95">
        <v>93</v>
      </c>
      <c r="B95">
        <v>1</v>
      </c>
      <c r="C95" t="s">
        <v>489</v>
      </c>
      <c r="D95" t="s">
        <v>490</v>
      </c>
      <c r="E95" t="s">
        <v>486</v>
      </c>
      <c r="F95" t="s">
        <v>491</v>
      </c>
      <c r="G95" t="s">
        <v>492</v>
      </c>
      <c r="H95" t="s">
        <v>25</v>
      </c>
      <c r="I95" t="s">
        <v>25</v>
      </c>
      <c r="J95" t="s">
        <v>26</v>
      </c>
      <c r="K95" t="s">
        <v>161</v>
      </c>
      <c r="L95" s="2">
        <v>1149852.2360690541</v>
      </c>
      <c r="M95" s="3">
        <v>0</v>
      </c>
      <c r="N95" s="3">
        <v>0</v>
      </c>
      <c r="O95" s="3">
        <v>7.4456889161934603E-2</v>
      </c>
      <c r="P95" s="3">
        <v>0.1977355884799003</v>
      </c>
      <c r="Q95" s="3">
        <v>0.72780752235816515</v>
      </c>
      <c r="R95" s="3">
        <v>0.27219247764183491</v>
      </c>
      <c r="S95" t="s">
        <v>69</v>
      </c>
      <c r="T95" s="4">
        <f t="shared" si="1"/>
        <v>74.209999999999994</v>
      </c>
    </row>
    <row r="96" spans="1:20" x14ac:dyDescent="0.2">
      <c r="A96">
        <v>94</v>
      </c>
      <c r="B96">
        <v>1</v>
      </c>
      <c r="C96" t="s">
        <v>493</v>
      </c>
      <c r="D96" t="s">
        <v>494</v>
      </c>
      <c r="E96" t="s">
        <v>486</v>
      </c>
      <c r="F96" t="s">
        <v>495</v>
      </c>
      <c r="G96" t="s">
        <v>496</v>
      </c>
      <c r="H96" t="s">
        <v>80</v>
      </c>
      <c r="I96" t="s">
        <v>80</v>
      </c>
      <c r="J96" t="s">
        <v>34</v>
      </c>
      <c r="K96" t="s">
        <v>277</v>
      </c>
      <c r="L96" s="2">
        <v>1149852.2360690541</v>
      </c>
      <c r="M96" s="3">
        <v>0</v>
      </c>
      <c r="N96" s="3">
        <v>0</v>
      </c>
      <c r="O96" s="3">
        <v>1.9837045999155031E-2</v>
      </c>
      <c r="P96" s="3">
        <v>0.1248561425990078</v>
      </c>
      <c r="Q96" s="3">
        <v>0.85530681140183717</v>
      </c>
      <c r="R96" s="3">
        <v>0.1446931885981628</v>
      </c>
      <c r="S96" t="s">
        <v>36</v>
      </c>
      <c r="T96" s="4">
        <f t="shared" si="1"/>
        <v>41.42</v>
      </c>
    </row>
    <row r="97" spans="1:20" x14ac:dyDescent="0.2">
      <c r="A97">
        <v>95</v>
      </c>
      <c r="B97">
        <v>3</v>
      </c>
      <c r="C97" t="s">
        <v>497</v>
      </c>
      <c r="D97" t="s">
        <v>498</v>
      </c>
      <c r="E97" t="s">
        <v>499</v>
      </c>
      <c r="F97" t="s">
        <v>500</v>
      </c>
      <c r="G97" t="s">
        <v>501</v>
      </c>
      <c r="H97" t="s">
        <v>67</v>
      </c>
      <c r="I97" t="s">
        <v>67</v>
      </c>
      <c r="J97" t="s">
        <v>26</v>
      </c>
      <c r="K97" t="s">
        <v>27</v>
      </c>
      <c r="L97" s="2">
        <v>3449556.7082071621</v>
      </c>
      <c r="M97" s="3">
        <v>0.44444277890873779</v>
      </c>
      <c r="N97" s="3">
        <v>0</v>
      </c>
      <c r="O97" s="3">
        <v>0.13747972038822981</v>
      </c>
      <c r="P97" s="3">
        <v>2.875566949846935E-3</v>
      </c>
      <c r="Q97" s="3">
        <v>0.41520193375318548</v>
      </c>
      <c r="R97" s="3">
        <v>0.14035528733807681</v>
      </c>
      <c r="S97" t="s">
        <v>36</v>
      </c>
      <c r="T97" s="4">
        <f t="shared" si="1"/>
        <v>72.8</v>
      </c>
    </row>
    <row r="98" spans="1:20" x14ac:dyDescent="0.2">
      <c r="A98">
        <v>96</v>
      </c>
      <c r="B98">
        <v>1</v>
      </c>
      <c r="C98" t="s">
        <v>502</v>
      </c>
      <c r="D98" t="s">
        <v>503</v>
      </c>
      <c r="E98" t="s">
        <v>504</v>
      </c>
      <c r="F98" t="s">
        <v>505</v>
      </c>
      <c r="G98" t="s">
        <v>506</v>
      </c>
      <c r="H98" t="s">
        <v>25</v>
      </c>
      <c r="I98" t="s">
        <v>25</v>
      </c>
      <c r="J98" t="s">
        <v>92</v>
      </c>
      <c r="K98" t="s">
        <v>86</v>
      </c>
      <c r="L98" s="2">
        <v>1149852.2360690541</v>
      </c>
      <c r="M98" s="3">
        <v>0.7440236044487003</v>
      </c>
      <c r="N98" s="3">
        <v>0</v>
      </c>
      <c r="O98" s="3">
        <v>9.0837995641759775E-2</v>
      </c>
      <c r="P98" s="3">
        <v>5.1774447567600381E-3</v>
      </c>
      <c r="Q98" s="3">
        <v>0.15996095515277989</v>
      </c>
      <c r="R98" s="3">
        <v>9.6015440398519808E-2</v>
      </c>
      <c r="S98" t="s">
        <v>28</v>
      </c>
      <c r="T98" s="4">
        <f t="shared" si="1"/>
        <v>94.12</v>
      </c>
    </row>
    <row r="99" spans="1:20" x14ac:dyDescent="0.2">
      <c r="A99">
        <v>97</v>
      </c>
      <c r="B99">
        <v>1</v>
      </c>
      <c r="C99" t="s">
        <v>507</v>
      </c>
      <c r="D99" t="s">
        <v>508</v>
      </c>
      <c r="E99" t="s">
        <v>504</v>
      </c>
      <c r="F99" t="s">
        <v>509</v>
      </c>
      <c r="G99" t="s">
        <v>510</v>
      </c>
      <c r="H99" t="s">
        <v>25</v>
      </c>
      <c r="I99" t="s">
        <v>25</v>
      </c>
      <c r="J99" t="s">
        <v>34</v>
      </c>
      <c r="K99" t="s">
        <v>86</v>
      </c>
      <c r="L99" s="2">
        <v>1149852.2360690541</v>
      </c>
      <c r="M99" s="3">
        <v>0.2080262077718622</v>
      </c>
      <c r="N99" s="3">
        <v>0</v>
      </c>
      <c r="O99" s="3">
        <v>3.098506206778618E-2</v>
      </c>
      <c r="P99" s="3">
        <v>0</v>
      </c>
      <c r="Q99" s="3">
        <v>0.76098873016035162</v>
      </c>
      <c r="R99" s="3">
        <v>3.098506206778618E-2</v>
      </c>
      <c r="S99" t="s">
        <v>28</v>
      </c>
      <c r="T99" s="4">
        <f t="shared" si="1"/>
        <v>27</v>
      </c>
    </row>
    <row r="100" spans="1:20" x14ac:dyDescent="0.2">
      <c r="A100">
        <v>98</v>
      </c>
      <c r="B100">
        <v>1</v>
      </c>
      <c r="C100" t="s">
        <v>511</v>
      </c>
      <c r="D100" t="s">
        <v>512</v>
      </c>
      <c r="E100" t="s">
        <v>513</v>
      </c>
      <c r="F100" t="s">
        <v>514</v>
      </c>
      <c r="G100" t="s">
        <v>515</v>
      </c>
      <c r="H100" t="s">
        <v>67</v>
      </c>
      <c r="I100" t="s">
        <v>67</v>
      </c>
      <c r="J100" t="s">
        <v>34</v>
      </c>
      <c r="K100" t="s">
        <v>210</v>
      </c>
      <c r="L100" s="2">
        <v>1149852.2360690541</v>
      </c>
      <c r="M100" s="3">
        <v>0</v>
      </c>
      <c r="N100" s="3">
        <v>0</v>
      </c>
      <c r="O100" s="3">
        <v>0.11073136945611239</v>
      </c>
      <c r="P100" s="3">
        <v>3.9539856681010732E-2</v>
      </c>
      <c r="Q100" s="3">
        <v>0.84972877386287693</v>
      </c>
      <c r="R100" s="3">
        <v>0.1502712261371231</v>
      </c>
      <c r="S100" t="s">
        <v>36</v>
      </c>
      <c r="T100" s="4">
        <f t="shared" si="1"/>
        <v>34.01</v>
      </c>
    </row>
    <row r="101" spans="1:20" x14ac:dyDescent="0.2">
      <c r="A101">
        <v>99</v>
      </c>
      <c r="B101">
        <v>1</v>
      </c>
      <c r="C101" t="s">
        <v>516</v>
      </c>
      <c r="D101" t="s">
        <v>517</v>
      </c>
      <c r="E101" t="s">
        <v>518</v>
      </c>
      <c r="F101" t="s">
        <v>519</v>
      </c>
      <c r="G101" t="s">
        <v>520</v>
      </c>
      <c r="H101" t="s">
        <v>25</v>
      </c>
      <c r="I101" t="s">
        <v>25</v>
      </c>
      <c r="J101" t="s">
        <v>34</v>
      </c>
      <c r="K101" t="s">
        <v>86</v>
      </c>
      <c r="L101" s="2">
        <v>1149852.2360690541</v>
      </c>
      <c r="M101" s="3">
        <v>7.30821064615432E-3</v>
      </c>
      <c r="N101" s="3">
        <v>0</v>
      </c>
      <c r="O101" s="3">
        <v>0.1143565725807512</v>
      </c>
      <c r="P101" s="3">
        <v>0.1167354567581399</v>
      </c>
      <c r="Q101" s="3">
        <v>0.76159976001495455</v>
      </c>
      <c r="R101" s="3">
        <v>0.23109202933889109</v>
      </c>
      <c r="S101" t="s">
        <v>69</v>
      </c>
      <c r="T101" s="4">
        <f t="shared" si="1"/>
        <v>58.62</v>
      </c>
    </row>
    <row r="102" spans="1:20" x14ac:dyDescent="0.2">
      <c r="A102">
        <v>100</v>
      </c>
      <c r="B102">
        <v>1</v>
      </c>
      <c r="C102" t="s">
        <v>521</v>
      </c>
      <c r="D102" t="s">
        <v>522</v>
      </c>
      <c r="E102" t="s">
        <v>523</v>
      </c>
      <c r="F102" t="s">
        <v>524</v>
      </c>
      <c r="G102" t="s">
        <v>525</v>
      </c>
      <c r="H102" t="s">
        <v>25</v>
      </c>
      <c r="I102" t="s">
        <v>25</v>
      </c>
      <c r="J102" t="s">
        <v>92</v>
      </c>
      <c r="K102" t="s">
        <v>86</v>
      </c>
      <c r="L102" s="2">
        <v>1149852.2360690541</v>
      </c>
      <c r="M102" s="3">
        <v>0.34887939326205653</v>
      </c>
      <c r="N102" s="3">
        <v>0</v>
      </c>
      <c r="O102" s="3">
        <v>0.157832694058645</v>
      </c>
      <c r="P102" s="3">
        <v>9.0948638174109687E-3</v>
      </c>
      <c r="Q102" s="3">
        <v>0.48419304886188752</v>
      </c>
      <c r="R102" s="3">
        <v>0.16692755787605601</v>
      </c>
      <c r="S102" t="s">
        <v>36</v>
      </c>
      <c r="T102" s="4">
        <f t="shared" si="1"/>
        <v>69.180000000000007</v>
      </c>
    </row>
    <row r="103" spans="1:20" x14ac:dyDescent="0.2">
      <c r="A103">
        <v>101</v>
      </c>
      <c r="B103">
        <v>1</v>
      </c>
      <c r="C103" t="s">
        <v>526</v>
      </c>
      <c r="D103" t="s">
        <v>527</v>
      </c>
      <c r="E103" t="s">
        <v>523</v>
      </c>
      <c r="F103" t="s">
        <v>528</v>
      </c>
      <c r="G103" t="s">
        <v>529</v>
      </c>
      <c r="H103" t="s">
        <v>25</v>
      </c>
      <c r="I103" t="s">
        <v>25</v>
      </c>
      <c r="J103" t="s">
        <v>34</v>
      </c>
      <c r="K103" t="s">
        <v>86</v>
      </c>
      <c r="L103" s="2">
        <v>1149852.2360690541</v>
      </c>
      <c r="M103" s="3">
        <v>0.3746761862096219</v>
      </c>
      <c r="N103" s="3">
        <v>0</v>
      </c>
      <c r="O103" s="3">
        <v>0.1417485670290595</v>
      </c>
      <c r="P103" s="3">
        <v>3.0665149529767728E-3</v>
      </c>
      <c r="Q103" s="3">
        <v>0.48050873180834192</v>
      </c>
      <c r="R103" s="3">
        <v>0.1448150819820363</v>
      </c>
      <c r="S103" t="s">
        <v>36</v>
      </c>
      <c r="T103" s="4">
        <f t="shared" si="1"/>
        <v>66.739999999999995</v>
      </c>
    </row>
    <row r="104" spans="1:20" x14ac:dyDescent="0.2">
      <c r="A104">
        <v>102</v>
      </c>
      <c r="B104">
        <v>1</v>
      </c>
      <c r="C104" t="s">
        <v>530</v>
      </c>
      <c r="D104" t="s">
        <v>531</v>
      </c>
      <c r="E104" t="s">
        <v>532</v>
      </c>
      <c r="F104" t="s">
        <v>533</v>
      </c>
      <c r="G104" t="s">
        <v>534</v>
      </c>
      <c r="H104" t="s">
        <v>25</v>
      </c>
      <c r="I104" t="s">
        <v>25</v>
      </c>
      <c r="J104" t="s">
        <v>34</v>
      </c>
      <c r="K104" t="s">
        <v>86</v>
      </c>
      <c r="L104" s="2">
        <v>1149852.2360690541</v>
      </c>
      <c r="M104" s="3">
        <v>7.2863917887517823E-2</v>
      </c>
      <c r="N104" s="3">
        <v>0</v>
      </c>
      <c r="O104" s="3">
        <v>4.9269364852078936E-3</v>
      </c>
      <c r="P104" s="3">
        <v>0</v>
      </c>
      <c r="Q104" s="3">
        <v>0.9222091456272743</v>
      </c>
      <c r="R104" s="3">
        <v>4.9269364852078936E-3</v>
      </c>
      <c r="S104" t="s">
        <v>28</v>
      </c>
      <c r="T104" s="4">
        <f t="shared" si="1"/>
        <v>8.27</v>
      </c>
    </row>
    <row r="105" spans="1:20" x14ac:dyDescent="0.2">
      <c r="A105">
        <v>103</v>
      </c>
      <c r="B105">
        <v>1</v>
      </c>
      <c r="C105" t="s">
        <v>535</v>
      </c>
      <c r="D105" t="s">
        <v>536</v>
      </c>
      <c r="E105" t="s">
        <v>537</v>
      </c>
      <c r="F105" t="s">
        <v>538</v>
      </c>
      <c r="G105" t="s">
        <v>539</v>
      </c>
      <c r="H105" t="s">
        <v>25</v>
      </c>
      <c r="I105" t="s">
        <v>25</v>
      </c>
      <c r="J105" t="s">
        <v>92</v>
      </c>
      <c r="K105" t="s">
        <v>540</v>
      </c>
      <c r="L105" s="2">
        <v>1149852.2360690541</v>
      </c>
      <c r="M105" s="3">
        <v>8.9902771625639567E-3</v>
      </c>
      <c r="N105" s="3">
        <v>0</v>
      </c>
      <c r="O105" s="3">
        <v>0.1093989918460196</v>
      </c>
      <c r="P105" s="3">
        <v>2.0543262902887958E-2</v>
      </c>
      <c r="Q105" s="3">
        <v>0.86106746808852852</v>
      </c>
      <c r="R105" s="3">
        <v>0.12994225474890761</v>
      </c>
      <c r="S105" t="s">
        <v>36</v>
      </c>
      <c r="T105" s="4">
        <f t="shared" si="1"/>
        <v>28.94</v>
      </c>
    </row>
    <row r="106" spans="1:20" x14ac:dyDescent="0.2">
      <c r="A106">
        <v>104</v>
      </c>
      <c r="B106">
        <v>1</v>
      </c>
      <c r="C106" t="s">
        <v>541</v>
      </c>
      <c r="D106" t="s">
        <v>542</v>
      </c>
      <c r="E106" t="s">
        <v>537</v>
      </c>
      <c r="F106" t="s">
        <v>543</v>
      </c>
      <c r="G106" t="s">
        <v>544</v>
      </c>
      <c r="H106" t="s">
        <v>25</v>
      </c>
      <c r="I106" t="s">
        <v>25</v>
      </c>
      <c r="J106" t="s">
        <v>92</v>
      </c>
      <c r="K106" t="s">
        <v>540</v>
      </c>
      <c r="L106" s="2">
        <v>1149852.2360690541</v>
      </c>
      <c r="M106" s="3">
        <v>6.2567692515055201E-2</v>
      </c>
      <c r="N106" s="3">
        <v>0</v>
      </c>
      <c r="O106" s="3">
        <v>7.4520908391328702E-2</v>
      </c>
      <c r="P106" s="3">
        <v>8.2608047259841437E-4</v>
      </c>
      <c r="Q106" s="3">
        <v>0.86208531862101767</v>
      </c>
      <c r="R106" s="3">
        <v>7.5346988863927114E-2</v>
      </c>
      <c r="S106" t="s">
        <v>28</v>
      </c>
      <c r="T106" s="4">
        <f t="shared" si="1"/>
        <v>21.41</v>
      </c>
    </row>
    <row r="107" spans="1:20" x14ac:dyDescent="0.2">
      <c r="A107">
        <v>105</v>
      </c>
      <c r="B107">
        <v>1</v>
      </c>
      <c r="C107" t="s">
        <v>545</v>
      </c>
      <c r="D107" t="s">
        <v>546</v>
      </c>
      <c r="E107" t="s">
        <v>547</v>
      </c>
      <c r="F107" t="s">
        <v>186</v>
      </c>
      <c r="G107" t="s">
        <v>160</v>
      </c>
      <c r="H107" t="s">
        <v>25</v>
      </c>
      <c r="I107" t="s">
        <v>25</v>
      </c>
      <c r="J107" t="s">
        <v>92</v>
      </c>
      <c r="K107" t="s">
        <v>86</v>
      </c>
      <c r="L107" s="2">
        <v>1149852.2360690541</v>
      </c>
      <c r="M107" s="3">
        <v>5.4121640555405019E-2</v>
      </c>
      <c r="N107" s="3">
        <v>0</v>
      </c>
      <c r="O107" s="3">
        <v>0.27262832119309383</v>
      </c>
      <c r="P107" s="3">
        <v>0.29222163549941987</v>
      </c>
      <c r="Q107" s="3">
        <v>0.38102840275208122</v>
      </c>
      <c r="R107" s="3">
        <v>0.5648499566925137</v>
      </c>
      <c r="S107" t="s">
        <v>125</v>
      </c>
      <c r="T107" s="4">
        <f t="shared" si="1"/>
        <v>147.6</v>
      </c>
    </row>
    <row r="108" spans="1:20" x14ac:dyDescent="0.2">
      <c r="A108">
        <v>106</v>
      </c>
      <c r="B108">
        <v>1</v>
      </c>
      <c r="C108" t="s">
        <v>548</v>
      </c>
      <c r="D108" t="s">
        <v>549</v>
      </c>
      <c r="E108" t="s">
        <v>547</v>
      </c>
      <c r="F108" t="s">
        <v>550</v>
      </c>
      <c r="G108" t="s">
        <v>551</v>
      </c>
      <c r="H108" t="s">
        <v>25</v>
      </c>
      <c r="I108" t="s">
        <v>25</v>
      </c>
      <c r="J108" t="s">
        <v>26</v>
      </c>
      <c r="K108" t="s">
        <v>86</v>
      </c>
      <c r="L108" s="2">
        <v>1149852.2360690541</v>
      </c>
      <c r="M108" s="3">
        <v>0.1239901619744883</v>
      </c>
      <c r="N108" s="3">
        <v>0</v>
      </c>
      <c r="O108" s="3">
        <v>0.2777708490710743</v>
      </c>
      <c r="P108" s="3">
        <v>0.31638145159116648</v>
      </c>
      <c r="Q108" s="3">
        <v>0.2818575373632709</v>
      </c>
      <c r="R108" s="3">
        <v>0.59415230066224078</v>
      </c>
      <c r="S108" t="s">
        <v>125</v>
      </c>
      <c r="T108" s="4">
        <f t="shared" si="1"/>
        <v>162.87</v>
      </c>
    </row>
    <row r="109" spans="1:20" x14ac:dyDescent="0.2">
      <c r="A109">
        <v>107</v>
      </c>
      <c r="B109">
        <v>1</v>
      </c>
      <c r="C109" t="s">
        <v>552</v>
      </c>
      <c r="D109" t="s">
        <v>553</v>
      </c>
      <c r="E109" t="s">
        <v>547</v>
      </c>
      <c r="F109" t="s">
        <v>554</v>
      </c>
      <c r="G109" t="s">
        <v>555</v>
      </c>
      <c r="H109" t="s">
        <v>25</v>
      </c>
      <c r="I109" t="s">
        <v>25</v>
      </c>
      <c r="J109" t="s">
        <v>92</v>
      </c>
      <c r="K109" t="s">
        <v>86</v>
      </c>
      <c r="L109" s="2">
        <v>1149852.2360690541</v>
      </c>
      <c r="M109" s="3">
        <v>5.5567272678232901E-2</v>
      </c>
      <c r="N109" s="3">
        <v>0</v>
      </c>
      <c r="O109" s="3">
        <v>0.31458373453057131</v>
      </c>
      <c r="P109" s="3">
        <v>0.45658384964898457</v>
      </c>
      <c r="Q109" s="3">
        <v>0.1732651431422112</v>
      </c>
      <c r="R109" s="3">
        <v>0.77116758417955589</v>
      </c>
      <c r="S109" t="s">
        <v>44</v>
      </c>
      <c r="T109" s="4">
        <f t="shared" si="1"/>
        <v>205.45</v>
      </c>
    </row>
    <row r="110" spans="1:20" x14ac:dyDescent="0.2">
      <c r="A110">
        <v>108</v>
      </c>
      <c r="B110">
        <v>1</v>
      </c>
      <c r="C110" t="s">
        <v>556</v>
      </c>
      <c r="D110" t="s">
        <v>557</v>
      </c>
      <c r="E110" t="s">
        <v>558</v>
      </c>
      <c r="F110" t="s">
        <v>559</v>
      </c>
      <c r="G110" t="s">
        <v>560</v>
      </c>
      <c r="H110" t="s">
        <v>25</v>
      </c>
      <c r="I110" t="s">
        <v>25</v>
      </c>
      <c r="J110" t="s">
        <v>34</v>
      </c>
      <c r="K110" t="s">
        <v>561</v>
      </c>
      <c r="L110" s="2">
        <v>1149852.2360690541</v>
      </c>
      <c r="M110" s="3">
        <v>0.88766811272260127</v>
      </c>
      <c r="N110" s="3">
        <v>0</v>
      </c>
      <c r="O110" s="3">
        <v>4.0015995711527502E-2</v>
      </c>
      <c r="P110" s="3">
        <v>1.184203046223112E-4</v>
      </c>
      <c r="Q110" s="3">
        <v>7.219747126124898E-2</v>
      </c>
      <c r="R110" s="3">
        <v>4.0134416016149817E-2</v>
      </c>
      <c r="S110" t="s">
        <v>28</v>
      </c>
      <c r="T110" s="4">
        <f t="shared" si="1"/>
        <v>96.81</v>
      </c>
    </row>
    <row r="111" spans="1:20" x14ac:dyDescent="0.2">
      <c r="A111">
        <v>109</v>
      </c>
      <c r="B111">
        <v>1</v>
      </c>
      <c r="C111" t="s">
        <v>562</v>
      </c>
      <c r="D111" t="s">
        <v>563</v>
      </c>
      <c r="E111" t="s">
        <v>564</v>
      </c>
      <c r="F111" t="s">
        <v>565</v>
      </c>
      <c r="G111" t="s">
        <v>566</v>
      </c>
      <c r="H111" t="s">
        <v>25</v>
      </c>
      <c r="I111" t="s">
        <v>25</v>
      </c>
      <c r="J111" t="s">
        <v>92</v>
      </c>
      <c r="K111" t="s">
        <v>567</v>
      </c>
      <c r="L111" s="2">
        <v>1149852.2360690541</v>
      </c>
      <c r="M111" s="3">
        <v>1.480747932471862E-3</v>
      </c>
      <c r="N111" s="3">
        <v>0</v>
      </c>
      <c r="O111" s="3">
        <v>8.987188241207944E-2</v>
      </c>
      <c r="P111" s="3">
        <v>9.0589237727332784E-3</v>
      </c>
      <c r="Q111" s="3">
        <v>0.89958844588271547</v>
      </c>
      <c r="R111" s="3">
        <v>9.8930806184812717E-2</v>
      </c>
      <c r="S111" t="s">
        <v>28</v>
      </c>
      <c r="T111" s="4">
        <f t="shared" si="1"/>
        <v>20.84</v>
      </c>
    </row>
    <row r="112" spans="1:20" x14ac:dyDescent="0.2">
      <c r="A112">
        <v>110</v>
      </c>
      <c r="B112">
        <v>2</v>
      </c>
      <c r="C112" t="s">
        <v>568</v>
      </c>
      <c r="D112" t="s">
        <v>569</v>
      </c>
      <c r="E112" t="s">
        <v>570</v>
      </c>
      <c r="F112" t="s">
        <v>571</v>
      </c>
      <c r="G112" t="s">
        <v>572</v>
      </c>
      <c r="H112" t="s">
        <v>25</v>
      </c>
      <c r="I112" t="s">
        <v>25</v>
      </c>
      <c r="J112" t="s">
        <v>26</v>
      </c>
      <c r="K112" t="s">
        <v>112</v>
      </c>
      <c r="L112" s="2">
        <v>2299704.4721381082</v>
      </c>
      <c r="M112" s="3">
        <v>0.22231707574486401</v>
      </c>
      <c r="N112" s="3">
        <v>0</v>
      </c>
      <c r="O112" s="3">
        <v>0.1151386534362959</v>
      </c>
      <c r="P112" s="3">
        <v>1.382443370498786E-2</v>
      </c>
      <c r="Q112" s="3">
        <v>0.64871983711385217</v>
      </c>
      <c r="R112" s="3">
        <v>0.12896308714128379</v>
      </c>
      <c r="S112" t="s">
        <v>36</v>
      </c>
      <c r="T112" s="4">
        <f t="shared" si="1"/>
        <v>49.41</v>
      </c>
    </row>
    <row r="113" spans="1:20" x14ac:dyDescent="0.2">
      <c r="A113">
        <v>111</v>
      </c>
      <c r="B113">
        <v>1</v>
      </c>
      <c r="C113" t="s">
        <v>573</v>
      </c>
      <c r="D113" t="s">
        <v>574</v>
      </c>
      <c r="E113" t="s">
        <v>351</v>
      </c>
      <c r="F113" t="s">
        <v>575</v>
      </c>
      <c r="G113" t="s">
        <v>576</v>
      </c>
      <c r="H113" t="s">
        <v>25</v>
      </c>
      <c r="I113" t="s">
        <v>25</v>
      </c>
      <c r="J113" t="s">
        <v>34</v>
      </c>
      <c r="K113" t="s">
        <v>86</v>
      </c>
      <c r="L113" s="2">
        <v>1149852.236069005</v>
      </c>
      <c r="M113" s="3">
        <v>2.2902343218280451E-2</v>
      </c>
      <c r="N113" s="3">
        <v>0</v>
      </c>
      <c r="O113" s="3">
        <v>0.22382737601241109</v>
      </c>
      <c r="P113" s="3">
        <v>0</v>
      </c>
      <c r="Q113" s="3">
        <v>0.75327028076930846</v>
      </c>
      <c r="R113" s="3">
        <v>0.22382737601241109</v>
      </c>
      <c r="S113" t="s">
        <v>69</v>
      </c>
      <c r="T113" s="4">
        <f t="shared" si="1"/>
        <v>47.06</v>
      </c>
    </row>
    <row r="114" spans="1:20" x14ac:dyDescent="0.2">
      <c r="A114">
        <v>112</v>
      </c>
      <c r="B114">
        <v>1</v>
      </c>
      <c r="C114" t="s">
        <v>577</v>
      </c>
      <c r="D114" t="s">
        <v>578</v>
      </c>
      <c r="E114" t="s">
        <v>579</v>
      </c>
      <c r="F114" t="s">
        <v>171</v>
      </c>
      <c r="G114" t="s">
        <v>172</v>
      </c>
      <c r="H114" t="s">
        <v>80</v>
      </c>
      <c r="I114" t="s">
        <v>80</v>
      </c>
      <c r="J114" t="s">
        <v>34</v>
      </c>
      <c r="K114" t="s">
        <v>283</v>
      </c>
      <c r="L114" s="2">
        <v>1149852.2360690541</v>
      </c>
      <c r="M114" s="3">
        <v>0.4192330934172061</v>
      </c>
      <c r="N114" s="3">
        <v>0</v>
      </c>
      <c r="O114" s="3">
        <v>0.14726910331826659</v>
      </c>
      <c r="P114" s="3">
        <v>0.1049614824382471</v>
      </c>
      <c r="Q114" s="3">
        <v>0.32853632082628009</v>
      </c>
      <c r="R114" s="3">
        <v>0.25223058575651369</v>
      </c>
      <c r="S114" t="s">
        <v>69</v>
      </c>
      <c r="T114" s="4">
        <f t="shared" si="1"/>
        <v>102.87</v>
      </c>
    </row>
    <row r="115" spans="1:20" x14ac:dyDescent="0.2">
      <c r="A115">
        <v>113</v>
      </c>
      <c r="B115">
        <v>1</v>
      </c>
      <c r="C115" t="s">
        <v>580</v>
      </c>
      <c r="D115" t="s">
        <v>581</v>
      </c>
      <c r="E115" t="s">
        <v>582</v>
      </c>
      <c r="F115" t="s">
        <v>583</v>
      </c>
      <c r="G115" t="s">
        <v>584</v>
      </c>
      <c r="H115" t="s">
        <v>80</v>
      </c>
      <c r="I115" t="s">
        <v>80</v>
      </c>
      <c r="J115" t="s">
        <v>26</v>
      </c>
      <c r="K115" t="s">
        <v>585</v>
      </c>
      <c r="L115" s="2">
        <v>1149852.2360690541</v>
      </c>
      <c r="M115" s="3">
        <v>0.87092711581738069</v>
      </c>
      <c r="N115" s="3">
        <v>0</v>
      </c>
      <c r="O115" s="3">
        <v>5.6362642240100798E-2</v>
      </c>
      <c r="P115" s="3">
        <v>0</v>
      </c>
      <c r="Q115" s="3">
        <v>7.2710241942518516E-2</v>
      </c>
      <c r="R115" s="3">
        <v>5.6362642240100798E-2</v>
      </c>
      <c r="S115" t="s">
        <v>28</v>
      </c>
      <c r="T115" s="4">
        <f t="shared" si="1"/>
        <v>98.37</v>
      </c>
    </row>
    <row r="116" spans="1:20" x14ac:dyDescent="0.2">
      <c r="A116">
        <v>114</v>
      </c>
      <c r="B116">
        <v>1</v>
      </c>
      <c r="C116" t="s">
        <v>586</v>
      </c>
      <c r="D116" t="s">
        <v>587</v>
      </c>
      <c r="E116" t="s">
        <v>186</v>
      </c>
      <c r="F116" t="s">
        <v>588</v>
      </c>
      <c r="G116" t="s">
        <v>589</v>
      </c>
      <c r="H116" t="s">
        <v>67</v>
      </c>
      <c r="I116" t="s">
        <v>67</v>
      </c>
      <c r="J116" t="s">
        <v>92</v>
      </c>
      <c r="K116" t="s">
        <v>561</v>
      </c>
      <c r="L116" s="2">
        <v>1149852.2360690541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t="s">
        <v>28</v>
      </c>
      <c r="T116" s="4">
        <f t="shared" si="1"/>
        <v>100</v>
      </c>
    </row>
    <row r="117" spans="1:20" x14ac:dyDescent="0.2">
      <c r="A117">
        <v>115</v>
      </c>
      <c r="B117">
        <v>1</v>
      </c>
      <c r="C117" t="s">
        <v>590</v>
      </c>
      <c r="D117" t="s">
        <v>591</v>
      </c>
      <c r="E117" t="s">
        <v>592</v>
      </c>
      <c r="F117" t="s">
        <v>593</v>
      </c>
      <c r="G117" t="s">
        <v>594</v>
      </c>
      <c r="H117" t="s">
        <v>25</v>
      </c>
      <c r="I117" t="s">
        <v>25</v>
      </c>
      <c r="J117" t="s">
        <v>34</v>
      </c>
      <c r="K117" t="s">
        <v>249</v>
      </c>
      <c r="L117" s="2">
        <v>1149852.236069005</v>
      </c>
      <c r="M117" s="3">
        <v>3.9207766860232751E-2</v>
      </c>
      <c r="N117" s="3">
        <v>0</v>
      </c>
      <c r="O117" s="3">
        <v>0.1033358101486278</v>
      </c>
      <c r="P117" s="3">
        <v>1.409477762591458E-3</v>
      </c>
      <c r="Q117" s="3">
        <v>0.85604694522854796</v>
      </c>
      <c r="R117" s="3">
        <v>0.1047452879112193</v>
      </c>
      <c r="S117" t="s">
        <v>36</v>
      </c>
      <c r="T117" s="4">
        <f t="shared" si="1"/>
        <v>25.01</v>
      </c>
    </row>
    <row r="118" spans="1:20" x14ac:dyDescent="0.2">
      <c r="A118">
        <v>116</v>
      </c>
      <c r="B118">
        <v>1</v>
      </c>
      <c r="C118" t="s">
        <v>595</v>
      </c>
      <c r="D118" t="s">
        <v>596</v>
      </c>
      <c r="E118" t="s">
        <v>597</v>
      </c>
      <c r="F118" t="s">
        <v>598</v>
      </c>
      <c r="G118" t="s">
        <v>599</v>
      </c>
      <c r="H118" t="s">
        <v>67</v>
      </c>
      <c r="I118" t="s">
        <v>67</v>
      </c>
      <c r="J118" t="s">
        <v>34</v>
      </c>
      <c r="K118" t="s">
        <v>204</v>
      </c>
      <c r="L118" s="2">
        <v>1149852.2360690541</v>
      </c>
      <c r="M118" s="3">
        <v>0.1658198670211235</v>
      </c>
      <c r="N118" s="3">
        <v>0</v>
      </c>
      <c r="O118" s="3">
        <v>0.1021568214470486</v>
      </c>
      <c r="P118" s="3">
        <v>9.319335250713342E-4</v>
      </c>
      <c r="Q118" s="3">
        <v>0.7310913780067565</v>
      </c>
      <c r="R118" s="3">
        <v>0.1030887549721199</v>
      </c>
      <c r="S118" t="s">
        <v>36</v>
      </c>
      <c r="T118" s="4">
        <f t="shared" si="1"/>
        <v>37.29</v>
      </c>
    </row>
    <row r="119" spans="1:20" x14ac:dyDescent="0.2">
      <c r="A119">
        <v>118</v>
      </c>
      <c r="B119">
        <v>1</v>
      </c>
      <c r="C119" t="s">
        <v>600</v>
      </c>
      <c r="D119" t="s">
        <v>601</v>
      </c>
      <c r="E119" t="s">
        <v>602</v>
      </c>
      <c r="F119" t="s">
        <v>603</v>
      </c>
      <c r="G119" t="s">
        <v>604</v>
      </c>
      <c r="H119" t="s">
        <v>67</v>
      </c>
      <c r="I119" t="s">
        <v>67</v>
      </c>
      <c r="J119" t="s">
        <v>26</v>
      </c>
      <c r="K119" t="s">
        <v>56</v>
      </c>
      <c r="L119" s="2">
        <v>1149852.2360690541</v>
      </c>
      <c r="M119" s="3">
        <v>0.3949113198833738</v>
      </c>
      <c r="N119" s="3">
        <v>0</v>
      </c>
      <c r="O119" s="3">
        <v>8.4728082385154543E-2</v>
      </c>
      <c r="P119" s="3">
        <v>7.0107972702897883E-2</v>
      </c>
      <c r="Q119" s="3">
        <v>0.45025262502857383</v>
      </c>
      <c r="R119" s="3">
        <v>0.1548360550880524</v>
      </c>
      <c r="S119" t="s">
        <v>36</v>
      </c>
      <c r="T119" s="4">
        <f t="shared" si="1"/>
        <v>77.47</v>
      </c>
    </row>
    <row r="120" spans="1:20" x14ac:dyDescent="0.2">
      <c r="A120">
        <v>119</v>
      </c>
      <c r="B120">
        <v>1</v>
      </c>
      <c r="C120" t="s">
        <v>605</v>
      </c>
      <c r="D120" t="s">
        <v>606</v>
      </c>
      <c r="E120" t="s">
        <v>607</v>
      </c>
      <c r="F120" t="s">
        <v>608</v>
      </c>
      <c r="G120" t="s">
        <v>609</v>
      </c>
      <c r="H120" t="s">
        <v>25</v>
      </c>
      <c r="I120" t="s">
        <v>25</v>
      </c>
      <c r="J120" t="s">
        <v>34</v>
      </c>
      <c r="K120" t="s">
        <v>149</v>
      </c>
      <c r="L120" s="2">
        <v>1149852.2360690541</v>
      </c>
      <c r="M120" s="3">
        <v>8.3065184215183371E-2</v>
      </c>
      <c r="N120" s="3">
        <v>0</v>
      </c>
      <c r="O120" s="3">
        <v>6.9563059159292159E-2</v>
      </c>
      <c r="P120" s="3">
        <v>1.116303165218286E-2</v>
      </c>
      <c r="Q120" s="3">
        <v>0.83620872497334164</v>
      </c>
      <c r="R120" s="3">
        <v>8.0726090811475026E-2</v>
      </c>
      <c r="S120" t="s">
        <v>28</v>
      </c>
      <c r="T120" s="4">
        <f t="shared" si="1"/>
        <v>25.57</v>
      </c>
    </row>
    <row r="121" spans="1:20" x14ac:dyDescent="0.2">
      <c r="A121">
        <v>120</v>
      </c>
      <c r="B121">
        <v>1</v>
      </c>
      <c r="C121" t="s">
        <v>610</v>
      </c>
      <c r="D121" t="s">
        <v>611</v>
      </c>
      <c r="E121" t="s">
        <v>612</v>
      </c>
      <c r="H121" t="s">
        <v>67</v>
      </c>
      <c r="I121" t="s">
        <v>67</v>
      </c>
      <c r="J121" t="s">
        <v>92</v>
      </c>
      <c r="K121" t="s">
        <v>585</v>
      </c>
      <c r="L121" s="2">
        <v>1149852.236069005</v>
      </c>
      <c r="M121" s="3">
        <v>0</v>
      </c>
      <c r="N121" s="3">
        <v>0</v>
      </c>
      <c r="O121" s="3">
        <v>2.3715427379708359E-2</v>
      </c>
      <c r="P121" s="3">
        <v>0.18212476876921899</v>
      </c>
      <c r="Q121" s="3">
        <v>0.79415980385107265</v>
      </c>
      <c r="R121" s="3">
        <v>0.20584019614892729</v>
      </c>
      <c r="S121" t="s">
        <v>69</v>
      </c>
      <c r="T121" s="4">
        <f t="shared" si="1"/>
        <v>59.38</v>
      </c>
    </row>
    <row r="122" spans="1:20" x14ac:dyDescent="0.2">
      <c r="A122">
        <v>121</v>
      </c>
      <c r="B122">
        <v>1</v>
      </c>
      <c r="C122" t="s">
        <v>613</v>
      </c>
      <c r="D122" t="s">
        <v>614</v>
      </c>
      <c r="E122" t="s">
        <v>615</v>
      </c>
      <c r="H122" t="s">
        <v>80</v>
      </c>
      <c r="I122" t="s">
        <v>80</v>
      </c>
      <c r="J122" t="s">
        <v>26</v>
      </c>
      <c r="K122" t="s">
        <v>616</v>
      </c>
      <c r="L122" s="2">
        <v>1149852.2360690541</v>
      </c>
      <c r="M122" s="3">
        <v>6.1155132025913779E-2</v>
      </c>
      <c r="N122" s="3">
        <v>0</v>
      </c>
      <c r="O122" s="3">
        <v>0.24222032824433021</v>
      </c>
      <c r="P122" s="3">
        <v>0.22596244130262019</v>
      </c>
      <c r="Q122" s="3">
        <v>0.47066209842713591</v>
      </c>
      <c r="R122" s="3">
        <v>0.46818276954695037</v>
      </c>
      <c r="S122" t="s">
        <v>125</v>
      </c>
      <c r="T122" s="4">
        <f t="shared" si="1"/>
        <v>122.35</v>
      </c>
    </row>
    <row r="123" spans="1:20" x14ac:dyDescent="0.2">
      <c r="A123">
        <v>122</v>
      </c>
      <c r="B123">
        <v>1</v>
      </c>
      <c r="C123" t="s">
        <v>617</v>
      </c>
      <c r="D123" t="s">
        <v>618</v>
      </c>
      <c r="E123" t="s">
        <v>371</v>
      </c>
      <c r="H123" t="s">
        <v>25</v>
      </c>
      <c r="I123" t="s">
        <v>25</v>
      </c>
      <c r="J123" t="s">
        <v>34</v>
      </c>
      <c r="K123" t="s">
        <v>230</v>
      </c>
      <c r="L123" s="2">
        <v>1149852.2360690541</v>
      </c>
      <c r="M123" s="3">
        <v>2.5332707459312549E-2</v>
      </c>
      <c r="N123" s="3">
        <v>0</v>
      </c>
      <c r="O123" s="3">
        <v>0.1975132467175576</v>
      </c>
      <c r="P123" s="3">
        <v>0.27789241582474411</v>
      </c>
      <c r="Q123" s="3">
        <v>0.49926162999838569</v>
      </c>
      <c r="R123" s="3">
        <v>0.47540566254230171</v>
      </c>
      <c r="S123" t="s">
        <v>125</v>
      </c>
      <c r="T123" s="4">
        <f t="shared" si="1"/>
        <v>125.4</v>
      </c>
    </row>
    <row r="124" spans="1:20" x14ac:dyDescent="0.2">
      <c r="A124">
        <v>123</v>
      </c>
      <c r="B124">
        <v>1</v>
      </c>
      <c r="C124" t="s">
        <v>619</v>
      </c>
      <c r="D124" t="s">
        <v>620</v>
      </c>
      <c r="E124" t="s">
        <v>109</v>
      </c>
      <c r="F124" t="s">
        <v>410</v>
      </c>
      <c r="G124" t="s">
        <v>411</v>
      </c>
      <c r="H124" t="s">
        <v>67</v>
      </c>
      <c r="I124" t="s">
        <v>67</v>
      </c>
      <c r="J124" t="s">
        <v>26</v>
      </c>
      <c r="K124" t="s">
        <v>621</v>
      </c>
      <c r="L124" s="2">
        <v>1149852.236069005</v>
      </c>
      <c r="M124" s="3">
        <v>0.43020701453942789</v>
      </c>
      <c r="N124" s="3">
        <v>0</v>
      </c>
      <c r="O124" s="3">
        <v>9.8805020553837941E-2</v>
      </c>
      <c r="P124" s="3">
        <v>4.8453151155040024E-3</v>
      </c>
      <c r="Q124" s="3">
        <v>0.4661426497912301</v>
      </c>
      <c r="R124" s="3">
        <v>0.1036503356693419</v>
      </c>
      <c r="S124" t="s">
        <v>36</v>
      </c>
      <c r="T124" s="4">
        <f t="shared" si="1"/>
        <v>64.239999999999995</v>
      </c>
    </row>
    <row r="125" spans="1:20" x14ac:dyDescent="0.2">
      <c r="A125">
        <v>124</v>
      </c>
      <c r="B125">
        <v>1</v>
      </c>
      <c r="C125" t="s">
        <v>622</v>
      </c>
      <c r="D125" t="s">
        <v>623</v>
      </c>
      <c r="E125" t="s">
        <v>83</v>
      </c>
      <c r="F125" t="s">
        <v>624</v>
      </c>
      <c r="G125" t="s">
        <v>625</v>
      </c>
      <c r="H125" t="s">
        <v>67</v>
      </c>
      <c r="I125" t="s">
        <v>67</v>
      </c>
      <c r="J125" t="s">
        <v>34</v>
      </c>
      <c r="K125" t="s">
        <v>626</v>
      </c>
      <c r="L125" s="2">
        <v>1149852.236069005</v>
      </c>
      <c r="M125" s="3">
        <v>0.31006183775791551</v>
      </c>
      <c r="N125" s="3">
        <v>0</v>
      </c>
      <c r="O125" s="3">
        <v>0.1122850411633908</v>
      </c>
      <c r="P125" s="3">
        <v>3.171733912207304E-3</v>
      </c>
      <c r="Q125" s="3">
        <v>0.57448138716648645</v>
      </c>
      <c r="R125" s="3">
        <v>0.11545677507559809</v>
      </c>
      <c r="S125" t="s">
        <v>36</v>
      </c>
      <c r="T125" s="4">
        <f t="shared" si="1"/>
        <v>54.41</v>
      </c>
    </row>
    <row r="126" spans="1:20" x14ac:dyDescent="0.2">
      <c r="A126">
        <v>125</v>
      </c>
      <c r="B126">
        <v>1</v>
      </c>
      <c r="C126" t="s">
        <v>627</v>
      </c>
      <c r="D126" t="s">
        <v>628</v>
      </c>
      <c r="E126" t="s">
        <v>629</v>
      </c>
      <c r="H126" t="s">
        <v>67</v>
      </c>
      <c r="I126" t="s">
        <v>67</v>
      </c>
      <c r="J126" t="s">
        <v>34</v>
      </c>
      <c r="K126" t="s">
        <v>86</v>
      </c>
      <c r="L126" s="2">
        <v>1149852.2360690541</v>
      </c>
      <c r="M126" s="3">
        <v>0.75939689293843915</v>
      </c>
      <c r="N126" s="3">
        <v>0</v>
      </c>
      <c r="O126" s="3">
        <v>0.17385157048503039</v>
      </c>
      <c r="P126" s="3">
        <v>6.6751536576521067E-2</v>
      </c>
      <c r="Q126" s="3">
        <v>9.4368957093138306E-15</v>
      </c>
      <c r="R126" s="3">
        <v>0.2406031070615515</v>
      </c>
      <c r="S126" t="s">
        <v>69</v>
      </c>
      <c r="T126" s="4">
        <f t="shared" si="1"/>
        <v>130.74</v>
      </c>
    </row>
    <row r="127" spans="1:20" x14ac:dyDescent="0.2">
      <c r="A127">
        <v>126</v>
      </c>
      <c r="B127">
        <v>2</v>
      </c>
      <c r="C127" t="s">
        <v>630</v>
      </c>
      <c r="D127" t="s">
        <v>631</v>
      </c>
      <c r="E127" t="s">
        <v>632</v>
      </c>
      <c r="F127" t="s">
        <v>633</v>
      </c>
      <c r="G127" t="s">
        <v>634</v>
      </c>
      <c r="H127" t="s">
        <v>67</v>
      </c>
      <c r="I127" t="s">
        <v>67</v>
      </c>
      <c r="J127" t="s">
        <v>34</v>
      </c>
      <c r="K127" t="s">
        <v>635</v>
      </c>
      <c r="L127" s="2">
        <v>2299704.4721381082</v>
      </c>
      <c r="M127" s="3">
        <v>0.54705623070715736</v>
      </c>
      <c r="N127" s="3">
        <v>0</v>
      </c>
      <c r="O127" s="3">
        <v>0.21455253106687139</v>
      </c>
      <c r="P127" s="3">
        <v>0.2383912382259688</v>
      </c>
      <c r="Q127" s="3">
        <v>2.55351295663786E-15</v>
      </c>
      <c r="R127" s="3">
        <v>0.45294376929284019</v>
      </c>
      <c r="S127" t="s">
        <v>125</v>
      </c>
      <c r="T127" s="4">
        <f t="shared" si="1"/>
        <v>169.13</v>
      </c>
    </row>
    <row r="128" spans="1:20" x14ac:dyDescent="0.2">
      <c r="A128">
        <v>127</v>
      </c>
      <c r="B128">
        <v>1</v>
      </c>
      <c r="C128" t="s">
        <v>636</v>
      </c>
      <c r="D128" t="s">
        <v>637</v>
      </c>
      <c r="E128" t="s">
        <v>638</v>
      </c>
      <c r="H128" t="s">
        <v>25</v>
      </c>
      <c r="I128" t="s">
        <v>25</v>
      </c>
      <c r="J128" t="s">
        <v>34</v>
      </c>
      <c r="K128" t="s">
        <v>639</v>
      </c>
      <c r="L128" s="2">
        <v>1149852.2360690541</v>
      </c>
      <c r="M128" s="3">
        <v>4.8191952054804999E-3</v>
      </c>
      <c r="N128" s="3">
        <v>0</v>
      </c>
      <c r="O128" s="3">
        <v>0.15125199434302231</v>
      </c>
      <c r="P128" s="3">
        <v>9.3965617454330685E-2</v>
      </c>
      <c r="Q128" s="3">
        <v>0.74996319299716652</v>
      </c>
      <c r="R128" s="3">
        <v>0.24521761179735299</v>
      </c>
      <c r="S128" t="s">
        <v>69</v>
      </c>
      <c r="T128" s="4">
        <f t="shared" si="1"/>
        <v>58.92</v>
      </c>
    </row>
    <row r="129" spans="1:20" x14ac:dyDescent="0.2">
      <c r="A129">
        <v>128</v>
      </c>
      <c r="B129">
        <v>1</v>
      </c>
      <c r="C129" t="s">
        <v>640</v>
      </c>
      <c r="D129" t="s">
        <v>641</v>
      </c>
      <c r="E129" t="s">
        <v>252</v>
      </c>
      <c r="F129" t="s">
        <v>642</v>
      </c>
      <c r="G129" t="s">
        <v>643</v>
      </c>
      <c r="H129" t="s">
        <v>336</v>
      </c>
      <c r="I129" t="s">
        <v>336</v>
      </c>
      <c r="J129" t="s">
        <v>92</v>
      </c>
      <c r="K129" t="s">
        <v>644</v>
      </c>
      <c r="L129" s="2">
        <v>1149852.2360690541</v>
      </c>
      <c r="M129" s="3">
        <v>0.22105384714917559</v>
      </c>
      <c r="N129" s="3">
        <v>0</v>
      </c>
      <c r="O129" s="3">
        <v>0.12949891926236051</v>
      </c>
      <c r="P129" s="3">
        <v>6.8394374898527954E-2</v>
      </c>
      <c r="Q129" s="3">
        <v>0.58105285868993595</v>
      </c>
      <c r="R129" s="3">
        <v>0.19789329416088849</v>
      </c>
      <c r="S129" t="s">
        <v>36</v>
      </c>
      <c r="T129" s="4">
        <f t="shared" si="1"/>
        <v>68.52</v>
      </c>
    </row>
    <row r="130" spans="1:20" x14ac:dyDescent="0.2">
      <c r="A130">
        <v>129</v>
      </c>
      <c r="B130">
        <v>1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67</v>
      </c>
      <c r="I130" t="s">
        <v>67</v>
      </c>
      <c r="J130" t="s">
        <v>34</v>
      </c>
      <c r="K130" t="s">
        <v>650</v>
      </c>
      <c r="L130" s="2">
        <v>1149852.2360690541</v>
      </c>
      <c r="M130" s="3">
        <v>0.1194741936485056</v>
      </c>
      <c r="N130" s="3">
        <v>0</v>
      </c>
      <c r="O130" s="3">
        <v>0.197891397362815</v>
      </c>
      <c r="P130" s="3">
        <v>6.5083491526022511E-2</v>
      </c>
      <c r="Q130" s="3">
        <v>0.61755091746265678</v>
      </c>
      <c r="R130" s="3">
        <v>0.26297488888883752</v>
      </c>
      <c r="S130" t="s">
        <v>69</v>
      </c>
      <c r="T130" s="4">
        <f t="shared" ref="T130:T193" si="2">ROUND((M130*100*1)+(O130*100*2)+(P130*100*3),2)</f>
        <v>71.05</v>
      </c>
    </row>
    <row r="131" spans="1:20" x14ac:dyDescent="0.2">
      <c r="A131">
        <v>130</v>
      </c>
      <c r="B131">
        <v>1</v>
      </c>
      <c r="C131" t="s">
        <v>651</v>
      </c>
      <c r="D131" t="s">
        <v>652</v>
      </c>
      <c r="E131" t="s">
        <v>647</v>
      </c>
      <c r="F131" t="s">
        <v>653</v>
      </c>
      <c r="G131" t="s">
        <v>654</v>
      </c>
      <c r="H131" t="s">
        <v>67</v>
      </c>
      <c r="I131" t="s">
        <v>67</v>
      </c>
      <c r="J131" t="s">
        <v>34</v>
      </c>
      <c r="K131" t="s">
        <v>655</v>
      </c>
      <c r="L131" s="2">
        <v>1149852.2360690541</v>
      </c>
      <c r="M131" s="3">
        <v>0.1145474814486024</v>
      </c>
      <c r="N131" s="3">
        <v>0</v>
      </c>
      <c r="O131" s="3">
        <v>0.1955754621090097</v>
      </c>
      <c r="P131" s="3">
        <v>6.9058876062256191E-2</v>
      </c>
      <c r="Q131" s="3">
        <v>0.6208181803801317</v>
      </c>
      <c r="R131" s="3">
        <v>0.26463433817126591</v>
      </c>
      <c r="S131" t="s">
        <v>69</v>
      </c>
      <c r="T131" s="4">
        <f t="shared" si="2"/>
        <v>71.290000000000006</v>
      </c>
    </row>
    <row r="132" spans="1:20" x14ac:dyDescent="0.2">
      <c r="A132">
        <v>131</v>
      </c>
      <c r="B132">
        <v>1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336</v>
      </c>
      <c r="I132" t="s">
        <v>336</v>
      </c>
      <c r="J132" t="s">
        <v>34</v>
      </c>
      <c r="K132" t="s">
        <v>661</v>
      </c>
      <c r="L132" s="2">
        <v>1149852.2360690541</v>
      </c>
      <c r="M132" s="3">
        <v>0.21407484977272309</v>
      </c>
      <c r="N132" s="3">
        <v>0</v>
      </c>
      <c r="O132" s="3">
        <v>0.25618339774410148</v>
      </c>
      <c r="P132" s="3">
        <v>0.47697657999738408</v>
      </c>
      <c r="Q132" s="3">
        <v>5.2765172485791378E-2</v>
      </c>
      <c r="R132" s="3">
        <v>0.73315997774148556</v>
      </c>
      <c r="S132" t="s">
        <v>44</v>
      </c>
      <c r="T132" s="4">
        <f t="shared" si="2"/>
        <v>215.74</v>
      </c>
    </row>
    <row r="133" spans="1:20" x14ac:dyDescent="0.2">
      <c r="A133">
        <v>132</v>
      </c>
      <c r="B133">
        <v>1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  <c r="H133" t="s">
        <v>67</v>
      </c>
      <c r="I133" t="s">
        <v>67</v>
      </c>
      <c r="J133" t="s">
        <v>92</v>
      </c>
      <c r="K133" t="s">
        <v>667</v>
      </c>
      <c r="L133" s="2">
        <v>1149852.2360690541</v>
      </c>
      <c r="M133" s="3">
        <v>0.29460997678057238</v>
      </c>
      <c r="N133" s="3">
        <v>0</v>
      </c>
      <c r="O133" s="3">
        <v>0.17873328328012561</v>
      </c>
      <c r="P133" s="3">
        <v>7.2834147314560296E-2</v>
      </c>
      <c r="Q133" s="3">
        <v>0.45382259262474173</v>
      </c>
      <c r="R133" s="3">
        <v>0.25156743059468589</v>
      </c>
      <c r="S133" t="s">
        <v>69</v>
      </c>
      <c r="T133" s="4">
        <f t="shared" si="2"/>
        <v>87.06</v>
      </c>
    </row>
    <row r="134" spans="1:20" x14ac:dyDescent="0.2">
      <c r="A134">
        <v>133</v>
      </c>
      <c r="B134">
        <v>2</v>
      </c>
      <c r="C134" t="s">
        <v>668</v>
      </c>
      <c r="D134" t="s">
        <v>669</v>
      </c>
      <c r="E134" t="s">
        <v>664</v>
      </c>
      <c r="F134" t="s">
        <v>670</v>
      </c>
      <c r="G134" t="s">
        <v>671</v>
      </c>
      <c r="H134" t="s">
        <v>67</v>
      </c>
      <c r="I134" t="s">
        <v>67</v>
      </c>
      <c r="J134" t="s">
        <v>34</v>
      </c>
      <c r="K134" t="s">
        <v>567</v>
      </c>
      <c r="L134" s="2">
        <v>2299704.4721381082</v>
      </c>
      <c r="M134" s="3">
        <v>0.79938686289754679</v>
      </c>
      <c r="N134" s="3">
        <v>0</v>
      </c>
      <c r="O134" s="3">
        <v>6.3207296092154849E-2</v>
      </c>
      <c r="P134" s="3">
        <v>0</v>
      </c>
      <c r="Q134" s="3">
        <v>0.1374058410102984</v>
      </c>
      <c r="R134" s="3">
        <v>6.3207296092154849E-2</v>
      </c>
      <c r="S134" t="s">
        <v>28</v>
      </c>
      <c r="T134" s="4">
        <f t="shared" si="2"/>
        <v>92.58</v>
      </c>
    </row>
    <row r="135" spans="1:20" x14ac:dyDescent="0.2">
      <c r="A135">
        <v>134</v>
      </c>
      <c r="B135">
        <v>1</v>
      </c>
      <c r="C135" t="s">
        <v>672</v>
      </c>
      <c r="D135" t="s">
        <v>673</v>
      </c>
      <c r="E135" t="s">
        <v>170</v>
      </c>
      <c r="F135" t="s">
        <v>674</v>
      </c>
      <c r="G135" t="s">
        <v>675</v>
      </c>
      <c r="H135" t="s">
        <v>67</v>
      </c>
      <c r="I135" t="s">
        <v>67</v>
      </c>
      <c r="J135" t="s">
        <v>26</v>
      </c>
      <c r="K135" t="s">
        <v>585</v>
      </c>
      <c r="L135" s="2">
        <v>1149852.2360690541</v>
      </c>
      <c r="M135" s="3">
        <v>9.9213292211337289E-3</v>
      </c>
      <c r="N135" s="3">
        <v>0</v>
      </c>
      <c r="O135" s="3">
        <v>0.25725332479426832</v>
      </c>
      <c r="P135" s="3">
        <v>0.35291759044495952</v>
      </c>
      <c r="Q135" s="3">
        <v>0.37990775553963863</v>
      </c>
      <c r="R135" s="3">
        <v>0.61017091523922784</v>
      </c>
      <c r="S135" t="s">
        <v>44</v>
      </c>
      <c r="T135" s="4">
        <f t="shared" si="2"/>
        <v>158.32</v>
      </c>
    </row>
    <row r="136" spans="1:20" x14ac:dyDescent="0.2">
      <c r="A136">
        <v>135</v>
      </c>
      <c r="B136">
        <v>1</v>
      </c>
      <c r="C136" t="s">
        <v>676</v>
      </c>
      <c r="D136" t="s">
        <v>677</v>
      </c>
      <c r="E136" t="s">
        <v>678</v>
      </c>
      <c r="H136" t="s">
        <v>67</v>
      </c>
      <c r="I136" t="s">
        <v>67</v>
      </c>
      <c r="J136" t="s">
        <v>34</v>
      </c>
      <c r="K136" t="s">
        <v>679</v>
      </c>
      <c r="L136" s="2">
        <v>1149852.2360690541</v>
      </c>
      <c r="M136" s="3">
        <v>5.8102305114398213E-2</v>
      </c>
      <c r="N136" s="3">
        <v>0</v>
      </c>
      <c r="O136" s="3">
        <v>0.1358345072013149</v>
      </c>
      <c r="P136" s="3">
        <v>4.8703347090719593E-2</v>
      </c>
      <c r="Q136" s="3">
        <v>0.75735984059356731</v>
      </c>
      <c r="R136" s="3">
        <v>0.18453785429203451</v>
      </c>
      <c r="S136" t="s">
        <v>36</v>
      </c>
      <c r="T136" s="4">
        <f t="shared" si="2"/>
        <v>47.59</v>
      </c>
    </row>
    <row r="137" spans="1:20" x14ac:dyDescent="0.2">
      <c r="A137">
        <v>136</v>
      </c>
      <c r="B137">
        <v>1</v>
      </c>
      <c r="C137" t="s">
        <v>680</v>
      </c>
      <c r="D137" t="s">
        <v>681</v>
      </c>
      <c r="E137" t="s">
        <v>682</v>
      </c>
      <c r="F137" t="s">
        <v>683</v>
      </c>
      <c r="G137" t="s">
        <v>684</v>
      </c>
      <c r="H137" t="s">
        <v>67</v>
      </c>
      <c r="I137" t="s">
        <v>67</v>
      </c>
      <c r="J137" t="s">
        <v>34</v>
      </c>
      <c r="K137" t="s">
        <v>661</v>
      </c>
      <c r="L137" s="2">
        <v>1149852.2360690541</v>
      </c>
      <c r="M137" s="3">
        <v>1.3021342576837571E-2</v>
      </c>
      <c r="N137" s="3">
        <v>0</v>
      </c>
      <c r="O137" s="3">
        <v>0.26409722562246152</v>
      </c>
      <c r="P137" s="3">
        <v>0.1616807575505152</v>
      </c>
      <c r="Q137" s="3">
        <v>0.56120067425018572</v>
      </c>
      <c r="R137" s="3">
        <v>0.42577798317297672</v>
      </c>
      <c r="S137" t="s">
        <v>125</v>
      </c>
      <c r="T137" s="4">
        <f t="shared" si="2"/>
        <v>102.63</v>
      </c>
    </row>
    <row r="138" spans="1:20" x14ac:dyDescent="0.2">
      <c r="A138">
        <v>137</v>
      </c>
      <c r="B138">
        <v>1</v>
      </c>
      <c r="C138" t="s">
        <v>685</v>
      </c>
      <c r="D138" t="s">
        <v>686</v>
      </c>
      <c r="E138" t="s">
        <v>687</v>
      </c>
      <c r="H138" t="s">
        <v>67</v>
      </c>
      <c r="I138" t="s">
        <v>67</v>
      </c>
      <c r="J138" t="s">
        <v>92</v>
      </c>
      <c r="K138" t="s">
        <v>167</v>
      </c>
      <c r="L138" s="2">
        <v>1149852.2360690541</v>
      </c>
      <c r="M138" s="3">
        <v>0.31929135011740289</v>
      </c>
      <c r="N138" s="3">
        <v>0</v>
      </c>
      <c r="O138" s="3">
        <v>0.15390867228584171</v>
      </c>
      <c r="P138" s="3">
        <v>5.4302424680353449E-3</v>
      </c>
      <c r="Q138" s="3">
        <v>0.52136973512871998</v>
      </c>
      <c r="R138" s="3">
        <v>0.15933891475387699</v>
      </c>
      <c r="S138" t="s">
        <v>36</v>
      </c>
      <c r="T138" s="4">
        <f t="shared" si="2"/>
        <v>64.34</v>
      </c>
    </row>
    <row r="139" spans="1:20" x14ac:dyDescent="0.2">
      <c r="A139">
        <v>138</v>
      </c>
      <c r="B139">
        <v>1</v>
      </c>
      <c r="C139" t="s">
        <v>688</v>
      </c>
      <c r="D139" t="s">
        <v>689</v>
      </c>
      <c r="E139" t="s">
        <v>687</v>
      </c>
      <c r="F139" t="s">
        <v>690</v>
      </c>
      <c r="G139" t="s">
        <v>691</v>
      </c>
      <c r="H139" t="s">
        <v>67</v>
      </c>
      <c r="I139" t="s">
        <v>67</v>
      </c>
      <c r="J139" t="s">
        <v>34</v>
      </c>
      <c r="K139" t="s">
        <v>692</v>
      </c>
      <c r="L139" s="2">
        <v>1149852.2360690541</v>
      </c>
      <c r="M139" s="3">
        <v>0.76882251766541976</v>
      </c>
      <c r="N139" s="3">
        <v>0</v>
      </c>
      <c r="O139" s="3">
        <v>9.948536173052086E-2</v>
      </c>
      <c r="P139" s="3">
        <v>3.9020971183892621E-3</v>
      </c>
      <c r="Q139" s="3">
        <v>0.12779002348567001</v>
      </c>
      <c r="R139" s="3">
        <v>0.1033874588489101</v>
      </c>
      <c r="S139" t="s">
        <v>36</v>
      </c>
      <c r="T139" s="4">
        <f t="shared" si="2"/>
        <v>97.95</v>
      </c>
    </row>
    <row r="140" spans="1:20" x14ac:dyDescent="0.2">
      <c r="A140">
        <v>139</v>
      </c>
      <c r="B140">
        <v>2</v>
      </c>
      <c r="C140" t="s">
        <v>693</v>
      </c>
      <c r="D140" t="s">
        <v>694</v>
      </c>
      <c r="E140" t="s">
        <v>695</v>
      </c>
      <c r="F140" t="s">
        <v>696</v>
      </c>
      <c r="G140" t="s">
        <v>697</v>
      </c>
      <c r="H140" t="s">
        <v>67</v>
      </c>
      <c r="I140" t="s">
        <v>67</v>
      </c>
      <c r="J140" t="s">
        <v>26</v>
      </c>
      <c r="K140" t="s">
        <v>161</v>
      </c>
      <c r="L140" s="2">
        <v>2299704.4721381082</v>
      </c>
      <c r="M140" s="3">
        <v>1.6087814418035511E-2</v>
      </c>
      <c r="N140" s="3">
        <v>0</v>
      </c>
      <c r="O140" s="3">
        <v>0.48211425955886789</v>
      </c>
      <c r="P140" s="3">
        <v>0.28952520405506138</v>
      </c>
      <c r="Q140" s="3">
        <v>0.21227272196803509</v>
      </c>
      <c r="R140" s="3">
        <v>0.77163946361392921</v>
      </c>
      <c r="S140" t="s">
        <v>44</v>
      </c>
      <c r="T140" s="4">
        <f t="shared" si="2"/>
        <v>184.89</v>
      </c>
    </row>
    <row r="141" spans="1:20" x14ac:dyDescent="0.2">
      <c r="A141">
        <v>140</v>
      </c>
      <c r="B141">
        <v>1</v>
      </c>
      <c r="C141" t="s">
        <v>698</v>
      </c>
      <c r="D141" t="s">
        <v>699</v>
      </c>
      <c r="E141" t="s">
        <v>700</v>
      </c>
      <c r="H141" t="s">
        <v>80</v>
      </c>
      <c r="I141" t="s">
        <v>701</v>
      </c>
      <c r="J141" t="s">
        <v>34</v>
      </c>
      <c r="K141" t="s">
        <v>635</v>
      </c>
      <c r="L141" s="2">
        <v>1149852.2360690541</v>
      </c>
      <c r="M141" s="3">
        <v>5.4247719939574952E-2</v>
      </c>
      <c r="N141" s="3">
        <v>0</v>
      </c>
      <c r="O141" s="3">
        <v>0.125194415926697</v>
      </c>
      <c r="P141" s="3">
        <v>2.2844606126624228E-2</v>
      </c>
      <c r="Q141" s="3">
        <v>0.7977132580071038</v>
      </c>
      <c r="R141" s="3">
        <v>0.1480390220533212</v>
      </c>
      <c r="S141" t="s">
        <v>36</v>
      </c>
      <c r="T141" s="4">
        <f t="shared" si="2"/>
        <v>37.32</v>
      </c>
    </row>
    <row r="142" spans="1:20" x14ac:dyDescent="0.2">
      <c r="A142">
        <v>141</v>
      </c>
      <c r="B142">
        <v>1</v>
      </c>
      <c r="C142" t="s">
        <v>702</v>
      </c>
      <c r="D142" t="s">
        <v>703</v>
      </c>
      <c r="E142" t="s">
        <v>704</v>
      </c>
      <c r="H142" t="s">
        <v>25</v>
      </c>
      <c r="I142" t="s">
        <v>25</v>
      </c>
      <c r="J142" t="s">
        <v>34</v>
      </c>
      <c r="K142" t="s">
        <v>705</v>
      </c>
      <c r="L142" s="2">
        <v>1149852.2360690541</v>
      </c>
      <c r="M142" s="3">
        <v>2.9980269015704671E-2</v>
      </c>
      <c r="N142" s="3">
        <v>0</v>
      </c>
      <c r="O142" s="3">
        <v>0.1317105034293497</v>
      </c>
      <c r="P142" s="3">
        <v>6.4659082083118422E-2</v>
      </c>
      <c r="Q142" s="3">
        <v>0.7736501454718272</v>
      </c>
      <c r="R142" s="3">
        <v>0.19636958551246811</v>
      </c>
      <c r="S142" t="s">
        <v>36</v>
      </c>
      <c r="T142" s="4">
        <f t="shared" si="2"/>
        <v>48.74</v>
      </c>
    </row>
    <row r="143" spans="1:20" x14ac:dyDescent="0.2">
      <c r="A143">
        <v>142</v>
      </c>
      <c r="B143">
        <v>1</v>
      </c>
      <c r="C143" t="s">
        <v>706</v>
      </c>
      <c r="D143" t="s">
        <v>707</v>
      </c>
      <c r="E143" t="s">
        <v>708</v>
      </c>
      <c r="F143" t="s">
        <v>709</v>
      </c>
      <c r="G143" t="s">
        <v>710</v>
      </c>
      <c r="H143" t="s">
        <v>67</v>
      </c>
      <c r="I143" t="s">
        <v>67</v>
      </c>
      <c r="J143" t="s">
        <v>26</v>
      </c>
      <c r="K143" t="s">
        <v>277</v>
      </c>
      <c r="L143" s="2">
        <v>1149852.2360690541</v>
      </c>
      <c r="M143" s="3">
        <v>3.7496887860226949E-4</v>
      </c>
      <c r="N143" s="3">
        <v>0</v>
      </c>
      <c r="O143" s="3">
        <v>0.26834334066670468</v>
      </c>
      <c r="P143" s="3">
        <v>0.43128715690073988</v>
      </c>
      <c r="Q143" s="3">
        <v>0.29999453355395311</v>
      </c>
      <c r="R143" s="3">
        <v>0.69963049756744455</v>
      </c>
      <c r="S143" t="s">
        <v>44</v>
      </c>
      <c r="T143" s="4">
        <f t="shared" si="2"/>
        <v>183.09</v>
      </c>
    </row>
    <row r="144" spans="1:20" x14ac:dyDescent="0.2">
      <c r="A144">
        <v>143</v>
      </c>
      <c r="B144">
        <v>2</v>
      </c>
      <c r="C144" t="s">
        <v>711</v>
      </c>
      <c r="D144" t="s">
        <v>712</v>
      </c>
      <c r="E144" t="s">
        <v>708</v>
      </c>
      <c r="F144" t="s">
        <v>713</v>
      </c>
      <c r="G144" t="s">
        <v>714</v>
      </c>
      <c r="H144" t="s">
        <v>67</v>
      </c>
      <c r="I144" t="s">
        <v>67</v>
      </c>
      <c r="J144" t="s">
        <v>92</v>
      </c>
      <c r="K144" t="s">
        <v>661</v>
      </c>
      <c r="L144" s="2">
        <v>2299704.4721381082</v>
      </c>
      <c r="M144" s="3">
        <v>0</v>
      </c>
      <c r="N144" s="3">
        <v>0</v>
      </c>
      <c r="O144" s="3">
        <v>0.37726637088256298</v>
      </c>
      <c r="P144" s="3">
        <v>0.60188854420319171</v>
      </c>
      <c r="Q144" s="3">
        <v>2.084508491424519E-2</v>
      </c>
      <c r="R144" s="3">
        <v>0.9791549150857547</v>
      </c>
      <c r="S144" t="s">
        <v>44</v>
      </c>
      <c r="T144" s="4">
        <f t="shared" si="2"/>
        <v>256.02</v>
      </c>
    </row>
    <row r="145" spans="1:20" x14ac:dyDescent="0.2">
      <c r="A145">
        <v>144</v>
      </c>
      <c r="B145">
        <v>1</v>
      </c>
      <c r="C145" t="s">
        <v>715</v>
      </c>
      <c r="D145" t="s">
        <v>716</v>
      </c>
      <c r="E145" t="s">
        <v>708</v>
      </c>
      <c r="F145" t="s">
        <v>717</v>
      </c>
      <c r="G145" t="s">
        <v>718</v>
      </c>
      <c r="H145" t="s">
        <v>67</v>
      </c>
      <c r="I145" t="s">
        <v>67</v>
      </c>
      <c r="J145" t="s">
        <v>26</v>
      </c>
      <c r="K145" t="s">
        <v>567</v>
      </c>
      <c r="L145" s="2">
        <v>1149852.2360690541</v>
      </c>
      <c r="M145" s="3">
        <v>6.6187872428246823E-3</v>
      </c>
      <c r="N145" s="3">
        <v>0</v>
      </c>
      <c r="O145" s="3">
        <v>0.29233153033688719</v>
      </c>
      <c r="P145" s="3">
        <v>0.22337261595883379</v>
      </c>
      <c r="Q145" s="3">
        <v>0.47767706646145441</v>
      </c>
      <c r="R145" s="3">
        <v>0.51570414629572103</v>
      </c>
      <c r="S145" t="s">
        <v>125</v>
      </c>
      <c r="T145" s="4">
        <f t="shared" si="2"/>
        <v>126.14</v>
      </c>
    </row>
    <row r="146" spans="1:20" x14ac:dyDescent="0.2">
      <c r="A146">
        <v>145</v>
      </c>
      <c r="B146">
        <v>1</v>
      </c>
      <c r="C146" t="s">
        <v>719</v>
      </c>
      <c r="D146" t="s">
        <v>720</v>
      </c>
      <c r="E146" t="s">
        <v>721</v>
      </c>
      <c r="F146" t="s">
        <v>722</v>
      </c>
      <c r="G146" t="s">
        <v>723</v>
      </c>
      <c r="H146" t="s">
        <v>25</v>
      </c>
      <c r="I146" t="s">
        <v>25</v>
      </c>
      <c r="J146" t="s">
        <v>34</v>
      </c>
      <c r="K146" t="s">
        <v>363</v>
      </c>
      <c r="L146" s="2">
        <v>1149852.2360690541</v>
      </c>
      <c r="M146" s="3">
        <v>0.2101372039829521</v>
      </c>
      <c r="N146" s="3">
        <v>0</v>
      </c>
      <c r="O146" s="3">
        <v>0.21035032225681211</v>
      </c>
      <c r="P146" s="3">
        <v>0.14155658398404589</v>
      </c>
      <c r="Q146" s="3">
        <v>0.43795588977618988</v>
      </c>
      <c r="R146" s="3">
        <v>0.35190690624085802</v>
      </c>
      <c r="S146" t="s">
        <v>69</v>
      </c>
      <c r="T146" s="4">
        <f t="shared" si="2"/>
        <v>105.55</v>
      </c>
    </row>
    <row r="147" spans="1:20" x14ac:dyDescent="0.2">
      <c r="A147">
        <v>146</v>
      </c>
      <c r="B147">
        <v>2</v>
      </c>
      <c r="C147" t="s">
        <v>724</v>
      </c>
      <c r="D147" t="s">
        <v>725</v>
      </c>
      <c r="E147" t="s">
        <v>726</v>
      </c>
      <c r="F147" t="s">
        <v>727</v>
      </c>
      <c r="G147" t="s">
        <v>728</v>
      </c>
      <c r="H147" t="s">
        <v>25</v>
      </c>
      <c r="I147" t="s">
        <v>25</v>
      </c>
      <c r="J147" t="s">
        <v>92</v>
      </c>
      <c r="K147" t="s">
        <v>729</v>
      </c>
      <c r="L147" s="2">
        <v>2299704.4721381082</v>
      </c>
      <c r="M147" s="3">
        <v>6.7601229259237866E-2</v>
      </c>
      <c r="N147" s="3">
        <v>0</v>
      </c>
      <c r="O147" s="3">
        <v>6.6081293611017056E-2</v>
      </c>
      <c r="P147" s="3">
        <v>9.4581036229243343E-3</v>
      </c>
      <c r="Q147" s="3">
        <v>0.85685937350682073</v>
      </c>
      <c r="R147" s="3">
        <v>7.5539397233941388E-2</v>
      </c>
      <c r="S147" t="s">
        <v>28</v>
      </c>
      <c r="T147" s="4">
        <f t="shared" si="2"/>
        <v>22.81</v>
      </c>
    </row>
    <row r="148" spans="1:20" x14ac:dyDescent="0.2">
      <c r="A148">
        <v>147</v>
      </c>
      <c r="B148">
        <v>1</v>
      </c>
      <c r="C148" t="s">
        <v>730</v>
      </c>
      <c r="D148" t="s">
        <v>731</v>
      </c>
      <c r="E148" t="s">
        <v>732</v>
      </c>
      <c r="F148" t="s">
        <v>733</v>
      </c>
      <c r="G148" t="s">
        <v>734</v>
      </c>
      <c r="H148" t="s">
        <v>67</v>
      </c>
      <c r="I148" t="s">
        <v>67</v>
      </c>
      <c r="J148" t="s">
        <v>34</v>
      </c>
      <c r="K148" t="s">
        <v>149</v>
      </c>
      <c r="L148" s="2">
        <v>1149852.2360690541</v>
      </c>
      <c r="M148" s="3">
        <v>0.23064246311253589</v>
      </c>
      <c r="N148" s="3">
        <v>0</v>
      </c>
      <c r="O148" s="3">
        <v>0.20038766813248571</v>
      </c>
      <c r="P148" s="3">
        <v>0.26978941035580301</v>
      </c>
      <c r="Q148" s="3">
        <v>0.29918045839917529</v>
      </c>
      <c r="R148" s="3">
        <v>0.47017707848828871</v>
      </c>
      <c r="S148" t="s">
        <v>125</v>
      </c>
      <c r="T148" s="4">
        <f t="shared" si="2"/>
        <v>144.08000000000001</v>
      </c>
    </row>
    <row r="149" spans="1:20" x14ac:dyDescent="0.2">
      <c r="A149">
        <v>148</v>
      </c>
      <c r="B149">
        <v>1</v>
      </c>
      <c r="C149" t="s">
        <v>735</v>
      </c>
      <c r="D149" t="s">
        <v>736</v>
      </c>
      <c r="E149" t="s">
        <v>737</v>
      </c>
      <c r="H149" t="s">
        <v>25</v>
      </c>
      <c r="I149" t="s">
        <v>25</v>
      </c>
      <c r="J149" t="s">
        <v>34</v>
      </c>
      <c r="K149" t="s">
        <v>705</v>
      </c>
      <c r="L149" s="2">
        <v>1149852.236069005</v>
      </c>
      <c r="M149" s="3">
        <v>0.27158291751902458</v>
      </c>
      <c r="N149" s="3">
        <v>0</v>
      </c>
      <c r="O149" s="3">
        <v>0.17826099510950491</v>
      </c>
      <c r="P149" s="3">
        <v>0.1877536473136987</v>
      </c>
      <c r="Q149" s="3">
        <v>0.36240244005777189</v>
      </c>
      <c r="R149" s="3">
        <v>0.36601464242320358</v>
      </c>
      <c r="S149" t="s">
        <v>69</v>
      </c>
      <c r="T149" s="4">
        <f t="shared" si="2"/>
        <v>119.14</v>
      </c>
    </row>
    <row r="150" spans="1:20" x14ac:dyDescent="0.2">
      <c r="A150">
        <v>149</v>
      </c>
      <c r="B150">
        <v>1</v>
      </c>
      <c r="C150" t="s">
        <v>738</v>
      </c>
      <c r="D150" t="s">
        <v>739</v>
      </c>
      <c r="E150" t="s">
        <v>291</v>
      </c>
      <c r="F150" t="s">
        <v>740</v>
      </c>
      <c r="G150" t="s">
        <v>741</v>
      </c>
      <c r="H150" t="s">
        <v>67</v>
      </c>
      <c r="I150" t="s">
        <v>67</v>
      </c>
      <c r="J150" t="s">
        <v>34</v>
      </c>
      <c r="K150" t="s">
        <v>204</v>
      </c>
      <c r="L150" s="2">
        <v>1149852.236069005</v>
      </c>
      <c r="M150" s="3">
        <v>5.7625199512272393E-2</v>
      </c>
      <c r="N150" s="3">
        <v>0</v>
      </c>
      <c r="O150" s="3">
        <v>0.24722468800491651</v>
      </c>
      <c r="P150" s="3">
        <v>0.31404996231776738</v>
      </c>
      <c r="Q150" s="3">
        <v>0.38110015016504373</v>
      </c>
      <c r="R150" s="3">
        <v>0.56127465032268387</v>
      </c>
      <c r="S150" t="s">
        <v>125</v>
      </c>
      <c r="T150" s="4">
        <f t="shared" si="2"/>
        <v>149.41999999999999</v>
      </c>
    </row>
    <row r="151" spans="1:20" x14ac:dyDescent="0.2">
      <c r="A151">
        <v>150</v>
      </c>
      <c r="B151">
        <v>1</v>
      </c>
      <c r="C151" t="s">
        <v>742</v>
      </c>
      <c r="D151" t="s">
        <v>743</v>
      </c>
      <c r="E151" t="s">
        <v>291</v>
      </c>
      <c r="F151" t="s">
        <v>744</v>
      </c>
      <c r="G151" t="s">
        <v>745</v>
      </c>
      <c r="H151" t="s">
        <v>67</v>
      </c>
      <c r="I151" t="s">
        <v>67</v>
      </c>
      <c r="J151" t="s">
        <v>26</v>
      </c>
      <c r="K151" t="s">
        <v>149</v>
      </c>
      <c r="L151" s="2">
        <v>1149852.236069005</v>
      </c>
      <c r="M151" s="3">
        <v>4.5638870377361022E-2</v>
      </c>
      <c r="N151" s="3">
        <v>6.8823498967444142E-3</v>
      </c>
      <c r="O151" s="3">
        <v>0.26600926772599842</v>
      </c>
      <c r="P151" s="3">
        <v>0.50945149185172711</v>
      </c>
      <c r="Q151" s="3">
        <v>0.17201802014816911</v>
      </c>
      <c r="R151" s="3">
        <v>0.77546075957772553</v>
      </c>
      <c r="S151" t="s">
        <v>44</v>
      </c>
      <c r="T151" s="4">
        <f t="shared" si="2"/>
        <v>210.6</v>
      </c>
    </row>
    <row r="152" spans="1:20" x14ac:dyDescent="0.2">
      <c r="A152">
        <v>151</v>
      </c>
      <c r="B152">
        <v>1</v>
      </c>
      <c r="C152" t="s">
        <v>746</v>
      </c>
      <c r="D152" t="s">
        <v>747</v>
      </c>
      <c r="E152" t="s">
        <v>360</v>
      </c>
      <c r="F152" t="s">
        <v>748</v>
      </c>
      <c r="G152" t="s">
        <v>749</v>
      </c>
      <c r="H152" t="s">
        <v>67</v>
      </c>
      <c r="I152" t="s">
        <v>67</v>
      </c>
      <c r="J152" t="s">
        <v>92</v>
      </c>
      <c r="K152" t="s">
        <v>750</v>
      </c>
      <c r="L152" s="2">
        <v>1149852.2360690541</v>
      </c>
      <c r="M152" s="3">
        <v>9.6430344243463265E-2</v>
      </c>
      <c r="N152" s="3">
        <v>0</v>
      </c>
      <c r="O152" s="3">
        <v>9.1372313562028615E-2</v>
      </c>
      <c r="P152" s="3">
        <v>4.7128159811600788E-4</v>
      </c>
      <c r="Q152" s="3">
        <v>0.81172606059639207</v>
      </c>
      <c r="R152" s="3">
        <v>9.184359516014462E-2</v>
      </c>
      <c r="S152" t="s">
        <v>28</v>
      </c>
      <c r="T152" s="4">
        <f t="shared" si="2"/>
        <v>28.06</v>
      </c>
    </row>
    <row r="153" spans="1:20" x14ac:dyDescent="0.2">
      <c r="A153">
        <v>152</v>
      </c>
      <c r="B153">
        <v>1</v>
      </c>
      <c r="C153" t="s">
        <v>751</v>
      </c>
      <c r="D153" t="s">
        <v>752</v>
      </c>
      <c r="E153" t="s">
        <v>371</v>
      </c>
      <c r="H153" t="s">
        <v>67</v>
      </c>
      <c r="I153" t="s">
        <v>67</v>
      </c>
      <c r="J153" t="s">
        <v>34</v>
      </c>
      <c r="K153" t="s">
        <v>753</v>
      </c>
      <c r="L153" s="2">
        <v>1149852.2360690541</v>
      </c>
      <c r="M153" s="3">
        <v>2.306113517668669E-2</v>
      </c>
      <c r="N153" s="3">
        <v>0</v>
      </c>
      <c r="O153" s="3">
        <v>0.204283427397532</v>
      </c>
      <c r="P153" s="3">
        <v>0.30024954794611569</v>
      </c>
      <c r="Q153" s="3">
        <v>0.47240588947966572</v>
      </c>
      <c r="R153" s="3">
        <v>0.50453297534364772</v>
      </c>
      <c r="S153" t="s">
        <v>125</v>
      </c>
      <c r="T153" s="4">
        <f t="shared" si="2"/>
        <v>133.24</v>
      </c>
    </row>
    <row r="154" spans="1:20" x14ac:dyDescent="0.2">
      <c r="A154">
        <v>153</v>
      </c>
      <c r="B154">
        <v>1</v>
      </c>
      <c r="C154" t="s">
        <v>754</v>
      </c>
      <c r="D154" t="s">
        <v>755</v>
      </c>
      <c r="E154" t="s">
        <v>756</v>
      </c>
      <c r="H154" t="s">
        <v>25</v>
      </c>
      <c r="I154" t="s">
        <v>25</v>
      </c>
      <c r="J154" t="s">
        <v>34</v>
      </c>
      <c r="K154" t="s">
        <v>230</v>
      </c>
      <c r="L154" s="2">
        <v>1149852.236069005</v>
      </c>
      <c r="M154" s="3">
        <v>5.8655363169616587E-2</v>
      </c>
      <c r="N154" s="3">
        <v>0</v>
      </c>
      <c r="O154" s="3">
        <v>0.24507659240852081</v>
      </c>
      <c r="P154" s="3">
        <v>0.40802698752025252</v>
      </c>
      <c r="Q154" s="3">
        <v>0.28824105690161012</v>
      </c>
      <c r="R154" s="3">
        <v>0.65310357992877333</v>
      </c>
      <c r="S154" t="s">
        <v>44</v>
      </c>
      <c r="T154" s="4">
        <f t="shared" si="2"/>
        <v>177.29</v>
      </c>
    </row>
    <row r="155" spans="1:20" x14ac:dyDescent="0.2">
      <c r="A155">
        <v>154</v>
      </c>
      <c r="B155">
        <v>1</v>
      </c>
      <c r="C155" t="s">
        <v>757</v>
      </c>
      <c r="D155" t="s">
        <v>758</v>
      </c>
      <c r="E155" t="s">
        <v>759</v>
      </c>
      <c r="F155" t="s">
        <v>760</v>
      </c>
      <c r="G155" t="s">
        <v>761</v>
      </c>
      <c r="H155" t="s">
        <v>67</v>
      </c>
      <c r="I155" t="s">
        <v>67</v>
      </c>
      <c r="J155" t="s">
        <v>34</v>
      </c>
      <c r="K155" t="s">
        <v>271</v>
      </c>
      <c r="L155" s="2">
        <v>1149852.2360690541</v>
      </c>
      <c r="M155" s="3">
        <v>0.1510326103216883</v>
      </c>
      <c r="N155" s="3">
        <v>0</v>
      </c>
      <c r="O155" s="3">
        <v>0.1105527250944342</v>
      </c>
      <c r="P155" s="3">
        <v>0</v>
      </c>
      <c r="Q155" s="3">
        <v>0.7384146645838775</v>
      </c>
      <c r="R155" s="3">
        <v>0.1105527250944342</v>
      </c>
      <c r="S155" t="s">
        <v>36</v>
      </c>
      <c r="T155" s="4">
        <f t="shared" si="2"/>
        <v>37.21</v>
      </c>
    </row>
    <row r="156" spans="1:20" x14ac:dyDescent="0.2">
      <c r="A156">
        <v>155</v>
      </c>
      <c r="B156">
        <v>1</v>
      </c>
      <c r="C156" t="s">
        <v>762</v>
      </c>
      <c r="D156" t="s">
        <v>763</v>
      </c>
      <c r="E156" t="s">
        <v>303</v>
      </c>
      <c r="H156" t="s">
        <v>67</v>
      </c>
      <c r="I156" t="s">
        <v>67</v>
      </c>
      <c r="J156" t="s">
        <v>26</v>
      </c>
      <c r="K156" t="s">
        <v>705</v>
      </c>
      <c r="L156" s="2">
        <v>1149852.236069005</v>
      </c>
      <c r="M156" s="3">
        <v>9.8489382280502843E-2</v>
      </c>
      <c r="N156" s="3">
        <v>0</v>
      </c>
      <c r="O156" s="3">
        <v>0.1063568422008946</v>
      </c>
      <c r="P156" s="3">
        <v>1.9755095383344849E-2</v>
      </c>
      <c r="Q156" s="3">
        <v>0.7753986801352577</v>
      </c>
      <c r="R156" s="3">
        <v>0.12611193758423939</v>
      </c>
      <c r="S156" t="s">
        <v>36</v>
      </c>
      <c r="T156" s="4">
        <f t="shared" si="2"/>
        <v>37.049999999999997</v>
      </c>
    </row>
    <row r="157" spans="1:20" x14ac:dyDescent="0.2">
      <c r="A157">
        <v>156</v>
      </c>
      <c r="B157">
        <v>3</v>
      </c>
      <c r="C157" t="s">
        <v>764</v>
      </c>
      <c r="D157" t="s">
        <v>765</v>
      </c>
      <c r="E157" t="s">
        <v>383</v>
      </c>
      <c r="H157" t="s">
        <v>67</v>
      </c>
      <c r="I157" t="s">
        <v>67</v>
      </c>
      <c r="J157" t="s">
        <v>34</v>
      </c>
      <c r="K157" t="s">
        <v>56</v>
      </c>
      <c r="L157" s="2">
        <v>3449556.7082071621</v>
      </c>
      <c r="M157" s="3">
        <v>0.22040113612662421</v>
      </c>
      <c r="N157" s="3">
        <v>0</v>
      </c>
      <c r="O157" s="3">
        <v>0.1206817099432184</v>
      </c>
      <c r="P157" s="3">
        <v>3.1305792287007299E-3</v>
      </c>
      <c r="Q157" s="3">
        <v>0.65578657470145663</v>
      </c>
      <c r="R157" s="3">
        <v>0.12381228917191919</v>
      </c>
      <c r="S157" t="s">
        <v>36</v>
      </c>
      <c r="T157" s="4">
        <f t="shared" si="2"/>
        <v>47.12</v>
      </c>
    </row>
    <row r="158" spans="1:20" x14ac:dyDescent="0.2">
      <c r="A158">
        <v>157</v>
      </c>
      <c r="B158">
        <v>1</v>
      </c>
      <c r="C158" t="s">
        <v>766</v>
      </c>
      <c r="D158" t="s">
        <v>767</v>
      </c>
      <c r="E158" t="s">
        <v>768</v>
      </c>
      <c r="F158" t="s">
        <v>769</v>
      </c>
      <c r="G158" t="s">
        <v>770</v>
      </c>
      <c r="H158" t="s">
        <v>67</v>
      </c>
      <c r="I158" t="s">
        <v>67</v>
      </c>
      <c r="J158" t="s">
        <v>34</v>
      </c>
      <c r="K158" t="s">
        <v>771</v>
      </c>
      <c r="L158" s="2">
        <v>1149852.2360690541</v>
      </c>
      <c r="M158" s="3">
        <v>3.0448170152634888E-3</v>
      </c>
      <c r="N158" s="3">
        <v>0</v>
      </c>
      <c r="O158" s="3">
        <v>7.7599720043971254E-2</v>
      </c>
      <c r="P158" s="3">
        <v>0.71934327923958186</v>
      </c>
      <c r="Q158" s="3">
        <v>0.20001218370118351</v>
      </c>
      <c r="R158" s="3">
        <v>0.79694299928355306</v>
      </c>
      <c r="S158" t="s">
        <v>44</v>
      </c>
      <c r="T158" s="4">
        <f t="shared" si="2"/>
        <v>231.63</v>
      </c>
    </row>
    <row r="159" spans="1:20" x14ac:dyDescent="0.2">
      <c r="A159">
        <v>158</v>
      </c>
      <c r="B159">
        <v>2</v>
      </c>
      <c r="C159" t="s">
        <v>772</v>
      </c>
      <c r="D159" t="s">
        <v>773</v>
      </c>
      <c r="E159" t="s">
        <v>774</v>
      </c>
      <c r="H159" t="s">
        <v>67</v>
      </c>
      <c r="I159" t="s">
        <v>67</v>
      </c>
      <c r="J159" t="s">
        <v>34</v>
      </c>
      <c r="K159" t="s">
        <v>775</v>
      </c>
      <c r="L159" s="2">
        <v>2299704.4721381082</v>
      </c>
      <c r="M159" s="3">
        <v>8.0781471371158389E-2</v>
      </c>
      <c r="N159" s="3">
        <v>0</v>
      </c>
      <c r="O159" s="3">
        <v>0.1607124743979492</v>
      </c>
      <c r="P159" s="3">
        <v>0.13973582336311741</v>
      </c>
      <c r="Q159" s="3">
        <v>0.61877023086777505</v>
      </c>
      <c r="R159" s="3">
        <v>0.30044829776106657</v>
      </c>
      <c r="S159" t="s">
        <v>69</v>
      </c>
      <c r="T159" s="4">
        <f t="shared" si="2"/>
        <v>82.14</v>
      </c>
    </row>
    <row r="160" spans="1:20" x14ac:dyDescent="0.2">
      <c r="A160">
        <v>159</v>
      </c>
      <c r="B160">
        <v>3</v>
      </c>
      <c r="C160" t="s">
        <v>776</v>
      </c>
      <c r="D160" t="s">
        <v>777</v>
      </c>
      <c r="E160" t="s">
        <v>778</v>
      </c>
      <c r="F160" t="s">
        <v>779</v>
      </c>
      <c r="G160" t="s">
        <v>780</v>
      </c>
      <c r="H160" t="s">
        <v>67</v>
      </c>
      <c r="I160" t="s">
        <v>781</v>
      </c>
      <c r="J160" t="s">
        <v>26</v>
      </c>
      <c r="K160" t="s">
        <v>705</v>
      </c>
      <c r="L160" s="2">
        <v>3449556.7082071621</v>
      </c>
      <c r="M160" s="3">
        <v>6.6739341617220047E-2</v>
      </c>
      <c r="N160" s="3">
        <v>0</v>
      </c>
      <c r="O160" s="3">
        <v>0.33302760657071762</v>
      </c>
      <c r="P160" s="3">
        <v>0.37320328027500499</v>
      </c>
      <c r="Q160" s="3">
        <v>0.22702977153705731</v>
      </c>
      <c r="R160" s="3">
        <v>0.70623088684572255</v>
      </c>
      <c r="S160" t="s">
        <v>44</v>
      </c>
      <c r="T160" s="4">
        <f t="shared" si="2"/>
        <v>185.24</v>
      </c>
    </row>
    <row r="161" spans="1:20" x14ac:dyDescent="0.2">
      <c r="A161">
        <v>160</v>
      </c>
      <c r="B161">
        <v>1</v>
      </c>
      <c r="C161" t="s">
        <v>782</v>
      </c>
      <c r="D161" t="s">
        <v>783</v>
      </c>
      <c r="E161" t="s">
        <v>784</v>
      </c>
      <c r="H161" t="s">
        <v>67</v>
      </c>
      <c r="I161" t="s">
        <v>67</v>
      </c>
      <c r="J161" t="s">
        <v>34</v>
      </c>
      <c r="K161" t="s">
        <v>585</v>
      </c>
      <c r="L161" s="2">
        <v>1149852.2360690541</v>
      </c>
      <c r="M161" s="3">
        <v>4.5797040702209607E-2</v>
      </c>
      <c r="N161" s="3">
        <v>0</v>
      </c>
      <c r="O161" s="3">
        <v>0.15055282698603711</v>
      </c>
      <c r="P161" s="3">
        <v>0</v>
      </c>
      <c r="Q161" s="3">
        <v>0.80365013231175331</v>
      </c>
      <c r="R161" s="3">
        <v>0.15055282698603711</v>
      </c>
      <c r="S161" t="s">
        <v>36</v>
      </c>
      <c r="T161" s="4">
        <f t="shared" si="2"/>
        <v>34.69</v>
      </c>
    </row>
    <row r="162" spans="1:20" x14ac:dyDescent="0.2">
      <c r="A162">
        <v>161</v>
      </c>
      <c r="B162">
        <v>1</v>
      </c>
      <c r="C162" t="s">
        <v>785</v>
      </c>
      <c r="D162" t="s">
        <v>786</v>
      </c>
      <c r="E162" t="s">
        <v>787</v>
      </c>
      <c r="H162" t="s">
        <v>67</v>
      </c>
      <c r="I162" t="s">
        <v>67</v>
      </c>
      <c r="J162" t="s">
        <v>34</v>
      </c>
      <c r="K162" t="s">
        <v>705</v>
      </c>
      <c r="L162" s="2">
        <v>1149852.2360690541</v>
      </c>
      <c r="M162" s="3">
        <v>0.1870422232611946</v>
      </c>
      <c r="N162" s="3">
        <v>0</v>
      </c>
      <c r="O162" s="3">
        <v>8.4717480585784655E-2</v>
      </c>
      <c r="P162" s="3">
        <v>2.9830431447608521E-2</v>
      </c>
      <c r="Q162" s="3">
        <v>0.69840986470541222</v>
      </c>
      <c r="R162" s="3">
        <v>0.11454791203339321</v>
      </c>
      <c r="S162" t="s">
        <v>36</v>
      </c>
      <c r="T162" s="4">
        <f t="shared" si="2"/>
        <v>44.6</v>
      </c>
    </row>
    <row r="163" spans="1:20" x14ac:dyDescent="0.2">
      <c r="A163">
        <v>162</v>
      </c>
      <c r="B163">
        <v>4</v>
      </c>
      <c r="C163" t="s">
        <v>788</v>
      </c>
      <c r="D163" t="s">
        <v>789</v>
      </c>
      <c r="E163" t="s">
        <v>790</v>
      </c>
      <c r="F163" t="s">
        <v>791</v>
      </c>
      <c r="G163" t="s">
        <v>792</v>
      </c>
      <c r="H163" t="s">
        <v>80</v>
      </c>
      <c r="I163" t="s">
        <v>793</v>
      </c>
      <c r="J163" t="s">
        <v>92</v>
      </c>
      <c r="K163" t="s">
        <v>626</v>
      </c>
      <c r="L163" s="2">
        <v>4599408.9442762164</v>
      </c>
      <c r="M163" s="3">
        <v>0.75879039827229355</v>
      </c>
      <c r="N163" s="3">
        <v>0</v>
      </c>
      <c r="O163" s="3">
        <v>9.6499332145148109E-2</v>
      </c>
      <c r="P163" s="3">
        <v>3.4411181057236018E-4</v>
      </c>
      <c r="Q163" s="3">
        <v>0.144366157771986</v>
      </c>
      <c r="R163" s="3">
        <v>9.6843443955720462E-2</v>
      </c>
      <c r="S163" t="s">
        <v>28</v>
      </c>
      <c r="T163" s="4">
        <f t="shared" si="2"/>
        <v>95.28</v>
      </c>
    </row>
    <row r="164" spans="1:20" x14ac:dyDescent="0.2">
      <c r="A164">
        <v>163</v>
      </c>
      <c r="B164">
        <v>1</v>
      </c>
      <c r="C164" t="s">
        <v>794</v>
      </c>
      <c r="D164" t="s">
        <v>795</v>
      </c>
      <c r="E164" t="s">
        <v>796</v>
      </c>
      <c r="F164" t="s">
        <v>797</v>
      </c>
      <c r="G164" t="s">
        <v>798</v>
      </c>
      <c r="H164" t="s">
        <v>67</v>
      </c>
      <c r="I164" t="s">
        <v>67</v>
      </c>
      <c r="J164" t="s">
        <v>34</v>
      </c>
      <c r="K164" t="s">
        <v>149</v>
      </c>
      <c r="L164" s="2">
        <v>1149852.2360690541</v>
      </c>
      <c r="M164" s="3">
        <v>0.52188199489377707</v>
      </c>
      <c r="N164" s="3">
        <v>0</v>
      </c>
      <c r="O164" s="3">
        <v>0.1017511929141578</v>
      </c>
      <c r="P164" s="3">
        <v>5.5149441657325585E-4</v>
      </c>
      <c r="Q164" s="3">
        <v>0.37581531777549188</v>
      </c>
      <c r="R164" s="3">
        <v>0.1023026873307311</v>
      </c>
      <c r="S164" t="s">
        <v>36</v>
      </c>
      <c r="T164" s="4">
        <f t="shared" si="2"/>
        <v>72.7</v>
      </c>
    </row>
    <row r="165" spans="1:20" x14ac:dyDescent="0.2">
      <c r="A165">
        <v>164</v>
      </c>
      <c r="B165">
        <v>1</v>
      </c>
      <c r="C165" t="s">
        <v>799</v>
      </c>
      <c r="D165" t="s">
        <v>800</v>
      </c>
      <c r="E165" t="s">
        <v>801</v>
      </c>
      <c r="H165" t="s">
        <v>25</v>
      </c>
      <c r="I165" t="s">
        <v>25</v>
      </c>
      <c r="J165" t="s">
        <v>26</v>
      </c>
      <c r="K165" t="s">
        <v>86</v>
      </c>
      <c r="L165" s="2">
        <v>1149852.2360690541</v>
      </c>
      <c r="M165" s="3">
        <v>4.2190881736583162E-3</v>
      </c>
      <c r="N165" s="3">
        <v>0</v>
      </c>
      <c r="O165" s="3">
        <v>0.28197856765282742</v>
      </c>
      <c r="P165" s="3">
        <v>0.2099208494269092</v>
      </c>
      <c r="Q165" s="3">
        <v>0.50388149474660515</v>
      </c>
      <c r="R165" s="3">
        <v>0.49189941707973661</v>
      </c>
      <c r="S165" t="s">
        <v>125</v>
      </c>
      <c r="T165" s="4">
        <f t="shared" si="2"/>
        <v>119.79</v>
      </c>
    </row>
    <row r="166" spans="1:20" x14ac:dyDescent="0.2">
      <c r="A166">
        <v>166</v>
      </c>
      <c r="B166">
        <v>2</v>
      </c>
      <c r="C166" t="s">
        <v>802</v>
      </c>
      <c r="D166" t="s">
        <v>803</v>
      </c>
      <c r="E166" t="s">
        <v>804</v>
      </c>
      <c r="H166" t="s">
        <v>67</v>
      </c>
      <c r="I166" t="s">
        <v>67</v>
      </c>
      <c r="J166" t="s">
        <v>92</v>
      </c>
      <c r="K166" t="s">
        <v>210</v>
      </c>
      <c r="L166" s="2">
        <v>2299704.4721381082</v>
      </c>
      <c r="M166" s="3">
        <v>2.2917291485593481E-2</v>
      </c>
      <c r="N166" s="3">
        <v>0</v>
      </c>
      <c r="O166" s="3">
        <v>0.3604327977004908</v>
      </c>
      <c r="P166" s="3">
        <v>0.48651912976421707</v>
      </c>
      <c r="Q166" s="3">
        <v>0.1301307810496988</v>
      </c>
      <c r="R166" s="3">
        <v>0.84695192746470793</v>
      </c>
      <c r="S166" t="s">
        <v>44</v>
      </c>
      <c r="T166" s="4">
        <f t="shared" si="2"/>
        <v>220.33</v>
      </c>
    </row>
    <row r="167" spans="1:20" x14ac:dyDescent="0.2">
      <c r="A167">
        <v>167</v>
      </c>
      <c r="B167">
        <v>1</v>
      </c>
      <c r="C167" t="s">
        <v>805</v>
      </c>
      <c r="D167" t="s">
        <v>806</v>
      </c>
      <c r="E167" t="s">
        <v>804</v>
      </c>
      <c r="F167" t="s">
        <v>807</v>
      </c>
      <c r="G167" t="s">
        <v>808</v>
      </c>
      <c r="H167" t="s">
        <v>25</v>
      </c>
      <c r="I167" t="s">
        <v>25</v>
      </c>
      <c r="J167" t="s">
        <v>34</v>
      </c>
      <c r="K167" t="s">
        <v>621</v>
      </c>
      <c r="L167" s="2">
        <v>1149852.2360690541</v>
      </c>
      <c r="M167" s="3">
        <v>0.47286155931077167</v>
      </c>
      <c r="N167" s="3">
        <v>0</v>
      </c>
      <c r="O167" s="3">
        <v>0.23194827248612171</v>
      </c>
      <c r="P167" s="3">
        <v>4.0251442748913763E-2</v>
      </c>
      <c r="Q167" s="3">
        <v>0.25493872545419288</v>
      </c>
      <c r="R167" s="3">
        <v>0.2721997152350355</v>
      </c>
      <c r="S167" t="s">
        <v>69</v>
      </c>
      <c r="T167" s="4">
        <f t="shared" si="2"/>
        <v>105.75</v>
      </c>
    </row>
    <row r="168" spans="1:20" x14ac:dyDescent="0.2">
      <c r="A168">
        <v>168</v>
      </c>
      <c r="B168">
        <v>3</v>
      </c>
      <c r="C168" t="s">
        <v>809</v>
      </c>
      <c r="D168" t="s">
        <v>810</v>
      </c>
      <c r="E168" t="s">
        <v>804</v>
      </c>
      <c r="F168" t="s">
        <v>811</v>
      </c>
      <c r="G168" t="s">
        <v>812</v>
      </c>
      <c r="H168" t="s">
        <v>67</v>
      </c>
      <c r="I168" t="s">
        <v>67</v>
      </c>
      <c r="J168" t="s">
        <v>92</v>
      </c>
      <c r="K168" t="s">
        <v>266</v>
      </c>
      <c r="L168" s="2">
        <v>3449556.7082071621</v>
      </c>
      <c r="M168" s="3">
        <v>6.6555386612737321E-4</v>
      </c>
      <c r="N168" s="3">
        <v>0</v>
      </c>
      <c r="O168" s="3">
        <v>0.1735507776472332</v>
      </c>
      <c r="P168" s="3">
        <v>0.16811407180815441</v>
      </c>
      <c r="Q168" s="3">
        <v>0.65766959667848501</v>
      </c>
      <c r="R168" s="3">
        <v>0.34166484945538772</v>
      </c>
      <c r="S168" t="s">
        <v>69</v>
      </c>
      <c r="T168" s="4">
        <f t="shared" si="2"/>
        <v>85.21</v>
      </c>
    </row>
    <row r="169" spans="1:20" x14ac:dyDescent="0.2">
      <c r="A169">
        <v>170</v>
      </c>
      <c r="B169">
        <v>1</v>
      </c>
      <c r="C169" t="s">
        <v>813</v>
      </c>
      <c r="D169" t="s">
        <v>814</v>
      </c>
      <c r="E169" t="s">
        <v>815</v>
      </c>
      <c r="F169" t="s">
        <v>816</v>
      </c>
      <c r="G169" t="s">
        <v>817</v>
      </c>
      <c r="H169" t="s">
        <v>25</v>
      </c>
      <c r="I169" t="s">
        <v>25</v>
      </c>
      <c r="J169" t="s">
        <v>26</v>
      </c>
      <c r="K169" t="s">
        <v>818</v>
      </c>
      <c r="L169" s="2">
        <v>1149852.2360690541</v>
      </c>
      <c r="M169" s="3">
        <v>3.1650540660597637E-2</v>
      </c>
      <c r="N169" s="3">
        <v>0</v>
      </c>
      <c r="O169" s="3">
        <v>0.38343006424253911</v>
      </c>
      <c r="P169" s="3">
        <v>0.42916943017464509</v>
      </c>
      <c r="Q169" s="3">
        <v>0.15574996492221829</v>
      </c>
      <c r="R169" s="3">
        <v>0.81259949441718415</v>
      </c>
      <c r="S169" t="s">
        <v>44</v>
      </c>
      <c r="T169" s="4">
        <f t="shared" si="2"/>
        <v>208.6</v>
      </c>
    </row>
    <row r="170" spans="1:20" x14ac:dyDescent="0.2">
      <c r="A170">
        <v>171</v>
      </c>
      <c r="B170">
        <v>1</v>
      </c>
      <c r="C170" t="s">
        <v>819</v>
      </c>
      <c r="D170" t="s">
        <v>820</v>
      </c>
      <c r="E170" t="s">
        <v>821</v>
      </c>
      <c r="H170" t="s">
        <v>25</v>
      </c>
      <c r="I170" t="s">
        <v>25</v>
      </c>
      <c r="J170" t="s">
        <v>34</v>
      </c>
      <c r="K170" t="s">
        <v>621</v>
      </c>
      <c r="L170" s="2">
        <v>1149852.2360690541</v>
      </c>
      <c r="M170" s="3">
        <v>0.1042882408982878</v>
      </c>
      <c r="N170" s="3">
        <v>0</v>
      </c>
      <c r="O170" s="3">
        <v>0.1800098533797187</v>
      </c>
      <c r="P170" s="3">
        <v>8.5668624374534194E-2</v>
      </c>
      <c r="Q170" s="3">
        <v>0.6300332813474594</v>
      </c>
      <c r="R170" s="3">
        <v>0.26567847775425291</v>
      </c>
      <c r="S170" t="s">
        <v>69</v>
      </c>
      <c r="T170" s="4">
        <f t="shared" si="2"/>
        <v>72.13</v>
      </c>
    </row>
    <row r="171" spans="1:20" x14ac:dyDescent="0.2">
      <c r="A171">
        <v>172</v>
      </c>
      <c r="B171">
        <v>1</v>
      </c>
      <c r="C171" t="s">
        <v>822</v>
      </c>
      <c r="D171" t="s">
        <v>823</v>
      </c>
      <c r="E171" t="s">
        <v>824</v>
      </c>
      <c r="H171" t="s">
        <v>67</v>
      </c>
      <c r="I171" t="s">
        <v>67</v>
      </c>
      <c r="J171" t="s">
        <v>34</v>
      </c>
      <c r="K171" t="s">
        <v>639</v>
      </c>
      <c r="L171" s="2">
        <v>1149852.2360690541</v>
      </c>
      <c r="M171" s="3">
        <v>8.2905133700499831E-2</v>
      </c>
      <c r="N171" s="3">
        <v>0</v>
      </c>
      <c r="O171" s="3">
        <v>0.1531377018649635</v>
      </c>
      <c r="P171" s="3">
        <v>3.3340911241046857E-2</v>
      </c>
      <c r="Q171" s="3">
        <v>0.73061625319348977</v>
      </c>
      <c r="R171" s="3">
        <v>0.18647861310601041</v>
      </c>
      <c r="S171" t="s">
        <v>36</v>
      </c>
      <c r="T171" s="4">
        <f t="shared" si="2"/>
        <v>48.92</v>
      </c>
    </row>
    <row r="172" spans="1:20" x14ac:dyDescent="0.2">
      <c r="A172">
        <v>173</v>
      </c>
      <c r="B172">
        <v>1</v>
      </c>
      <c r="C172" t="s">
        <v>825</v>
      </c>
      <c r="D172" t="s">
        <v>826</v>
      </c>
      <c r="E172" t="s">
        <v>827</v>
      </c>
      <c r="H172" t="s">
        <v>67</v>
      </c>
      <c r="I172" t="s">
        <v>67</v>
      </c>
      <c r="J172" t="s">
        <v>34</v>
      </c>
      <c r="K172" t="s">
        <v>753</v>
      </c>
      <c r="L172" s="2">
        <v>1149852.2360690541</v>
      </c>
      <c r="M172" s="3">
        <v>0.11794199257718101</v>
      </c>
      <c r="N172" s="3">
        <v>7.4962119080532424E-4</v>
      </c>
      <c r="O172" s="3">
        <v>0.27856814669256341</v>
      </c>
      <c r="P172" s="3">
        <v>0.49538843133563398</v>
      </c>
      <c r="Q172" s="3">
        <v>0.1073518082038163</v>
      </c>
      <c r="R172" s="3">
        <v>0.7739565780281974</v>
      </c>
      <c r="S172" t="s">
        <v>44</v>
      </c>
      <c r="T172" s="4">
        <f t="shared" si="2"/>
        <v>216.12</v>
      </c>
    </row>
    <row r="173" spans="1:20" x14ac:dyDescent="0.2">
      <c r="A173">
        <v>174</v>
      </c>
      <c r="B173">
        <v>1</v>
      </c>
      <c r="C173" t="s">
        <v>828</v>
      </c>
      <c r="D173" t="s">
        <v>829</v>
      </c>
      <c r="E173" t="s">
        <v>830</v>
      </c>
      <c r="F173" t="s">
        <v>831</v>
      </c>
      <c r="G173" t="s">
        <v>832</v>
      </c>
      <c r="H173" t="s">
        <v>67</v>
      </c>
      <c r="I173" t="s">
        <v>67</v>
      </c>
      <c r="J173" t="s">
        <v>34</v>
      </c>
      <c r="K173" t="s">
        <v>818</v>
      </c>
      <c r="L173" s="2">
        <v>1149852.2360690541</v>
      </c>
      <c r="M173" s="3">
        <v>0.54474308298731966</v>
      </c>
      <c r="N173" s="3">
        <v>5.0200148202401318E-2</v>
      </c>
      <c r="O173" s="3">
        <v>0.1349533069433517</v>
      </c>
      <c r="P173" s="3">
        <v>4.5197970367946143E-2</v>
      </c>
      <c r="Q173" s="3">
        <v>0.2249054914989812</v>
      </c>
      <c r="R173" s="3">
        <v>0.18015127731129779</v>
      </c>
      <c r="S173" t="s">
        <v>36</v>
      </c>
      <c r="T173" s="4">
        <f t="shared" si="2"/>
        <v>95.02</v>
      </c>
    </row>
    <row r="174" spans="1:20" x14ac:dyDescent="0.2">
      <c r="A174">
        <v>175</v>
      </c>
      <c r="B174">
        <v>1</v>
      </c>
      <c r="C174" t="s">
        <v>833</v>
      </c>
      <c r="D174" t="s">
        <v>834</v>
      </c>
      <c r="E174" t="s">
        <v>830</v>
      </c>
      <c r="F174" t="s">
        <v>835</v>
      </c>
      <c r="G174" t="s">
        <v>836</v>
      </c>
      <c r="H174" t="s">
        <v>67</v>
      </c>
      <c r="I174" t="s">
        <v>67</v>
      </c>
      <c r="J174" t="s">
        <v>26</v>
      </c>
      <c r="K174" t="s">
        <v>650</v>
      </c>
      <c r="L174" s="2">
        <v>1149852.2360690541</v>
      </c>
      <c r="M174" s="3">
        <v>0.37724949402188668</v>
      </c>
      <c r="N174" s="3">
        <v>1.477565544201089E-2</v>
      </c>
      <c r="O174" s="3">
        <v>0.1561081329662368</v>
      </c>
      <c r="P174" s="3">
        <v>0.15776021432243401</v>
      </c>
      <c r="Q174" s="3">
        <v>0.29410650324743159</v>
      </c>
      <c r="R174" s="3">
        <v>0.3138683472886708</v>
      </c>
      <c r="S174" t="s">
        <v>69</v>
      </c>
      <c r="T174" s="4">
        <f t="shared" si="2"/>
        <v>116.27</v>
      </c>
    </row>
    <row r="175" spans="1:20" x14ac:dyDescent="0.2">
      <c r="A175">
        <v>176</v>
      </c>
      <c r="B175">
        <v>1</v>
      </c>
      <c r="C175" t="s">
        <v>837</v>
      </c>
      <c r="D175" t="s">
        <v>838</v>
      </c>
      <c r="E175" t="s">
        <v>830</v>
      </c>
      <c r="F175" t="s">
        <v>839</v>
      </c>
      <c r="G175" t="s">
        <v>840</v>
      </c>
      <c r="H175" t="s">
        <v>67</v>
      </c>
      <c r="I175" t="s">
        <v>841</v>
      </c>
      <c r="J175" t="s">
        <v>92</v>
      </c>
      <c r="K175" t="s">
        <v>626</v>
      </c>
      <c r="L175" s="2">
        <v>1149852.2360690541</v>
      </c>
      <c r="M175" s="3">
        <v>0.9281896702206609</v>
      </c>
      <c r="N175" s="3">
        <v>0</v>
      </c>
      <c r="O175" s="3">
        <v>4.581928484173859E-2</v>
      </c>
      <c r="P175" s="3">
        <v>0</v>
      </c>
      <c r="Q175" s="3">
        <v>2.5991044937600519E-2</v>
      </c>
      <c r="R175" s="3">
        <v>4.581928484173859E-2</v>
      </c>
      <c r="S175" t="s">
        <v>28</v>
      </c>
      <c r="T175" s="4">
        <f t="shared" si="2"/>
        <v>101.98</v>
      </c>
    </row>
    <row r="176" spans="1:20" x14ac:dyDescent="0.2">
      <c r="A176">
        <v>177</v>
      </c>
      <c r="B176">
        <v>1</v>
      </c>
      <c r="C176" t="s">
        <v>842</v>
      </c>
      <c r="D176" t="s">
        <v>843</v>
      </c>
      <c r="E176" t="s">
        <v>830</v>
      </c>
      <c r="F176" t="s">
        <v>844</v>
      </c>
      <c r="G176" t="s">
        <v>845</v>
      </c>
      <c r="H176" t="s">
        <v>67</v>
      </c>
      <c r="I176" t="s">
        <v>67</v>
      </c>
      <c r="J176" t="s">
        <v>34</v>
      </c>
      <c r="K176" t="s">
        <v>210</v>
      </c>
      <c r="L176" s="2">
        <v>1149852.2360690541</v>
      </c>
      <c r="M176" s="3">
        <v>0.34212653598824633</v>
      </c>
      <c r="N176" s="3">
        <v>0</v>
      </c>
      <c r="O176" s="3">
        <v>0.1591723074878604</v>
      </c>
      <c r="P176" s="3">
        <v>0.22795509891339469</v>
      </c>
      <c r="Q176" s="3">
        <v>0.27074605761049853</v>
      </c>
      <c r="R176" s="3">
        <v>0.38712740640125509</v>
      </c>
      <c r="S176" t="s">
        <v>69</v>
      </c>
      <c r="T176" s="4">
        <f t="shared" si="2"/>
        <v>134.43</v>
      </c>
    </row>
    <row r="177" spans="1:20" x14ac:dyDescent="0.2">
      <c r="A177">
        <v>179</v>
      </c>
      <c r="B177">
        <v>1</v>
      </c>
      <c r="C177" t="s">
        <v>846</v>
      </c>
      <c r="D177" t="s">
        <v>847</v>
      </c>
      <c r="E177" t="s">
        <v>848</v>
      </c>
      <c r="F177" t="s">
        <v>849</v>
      </c>
      <c r="G177" t="s">
        <v>850</v>
      </c>
      <c r="H177" t="s">
        <v>25</v>
      </c>
      <c r="I177" t="s">
        <v>25</v>
      </c>
      <c r="J177" t="s">
        <v>26</v>
      </c>
      <c r="K177" t="s">
        <v>86</v>
      </c>
      <c r="L177" s="2">
        <v>1149852.2360690541</v>
      </c>
      <c r="M177" s="3">
        <v>0.23669738870082119</v>
      </c>
      <c r="N177" s="3">
        <v>1.290425989783951E-3</v>
      </c>
      <c r="O177" s="3">
        <v>0.2443688715797869</v>
      </c>
      <c r="P177" s="3">
        <v>0.2373725012121613</v>
      </c>
      <c r="Q177" s="3">
        <v>0.28027081251744668</v>
      </c>
      <c r="R177" s="3">
        <v>0.48174137279194817</v>
      </c>
      <c r="S177" t="s">
        <v>125</v>
      </c>
      <c r="T177" s="4">
        <f t="shared" si="2"/>
        <v>143.76</v>
      </c>
    </row>
    <row r="178" spans="1:20" x14ac:dyDescent="0.2">
      <c r="A178">
        <v>180</v>
      </c>
      <c r="B178">
        <v>1</v>
      </c>
      <c r="C178" t="s">
        <v>851</v>
      </c>
      <c r="D178" t="s">
        <v>852</v>
      </c>
      <c r="E178" t="s">
        <v>853</v>
      </c>
      <c r="F178" t="s">
        <v>854</v>
      </c>
      <c r="G178" t="s">
        <v>855</v>
      </c>
      <c r="H178" t="s">
        <v>67</v>
      </c>
      <c r="I178" t="s">
        <v>67</v>
      </c>
      <c r="J178" t="s">
        <v>26</v>
      </c>
      <c r="K178" t="s">
        <v>193</v>
      </c>
      <c r="L178" s="2">
        <v>1149852.2360690541</v>
      </c>
      <c r="M178" s="3">
        <v>0</v>
      </c>
      <c r="N178" s="3">
        <v>0</v>
      </c>
      <c r="O178" s="3">
        <v>3.8710056278861177E-2</v>
      </c>
      <c r="P178" s="3">
        <v>0.50665162850626932</v>
      </c>
      <c r="Q178" s="3">
        <v>0.45463831521486953</v>
      </c>
      <c r="R178" s="3">
        <v>0.54536168478513047</v>
      </c>
      <c r="S178" t="s">
        <v>125</v>
      </c>
      <c r="T178" s="4">
        <f t="shared" si="2"/>
        <v>159.74</v>
      </c>
    </row>
    <row r="179" spans="1:20" x14ac:dyDescent="0.2">
      <c r="A179">
        <v>181</v>
      </c>
      <c r="B179">
        <v>3</v>
      </c>
      <c r="C179" t="s">
        <v>856</v>
      </c>
      <c r="D179" t="s">
        <v>857</v>
      </c>
      <c r="E179" t="s">
        <v>858</v>
      </c>
      <c r="H179" t="s">
        <v>67</v>
      </c>
      <c r="I179" t="s">
        <v>67</v>
      </c>
      <c r="J179" t="s">
        <v>26</v>
      </c>
      <c r="K179" t="s">
        <v>540</v>
      </c>
      <c r="L179" s="2">
        <v>3449556.7082071621</v>
      </c>
      <c r="M179" s="3">
        <v>4.570457573497623E-2</v>
      </c>
      <c r="N179" s="3">
        <v>0</v>
      </c>
      <c r="O179" s="3">
        <v>0.2267435753167073</v>
      </c>
      <c r="P179" s="3">
        <v>0.12775604099557891</v>
      </c>
      <c r="Q179" s="3">
        <v>0.59979580795273779</v>
      </c>
      <c r="R179" s="3">
        <v>0.35449961631228621</v>
      </c>
      <c r="S179" t="s">
        <v>69</v>
      </c>
      <c r="T179" s="4">
        <f t="shared" si="2"/>
        <v>88.25</v>
      </c>
    </row>
    <row r="180" spans="1:20" x14ac:dyDescent="0.2">
      <c r="A180">
        <v>182</v>
      </c>
      <c r="B180">
        <v>4</v>
      </c>
      <c r="C180" t="s">
        <v>859</v>
      </c>
      <c r="D180" t="s">
        <v>860</v>
      </c>
      <c r="E180" t="s">
        <v>861</v>
      </c>
      <c r="H180" t="s">
        <v>67</v>
      </c>
      <c r="I180" t="s">
        <v>67</v>
      </c>
      <c r="J180" t="s">
        <v>26</v>
      </c>
      <c r="K180" t="s">
        <v>585</v>
      </c>
      <c r="L180" s="2">
        <v>4599408.9442762164</v>
      </c>
      <c r="M180" s="3">
        <v>3.4241510551142107E-2</v>
      </c>
      <c r="N180" s="3">
        <v>0</v>
      </c>
      <c r="O180" s="3">
        <v>0.12633886553168969</v>
      </c>
      <c r="P180" s="3">
        <v>2.0070084788861901E-2</v>
      </c>
      <c r="Q180" s="3">
        <v>0.81934953912830621</v>
      </c>
      <c r="R180" s="3">
        <v>0.1464089503205516</v>
      </c>
      <c r="S180" t="s">
        <v>36</v>
      </c>
      <c r="T180" s="4">
        <f t="shared" si="2"/>
        <v>34.71</v>
      </c>
    </row>
    <row r="181" spans="1:20" x14ac:dyDescent="0.2">
      <c r="A181">
        <v>183</v>
      </c>
      <c r="B181">
        <v>1</v>
      </c>
      <c r="C181" t="s">
        <v>862</v>
      </c>
      <c r="D181" t="s">
        <v>863</v>
      </c>
      <c r="E181" t="s">
        <v>456</v>
      </c>
      <c r="F181" t="s">
        <v>864</v>
      </c>
      <c r="G181" t="s">
        <v>865</v>
      </c>
      <c r="H181" t="s">
        <v>25</v>
      </c>
      <c r="I181" t="s">
        <v>25</v>
      </c>
      <c r="J181" t="s">
        <v>92</v>
      </c>
      <c r="K181" t="s">
        <v>230</v>
      </c>
      <c r="L181" s="2">
        <v>1149852.2360690541</v>
      </c>
      <c r="M181" s="3">
        <v>0.84186080777423944</v>
      </c>
      <c r="N181" s="3">
        <v>0</v>
      </c>
      <c r="O181" s="3">
        <v>8.9859694180225783E-2</v>
      </c>
      <c r="P181" s="3">
        <v>0</v>
      </c>
      <c r="Q181" s="3">
        <v>6.8279498045534792E-2</v>
      </c>
      <c r="R181" s="3">
        <v>8.9859694180225783E-2</v>
      </c>
      <c r="S181" t="s">
        <v>28</v>
      </c>
      <c r="T181" s="4">
        <f t="shared" si="2"/>
        <v>102.16</v>
      </c>
    </row>
    <row r="182" spans="1:20" x14ac:dyDescent="0.2">
      <c r="A182">
        <v>184</v>
      </c>
      <c r="B182">
        <v>1</v>
      </c>
      <c r="C182" t="s">
        <v>866</v>
      </c>
      <c r="D182" t="s">
        <v>867</v>
      </c>
      <c r="E182" t="s">
        <v>868</v>
      </c>
      <c r="H182" t="s">
        <v>80</v>
      </c>
      <c r="I182" t="s">
        <v>80</v>
      </c>
      <c r="J182" t="s">
        <v>26</v>
      </c>
      <c r="K182" t="s">
        <v>149</v>
      </c>
      <c r="L182" s="2">
        <v>1149852.2360690541</v>
      </c>
      <c r="M182" s="3">
        <v>0.51132482518630873</v>
      </c>
      <c r="N182" s="3">
        <v>0</v>
      </c>
      <c r="O182" s="3">
        <v>0.1117574034873418</v>
      </c>
      <c r="P182" s="3">
        <v>6.3082912184659751E-2</v>
      </c>
      <c r="Q182" s="3">
        <v>0.31383485914168968</v>
      </c>
      <c r="R182" s="3">
        <v>0.17484031567200151</v>
      </c>
      <c r="S182" t="s">
        <v>36</v>
      </c>
      <c r="T182" s="4">
        <f t="shared" si="2"/>
        <v>92.41</v>
      </c>
    </row>
    <row r="183" spans="1:20" x14ac:dyDescent="0.2">
      <c r="A183">
        <v>185</v>
      </c>
      <c r="B183">
        <v>1</v>
      </c>
      <c r="C183" t="s">
        <v>869</v>
      </c>
      <c r="D183" t="s">
        <v>870</v>
      </c>
      <c r="E183" t="s">
        <v>871</v>
      </c>
      <c r="F183" t="s">
        <v>872</v>
      </c>
      <c r="G183" t="s">
        <v>345</v>
      </c>
      <c r="H183" t="s">
        <v>25</v>
      </c>
      <c r="I183" t="s">
        <v>25</v>
      </c>
      <c r="J183" t="s">
        <v>92</v>
      </c>
      <c r="K183" t="s">
        <v>118</v>
      </c>
      <c r="L183" s="2">
        <v>1149852.2360690541</v>
      </c>
      <c r="M183" s="3">
        <v>0.79924441914710298</v>
      </c>
      <c r="N183" s="3">
        <v>1.174747353632861E-2</v>
      </c>
      <c r="O183" s="3">
        <v>9.5104891603036645E-2</v>
      </c>
      <c r="P183" s="3">
        <v>2.8192547601146929E-2</v>
      </c>
      <c r="Q183" s="3">
        <v>6.5710668112384796E-2</v>
      </c>
      <c r="R183" s="3">
        <v>0.1232974392041836</v>
      </c>
      <c r="S183" t="s">
        <v>36</v>
      </c>
      <c r="T183" s="4">
        <f t="shared" si="2"/>
        <v>107.4</v>
      </c>
    </row>
    <row r="184" spans="1:20" x14ac:dyDescent="0.2">
      <c r="A184">
        <v>186</v>
      </c>
      <c r="B184">
        <v>1</v>
      </c>
      <c r="C184" t="s">
        <v>873</v>
      </c>
      <c r="D184" t="s">
        <v>874</v>
      </c>
      <c r="E184" t="s">
        <v>871</v>
      </c>
      <c r="F184" t="s">
        <v>875</v>
      </c>
      <c r="G184" t="s">
        <v>876</v>
      </c>
      <c r="H184" t="s">
        <v>25</v>
      </c>
      <c r="I184" t="s">
        <v>877</v>
      </c>
      <c r="J184" t="s">
        <v>92</v>
      </c>
      <c r="K184" t="s">
        <v>878</v>
      </c>
      <c r="L184" s="2">
        <v>1149852.2360690541</v>
      </c>
      <c r="M184" s="3">
        <v>0.47946252649295329</v>
      </c>
      <c r="N184" s="3">
        <v>4.1355119415973597E-3</v>
      </c>
      <c r="O184" s="3">
        <v>0.20716577284055099</v>
      </c>
      <c r="P184" s="3">
        <v>9.7660894425740163E-2</v>
      </c>
      <c r="Q184" s="3">
        <v>0.2115752942991582</v>
      </c>
      <c r="R184" s="3">
        <v>0.30482666726629121</v>
      </c>
      <c r="S184" t="s">
        <v>69</v>
      </c>
      <c r="T184" s="4">
        <f t="shared" si="2"/>
        <v>118.68</v>
      </c>
    </row>
    <row r="185" spans="1:20" x14ac:dyDescent="0.2">
      <c r="A185">
        <v>187</v>
      </c>
      <c r="B185">
        <v>1</v>
      </c>
      <c r="C185" t="s">
        <v>879</v>
      </c>
      <c r="D185" t="s">
        <v>880</v>
      </c>
      <c r="E185" t="s">
        <v>871</v>
      </c>
      <c r="F185" t="s">
        <v>881</v>
      </c>
      <c r="G185" t="s">
        <v>882</v>
      </c>
      <c r="H185" t="s">
        <v>67</v>
      </c>
      <c r="I185" t="s">
        <v>67</v>
      </c>
      <c r="J185" t="s">
        <v>26</v>
      </c>
      <c r="K185" t="s">
        <v>124</v>
      </c>
      <c r="L185" s="2">
        <v>1149852.2360690541</v>
      </c>
      <c r="M185" s="3">
        <v>0.32284190243031968</v>
      </c>
      <c r="N185" s="3">
        <v>0</v>
      </c>
      <c r="O185" s="3">
        <v>0.25503287836509497</v>
      </c>
      <c r="P185" s="3">
        <v>0.2834769523674403</v>
      </c>
      <c r="Q185" s="3">
        <v>0.13864826683714501</v>
      </c>
      <c r="R185" s="3">
        <v>0.53850983073253533</v>
      </c>
      <c r="S185" t="s">
        <v>125</v>
      </c>
      <c r="T185" s="4">
        <f t="shared" si="2"/>
        <v>168.33</v>
      </c>
    </row>
    <row r="186" spans="1:20" x14ac:dyDescent="0.2">
      <c r="A186">
        <v>188</v>
      </c>
      <c r="B186">
        <v>1</v>
      </c>
      <c r="C186" t="s">
        <v>883</v>
      </c>
      <c r="D186" t="s">
        <v>884</v>
      </c>
      <c r="E186" t="s">
        <v>871</v>
      </c>
      <c r="F186" t="s">
        <v>885</v>
      </c>
      <c r="G186" t="s">
        <v>886</v>
      </c>
      <c r="H186" t="s">
        <v>67</v>
      </c>
      <c r="I186" t="s">
        <v>67</v>
      </c>
      <c r="J186" t="s">
        <v>26</v>
      </c>
      <c r="K186" t="s">
        <v>561</v>
      </c>
      <c r="L186" s="2">
        <v>1149852.2360690541</v>
      </c>
      <c r="M186" s="3">
        <v>0.2475649764410574</v>
      </c>
      <c r="N186" s="3">
        <v>0</v>
      </c>
      <c r="O186" s="3">
        <v>0.2166567299434542</v>
      </c>
      <c r="P186" s="3">
        <v>0.1302638142090107</v>
      </c>
      <c r="Q186" s="3">
        <v>0.40551447940647772</v>
      </c>
      <c r="R186" s="3">
        <v>0.34692054415246493</v>
      </c>
      <c r="S186" t="s">
        <v>69</v>
      </c>
      <c r="T186" s="4">
        <f t="shared" si="2"/>
        <v>107.17</v>
      </c>
    </row>
    <row r="187" spans="1:20" x14ac:dyDescent="0.2">
      <c r="A187">
        <v>189</v>
      </c>
      <c r="B187">
        <v>1</v>
      </c>
      <c r="C187" t="s">
        <v>887</v>
      </c>
      <c r="D187" t="s">
        <v>888</v>
      </c>
      <c r="E187" t="s">
        <v>871</v>
      </c>
      <c r="F187" t="s">
        <v>889</v>
      </c>
      <c r="G187" t="s">
        <v>890</v>
      </c>
      <c r="H187" t="s">
        <v>67</v>
      </c>
      <c r="I187" t="s">
        <v>67</v>
      </c>
      <c r="J187" t="s">
        <v>26</v>
      </c>
      <c r="K187" t="s">
        <v>891</v>
      </c>
      <c r="L187" s="2">
        <v>1149852.2360690541</v>
      </c>
      <c r="M187" s="3">
        <v>0.44766742358100059</v>
      </c>
      <c r="N187" s="3">
        <v>0</v>
      </c>
      <c r="O187" s="3">
        <v>0.17294404000670299</v>
      </c>
      <c r="P187" s="3">
        <v>0.1184202000409748</v>
      </c>
      <c r="Q187" s="3">
        <v>0.26096833637132161</v>
      </c>
      <c r="R187" s="3">
        <v>0.2913642400476778</v>
      </c>
      <c r="S187" t="s">
        <v>69</v>
      </c>
      <c r="T187" s="4">
        <f t="shared" si="2"/>
        <v>114.88</v>
      </c>
    </row>
    <row r="188" spans="1:20" x14ac:dyDescent="0.2">
      <c r="A188">
        <v>190</v>
      </c>
      <c r="B188">
        <v>1</v>
      </c>
      <c r="C188" t="s">
        <v>892</v>
      </c>
      <c r="D188" t="s">
        <v>893</v>
      </c>
      <c r="E188" t="s">
        <v>894</v>
      </c>
      <c r="H188" t="s">
        <v>25</v>
      </c>
      <c r="I188" t="s">
        <v>25</v>
      </c>
      <c r="J188" t="s">
        <v>34</v>
      </c>
      <c r="K188" t="s">
        <v>878</v>
      </c>
      <c r="L188" s="2">
        <v>1149852.2360690541</v>
      </c>
      <c r="M188" s="3">
        <v>0</v>
      </c>
      <c r="N188" s="3">
        <v>0</v>
      </c>
      <c r="O188" s="3">
        <v>0.22185204573463471</v>
      </c>
      <c r="P188" s="3">
        <v>0.19926251197795819</v>
      </c>
      <c r="Q188" s="3">
        <v>0.57888544228740713</v>
      </c>
      <c r="R188" s="3">
        <v>0.42111455771259287</v>
      </c>
      <c r="S188" t="s">
        <v>125</v>
      </c>
      <c r="T188" s="4">
        <f t="shared" si="2"/>
        <v>104.15</v>
      </c>
    </row>
    <row r="189" spans="1:20" x14ac:dyDescent="0.2">
      <c r="A189">
        <v>191</v>
      </c>
      <c r="B189">
        <v>1</v>
      </c>
      <c r="C189" t="s">
        <v>895</v>
      </c>
      <c r="D189" t="s">
        <v>896</v>
      </c>
      <c r="E189" t="s">
        <v>474</v>
      </c>
      <c r="F189" t="s">
        <v>897</v>
      </c>
      <c r="G189" t="s">
        <v>898</v>
      </c>
      <c r="H189" t="s">
        <v>25</v>
      </c>
      <c r="I189" t="s">
        <v>25</v>
      </c>
      <c r="J189" t="s">
        <v>26</v>
      </c>
      <c r="K189" t="s">
        <v>891</v>
      </c>
      <c r="L189" s="2">
        <v>1149852.2360690541</v>
      </c>
      <c r="M189" s="3">
        <v>0.3452235741551169</v>
      </c>
      <c r="N189" s="3">
        <v>0</v>
      </c>
      <c r="O189" s="3">
        <v>0.1565018815277614</v>
      </c>
      <c r="P189" s="3">
        <v>4.1796304796504577E-2</v>
      </c>
      <c r="Q189" s="3">
        <v>0.45647823952061728</v>
      </c>
      <c r="R189" s="3">
        <v>0.19829818632426599</v>
      </c>
      <c r="S189" t="s">
        <v>36</v>
      </c>
      <c r="T189" s="4">
        <f t="shared" si="2"/>
        <v>78.36</v>
      </c>
    </row>
    <row r="190" spans="1:20" x14ac:dyDescent="0.2">
      <c r="A190">
        <v>192</v>
      </c>
      <c r="B190">
        <v>1</v>
      </c>
      <c r="C190" t="s">
        <v>899</v>
      </c>
      <c r="D190" t="s">
        <v>900</v>
      </c>
      <c r="E190" t="s">
        <v>474</v>
      </c>
      <c r="H190" t="s">
        <v>67</v>
      </c>
      <c r="I190" t="s">
        <v>67</v>
      </c>
      <c r="J190" t="s">
        <v>26</v>
      </c>
      <c r="K190" t="s">
        <v>161</v>
      </c>
      <c r="L190" s="2">
        <v>1149852.2360690541</v>
      </c>
      <c r="M190" s="3">
        <v>0.26099983086546658</v>
      </c>
      <c r="N190" s="3">
        <v>5.2656098179460651E-3</v>
      </c>
      <c r="O190" s="3">
        <v>0.26604101453763113</v>
      </c>
      <c r="P190" s="3">
        <v>0.29481291335295229</v>
      </c>
      <c r="Q190" s="3">
        <v>0.17288063142600391</v>
      </c>
      <c r="R190" s="3">
        <v>0.56085392789058341</v>
      </c>
      <c r="S190" t="s">
        <v>125</v>
      </c>
      <c r="T190" s="4">
        <f t="shared" si="2"/>
        <v>167.75</v>
      </c>
    </row>
    <row r="191" spans="1:20" x14ac:dyDescent="0.2">
      <c r="A191">
        <v>193</v>
      </c>
      <c r="B191">
        <v>1</v>
      </c>
      <c r="C191" t="s">
        <v>901</v>
      </c>
      <c r="D191" t="s">
        <v>902</v>
      </c>
      <c r="E191" t="s">
        <v>903</v>
      </c>
      <c r="F191" t="s">
        <v>709</v>
      </c>
      <c r="G191" t="s">
        <v>710</v>
      </c>
      <c r="H191" t="s">
        <v>25</v>
      </c>
      <c r="I191" t="s">
        <v>25</v>
      </c>
      <c r="J191" t="s">
        <v>26</v>
      </c>
      <c r="K191" t="s">
        <v>904</v>
      </c>
      <c r="L191" s="2">
        <v>1149852.236069005</v>
      </c>
      <c r="M191" s="3">
        <v>0.88079508238021609</v>
      </c>
      <c r="N191" s="3">
        <v>0</v>
      </c>
      <c r="O191" s="3">
        <v>8.2343438826107437E-2</v>
      </c>
      <c r="P191" s="3">
        <v>3.6861478793607731E-2</v>
      </c>
      <c r="Q191" s="3">
        <v>6.8833827526759706E-14</v>
      </c>
      <c r="R191" s="3">
        <v>0.1192049176197152</v>
      </c>
      <c r="S191" t="s">
        <v>36</v>
      </c>
      <c r="T191" s="4">
        <f t="shared" si="2"/>
        <v>115.61</v>
      </c>
    </row>
    <row r="192" spans="1:20" x14ac:dyDescent="0.2">
      <c r="A192">
        <v>194</v>
      </c>
      <c r="B192">
        <v>1</v>
      </c>
      <c r="C192" t="s">
        <v>905</v>
      </c>
      <c r="D192" t="s">
        <v>906</v>
      </c>
      <c r="E192" t="s">
        <v>907</v>
      </c>
      <c r="F192" t="s">
        <v>908</v>
      </c>
      <c r="G192" t="s">
        <v>909</v>
      </c>
      <c r="H192" t="s">
        <v>25</v>
      </c>
      <c r="I192" t="s">
        <v>25</v>
      </c>
      <c r="J192" t="s">
        <v>92</v>
      </c>
      <c r="K192" t="s">
        <v>210</v>
      </c>
      <c r="L192" s="2">
        <v>1149852.236069005</v>
      </c>
      <c r="M192" s="3">
        <v>0.50541274049754525</v>
      </c>
      <c r="N192" s="3">
        <v>0</v>
      </c>
      <c r="O192" s="3">
        <v>0.11495431615246079</v>
      </c>
      <c r="P192" s="3">
        <v>6.3781733400529181E-3</v>
      </c>
      <c r="Q192" s="3">
        <v>0.37325477000994101</v>
      </c>
      <c r="R192" s="3">
        <v>0.1213324894925137</v>
      </c>
      <c r="S192" t="s">
        <v>36</v>
      </c>
      <c r="T192" s="4">
        <f t="shared" si="2"/>
        <v>75.45</v>
      </c>
    </row>
    <row r="193" spans="1:20" x14ac:dyDescent="0.2">
      <c r="A193">
        <v>195</v>
      </c>
      <c r="B193">
        <v>1</v>
      </c>
      <c r="C193" t="s">
        <v>910</v>
      </c>
      <c r="D193" t="s">
        <v>911</v>
      </c>
      <c r="E193" t="s">
        <v>907</v>
      </c>
      <c r="F193" t="s">
        <v>912</v>
      </c>
      <c r="G193" t="s">
        <v>913</v>
      </c>
      <c r="H193" t="s">
        <v>25</v>
      </c>
      <c r="I193" t="s">
        <v>25</v>
      </c>
      <c r="J193" t="s">
        <v>34</v>
      </c>
      <c r="K193" t="s">
        <v>210</v>
      </c>
      <c r="L193" s="2">
        <v>1149852.236069005</v>
      </c>
      <c r="M193" s="3">
        <v>0.8334690507015956</v>
      </c>
      <c r="N193" s="3">
        <v>0</v>
      </c>
      <c r="O193" s="3">
        <v>3.5177441426007143E-2</v>
      </c>
      <c r="P193" s="3">
        <v>0</v>
      </c>
      <c r="Q193" s="3">
        <v>0.1313535078723973</v>
      </c>
      <c r="R193" s="3">
        <v>3.5177441426007143E-2</v>
      </c>
      <c r="S193" t="s">
        <v>28</v>
      </c>
      <c r="T193" s="4">
        <f t="shared" si="2"/>
        <v>90.38</v>
      </c>
    </row>
    <row r="194" spans="1:20" x14ac:dyDescent="0.2">
      <c r="A194">
        <v>196</v>
      </c>
      <c r="B194">
        <v>1</v>
      </c>
      <c r="C194" t="s">
        <v>914</v>
      </c>
      <c r="D194" t="s">
        <v>915</v>
      </c>
      <c r="E194" t="s">
        <v>907</v>
      </c>
      <c r="F194" t="s">
        <v>916</v>
      </c>
      <c r="G194" t="s">
        <v>917</v>
      </c>
      <c r="H194" t="s">
        <v>25</v>
      </c>
      <c r="I194" t="s">
        <v>25</v>
      </c>
      <c r="J194" t="s">
        <v>34</v>
      </c>
      <c r="K194" t="s">
        <v>210</v>
      </c>
      <c r="L194" s="2">
        <v>1149852.236069005</v>
      </c>
      <c r="M194" s="3">
        <v>0.98391862187833135</v>
      </c>
      <c r="N194" s="3">
        <v>0</v>
      </c>
      <c r="O194" s="3">
        <v>1.6081378121669061E-2</v>
      </c>
      <c r="P194" s="3">
        <v>0</v>
      </c>
      <c r="Q194" s="3">
        <v>0</v>
      </c>
      <c r="R194" s="3">
        <v>1.6081378121669061E-2</v>
      </c>
      <c r="S194" t="s">
        <v>28</v>
      </c>
      <c r="T194" s="4">
        <f t="shared" ref="T194:T257" si="3">ROUND((M194*100*1)+(O194*100*2)+(P194*100*3),2)</f>
        <v>101.61</v>
      </c>
    </row>
    <row r="195" spans="1:20" x14ac:dyDescent="0.2">
      <c r="A195">
        <v>197</v>
      </c>
      <c r="B195">
        <v>1</v>
      </c>
      <c r="C195" t="s">
        <v>918</v>
      </c>
      <c r="D195" t="s">
        <v>919</v>
      </c>
      <c r="E195" t="s">
        <v>903</v>
      </c>
      <c r="F195" t="s">
        <v>920</v>
      </c>
      <c r="G195" t="s">
        <v>921</v>
      </c>
      <c r="H195" t="s">
        <v>25</v>
      </c>
      <c r="I195" t="s">
        <v>25</v>
      </c>
      <c r="J195" t="s">
        <v>34</v>
      </c>
      <c r="K195" t="s">
        <v>210</v>
      </c>
      <c r="L195" s="2">
        <v>1149852.236069005</v>
      </c>
      <c r="M195" s="3">
        <v>0.30298843326130642</v>
      </c>
      <c r="N195" s="3">
        <v>0</v>
      </c>
      <c r="O195" s="3">
        <v>2.0388466643915359E-2</v>
      </c>
      <c r="P195" s="3">
        <v>0</v>
      </c>
      <c r="Q195" s="3">
        <v>0.67662310009477822</v>
      </c>
      <c r="R195" s="3">
        <v>2.0388466643915359E-2</v>
      </c>
      <c r="S195" t="s">
        <v>28</v>
      </c>
      <c r="T195" s="4">
        <f t="shared" si="3"/>
        <v>34.380000000000003</v>
      </c>
    </row>
    <row r="196" spans="1:20" x14ac:dyDescent="0.2">
      <c r="A196">
        <v>198</v>
      </c>
      <c r="B196">
        <v>1</v>
      </c>
      <c r="C196" t="s">
        <v>922</v>
      </c>
      <c r="D196" t="s">
        <v>923</v>
      </c>
      <c r="E196" t="s">
        <v>109</v>
      </c>
      <c r="F196" t="s">
        <v>924</v>
      </c>
      <c r="G196" t="s">
        <v>925</v>
      </c>
      <c r="H196" t="s">
        <v>25</v>
      </c>
      <c r="I196" t="s">
        <v>25</v>
      </c>
      <c r="J196" t="s">
        <v>26</v>
      </c>
      <c r="K196" t="s">
        <v>187</v>
      </c>
      <c r="L196" s="2">
        <v>1149852.236069005</v>
      </c>
      <c r="M196" s="3">
        <v>0.96799443370075811</v>
      </c>
      <c r="N196" s="3">
        <v>0</v>
      </c>
      <c r="O196" s="3">
        <v>1.307898798034849E-2</v>
      </c>
      <c r="P196" s="3">
        <v>0</v>
      </c>
      <c r="Q196" s="3">
        <v>1.8926578318893331E-2</v>
      </c>
      <c r="R196" s="3">
        <v>1.307898798034849E-2</v>
      </c>
      <c r="S196" t="s">
        <v>28</v>
      </c>
      <c r="T196" s="4">
        <f t="shared" si="3"/>
        <v>99.42</v>
      </c>
    </row>
    <row r="197" spans="1:20" x14ac:dyDescent="0.2">
      <c r="A197">
        <v>199</v>
      </c>
      <c r="B197">
        <v>1</v>
      </c>
      <c r="C197" t="s">
        <v>926</v>
      </c>
      <c r="D197" t="s">
        <v>927</v>
      </c>
      <c r="E197" t="s">
        <v>928</v>
      </c>
      <c r="F197" t="s">
        <v>929</v>
      </c>
      <c r="G197" t="s">
        <v>148</v>
      </c>
      <c r="H197" t="s">
        <v>25</v>
      </c>
      <c r="I197" t="s">
        <v>25</v>
      </c>
      <c r="J197" t="s">
        <v>92</v>
      </c>
      <c r="K197" t="s">
        <v>210</v>
      </c>
      <c r="L197" s="2">
        <v>1149852.236069005</v>
      </c>
      <c r="M197" s="3">
        <v>0</v>
      </c>
      <c r="N197" s="3">
        <v>0</v>
      </c>
      <c r="O197" s="3">
        <v>5.7275792455605518E-2</v>
      </c>
      <c r="P197" s="3">
        <v>3.4152678576934943E-2</v>
      </c>
      <c r="Q197" s="3">
        <v>0.90857152896745952</v>
      </c>
      <c r="R197" s="3">
        <v>9.1428471032540454E-2</v>
      </c>
      <c r="S197" t="s">
        <v>28</v>
      </c>
      <c r="T197" s="4">
        <f t="shared" si="3"/>
        <v>21.7</v>
      </c>
    </row>
    <row r="198" spans="1:20" x14ac:dyDescent="0.2">
      <c r="A198">
        <v>200</v>
      </c>
      <c r="B198">
        <v>1</v>
      </c>
      <c r="C198" t="s">
        <v>930</v>
      </c>
      <c r="D198" t="s">
        <v>931</v>
      </c>
      <c r="E198" t="s">
        <v>932</v>
      </c>
      <c r="F198" t="s">
        <v>933</v>
      </c>
      <c r="G198" t="s">
        <v>934</v>
      </c>
      <c r="H198" t="s">
        <v>25</v>
      </c>
      <c r="I198" t="s">
        <v>25</v>
      </c>
      <c r="J198" t="s">
        <v>26</v>
      </c>
      <c r="K198" t="s">
        <v>56</v>
      </c>
      <c r="L198" s="2">
        <v>1149852.236069005</v>
      </c>
      <c r="M198" s="3">
        <v>0.9486877452793504</v>
      </c>
      <c r="N198" s="3">
        <v>0</v>
      </c>
      <c r="O198" s="3">
        <v>5.1312254720647807E-2</v>
      </c>
      <c r="P198" s="3">
        <v>0</v>
      </c>
      <c r="Q198" s="3">
        <v>1.7763568394002501E-15</v>
      </c>
      <c r="R198" s="3">
        <v>5.1312254720647807E-2</v>
      </c>
      <c r="S198" t="s">
        <v>28</v>
      </c>
      <c r="T198" s="4">
        <f t="shared" si="3"/>
        <v>105.13</v>
      </c>
    </row>
    <row r="199" spans="1:20" x14ac:dyDescent="0.2">
      <c r="A199">
        <v>201</v>
      </c>
      <c r="B199">
        <v>1</v>
      </c>
      <c r="C199" t="s">
        <v>935</v>
      </c>
      <c r="D199" t="s">
        <v>936</v>
      </c>
      <c r="E199" t="s">
        <v>937</v>
      </c>
      <c r="F199" t="s">
        <v>109</v>
      </c>
      <c r="G199" t="s">
        <v>609</v>
      </c>
      <c r="H199" t="s">
        <v>25</v>
      </c>
      <c r="I199" t="s">
        <v>25</v>
      </c>
      <c r="J199" t="s">
        <v>26</v>
      </c>
      <c r="K199" t="s">
        <v>210</v>
      </c>
      <c r="L199" s="2">
        <v>1149852.236069005</v>
      </c>
      <c r="M199" s="3">
        <v>0</v>
      </c>
      <c r="N199" s="3">
        <v>0.1280653805745533</v>
      </c>
      <c r="O199" s="3">
        <v>1.493110869496227E-2</v>
      </c>
      <c r="P199" s="3">
        <v>0</v>
      </c>
      <c r="Q199" s="3">
        <v>0.85700351073048442</v>
      </c>
      <c r="R199" s="3">
        <v>1.493110869496227E-2</v>
      </c>
      <c r="S199" t="s">
        <v>28</v>
      </c>
      <c r="T199" s="4">
        <f t="shared" si="3"/>
        <v>2.99</v>
      </c>
    </row>
    <row r="200" spans="1:20" x14ac:dyDescent="0.2">
      <c r="A200">
        <v>202</v>
      </c>
      <c r="B200">
        <v>1</v>
      </c>
      <c r="C200" t="s">
        <v>938</v>
      </c>
      <c r="D200" t="s">
        <v>939</v>
      </c>
      <c r="E200" t="s">
        <v>937</v>
      </c>
      <c r="F200" t="s">
        <v>940</v>
      </c>
      <c r="G200" t="s">
        <v>941</v>
      </c>
      <c r="H200" t="s">
        <v>25</v>
      </c>
      <c r="I200" t="s">
        <v>25</v>
      </c>
      <c r="J200" t="s">
        <v>26</v>
      </c>
      <c r="K200" t="s">
        <v>210</v>
      </c>
      <c r="L200" s="2">
        <v>1149852.236069005</v>
      </c>
      <c r="M200" s="3">
        <v>9.3395319212257799E-2</v>
      </c>
      <c r="N200" s="3">
        <v>0</v>
      </c>
      <c r="O200" s="3">
        <v>5.4183164906071682E-2</v>
      </c>
      <c r="P200" s="3">
        <v>8.6853404086582723E-4</v>
      </c>
      <c r="Q200" s="3">
        <v>0.85155298184080475</v>
      </c>
      <c r="R200" s="3">
        <v>5.5051698946937511E-2</v>
      </c>
      <c r="S200" t="s">
        <v>28</v>
      </c>
      <c r="T200" s="4">
        <f t="shared" si="3"/>
        <v>20.440000000000001</v>
      </c>
    </row>
    <row r="201" spans="1:20" x14ac:dyDescent="0.2">
      <c r="A201">
        <v>203</v>
      </c>
      <c r="B201">
        <v>1</v>
      </c>
      <c r="C201" t="s">
        <v>942</v>
      </c>
      <c r="D201" t="s">
        <v>943</v>
      </c>
      <c r="E201" t="s">
        <v>944</v>
      </c>
      <c r="F201" t="s">
        <v>945</v>
      </c>
      <c r="G201" t="s">
        <v>946</v>
      </c>
      <c r="H201" t="s">
        <v>67</v>
      </c>
      <c r="I201" t="s">
        <v>67</v>
      </c>
      <c r="J201" t="s">
        <v>26</v>
      </c>
      <c r="K201" t="s">
        <v>187</v>
      </c>
      <c r="L201" s="2">
        <v>1149852.236069005</v>
      </c>
      <c r="M201" s="3">
        <v>0.66232600769941252</v>
      </c>
      <c r="N201" s="3">
        <v>0</v>
      </c>
      <c r="O201" s="3">
        <v>3.3896465491677297E-2</v>
      </c>
      <c r="P201" s="3">
        <v>0</v>
      </c>
      <c r="Q201" s="3">
        <v>0.30377752680891013</v>
      </c>
      <c r="R201" s="3">
        <v>3.3896465491677297E-2</v>
      </c>
      <c r="S201" t="s">
        <v>28</v>
      </c>
      <c r="T201" s="4">
        <f t="shared" si="3"/>
        <v>73.010000000000005</v>
      </c>
    </row>
    <row r="202" spans="1:20" x14ac:dyDescent="0.2">
      <c r="A202">
        <v>204</v>
      </c>
      <c r="B202">
        <v>2</v>
      </c>
      <c r="C202" t="s">
        <v>947</v>
      </c>
      <c r="D202" t="s">
        <v>948</v>
      </c>
      <c r="E202" t="s">
        <v>944</v>
      </c>
      <c r="F202" t="s">
        <v>949</v>
      </c>
      <c r="G202" t="s">
        <v>950</v>
      </c>
      <c r="H202" t="s">
        <v>25</v>
      </c>
      <c r="I202" t="s">
        <v>25</v>
      </c>
      <c r="J202" t="s">
        <v>26</v>
      </c>
      <c r="K202" t="s">
        <v>27</v>
      </c>
      <c r="L202" s="2">
        <v>2299704.47213801</v>
      </c>
      <c r="M202" s="3">
        <v>0.57223491156048234</v>
      </c>
      <c r="N202" s="3">
        <v>0</v>
      </c>
      <c r="O202" s="3">
        <v>4.4427679944238761E-2</v>
      </c>
      <c r="P202" s="3">
        <v>0</v>
      </c>
      <c r="Q202" s="3">
        <v>0.38333740849527892</v>
      </c>
      <c r="R202" s="3">
        <v>4.4427679944238761E-2</v>
      </c>
      <c r="S202" t="s">
        <v>28</v>
      </c>
      <c r="T202" s="4">
        <f t="shared" si="3"/>
        <v>66.11</v>
      </c>
    </row>
    <row r="203" spans="1:20" x14ac:dyDescent="0.2">
      <c r="A203">
        <v>205</v>
      </c>
      <c r="B203">
        <v>2</v>
      </c>
      <c r="C203" t="s">
        <v>951</v>
      </c>
      <c r="D203" t="s">
        <v>952</v>
      </c>
      <c r="E203" t="s">
        <v>953</v>
      </c>
      <c r="F203" t="s">
        <v>954</v>
      </c>
      <c r="G203" t="s">
        <v>955</v>
      </c>
      <c r="H203" t="s">
        <v>67</v>
      </c>
      <c r="I203" t="s">
        <v>67</v>
      </c>
      <c r="J203" t="s">
        <v>26</v>
      </c>
      <c r="K203" t="s">
        <v>210</v>
      </c>
      <c r="L203" s="2">
        <v>2299704.47213801</v>
      </c>
      <c r="M203" s="3">
        <v>0.85197777833776822</v>
      </c>
      <c r="N203" s="3">
        <v>0</v>
      </c>
      <c r="O203" s="3">
        <v>1.872426978905916E-2</v>
      </c>
      <c r="P203" s="3">
        <v>0</v>
      </c>
      <c r="Q203" s="3">
        <v>0.12929795187317261</v>
      </c>
      <c r="R203" s="3">
        <v>1.872426978905916E-2</v>
      </c>
      <c r="S203" t="s">
        <v>28</v>
      </c>
      <c r="T203" s="4">
        <f t="shared" si="3"/>
        <v>88.94</v>
      </c>
    </row>
    <row r="204" spans="1:20" x14ac:dyDescent="0.2">
      <c r="A204">
        <v>206</v>
      </c>
      <c r="B204">
        <v>1</v>
      </c>
      <c r="C204" t="s">
        <v>956</v>
      </c>
      <c r="D204" t="s">
        <v>957</v>
      </c>
      <c r="E204" t="s">
        <v>953</v>
      </c>
      <c r="F204" t="s">
        <v>958</v>
      </c>
      <c r="G204" t="s">
        <v>959</v>
      </c>
      <c r="H204" t="s">
        <v>25</v>
      </c>
      <c r="I204" t="s">
        <v>25</v>
      </c>
      <c r="J204" t="s">
        <v>26</v>
      </c>
      <c r="K204" t="s">
        <v>210</v>
      </c>
      <c r="L204" s="2">
        <v>1149852.236069005</v>
      </c>
      <c r="M204" s="3">
        <v>0</v>
      </c>
      <c r="N204" s="3">
        <v>0</v>
      </c>
      <c r="O204" s="3">
        <v>7.3295718515610078E-2</v>
      </c>
      <c r="P204" s="3">
        <v>0</v>
      </c>
      <c r="Q204" s="3">
        <v>0.92670428148438999</v>
      </c>
      <c r="R204" s="3">
        <v>7.3295718515610078E-2</v>
      </c>
      <c r="S204" t="s">
        <v>28</v>
      </c>
      <c r="T204" s="4">
        <f t="shared" si="3"/>
        <v>14.66</v>
      </c>
    </row>
    <row r="205" spans="1:20" x14ac:dyDescent="0.2">
      <c r="A205">
        <v>207</v>
      </c>
      <c r="B205">
        <v>1</v>
      </c>
      <c r="C205" t="s">
        <v>960</v>
      </c>
      <c r="D205" t="s">
        <v>961</v>
      </c>
      <c r="E205" t="s">
        <v>953</v>
      </c>
      <c r="F205" t="s">
        <v>962</v>
      </c>
      <c r="G205" t="s">
        <v>963</v>
      </c>
      <c r="H205" t="s">
        <v>25</v>
      </c>
      <c r="I205" t="s">
        <v>25</v>
      </c>
      <c r="J205" t="s">
        <v>34</v>
      </c>
      <c r="K205" t="s">
        <v>210</v>
      </c>
      <c r="L205" s="2">
        <v>1149852.236069005</v>
      </c>
      <c r="M205" s="3">
        <v>0.48294081898020902</v>
      </c>
      <c r="N205" s="3">
        <v>0</v>
      </c>
      <c r="O205" s="3">
        <v>6.8097871387781325E-2</v>
      </c>
      <c r="P205" s="3">
        <v>0</v>
      </c>
      <c r="Q205" s="3">
        <v>0.44896130963200981</v>
      </c>
      <c r="R205" s="3">
        <v>6.8097871387781325E-2</v>
      </c>
      <c r="S205" t="s">
        <v>28</v>
      </c>
      <c r="T205" s="4">
        <f t="shared" si="3"/>
        <v>61.91</v>
      </c>
    </row>
    <row r="206" spans="1:20" x14ac:dyDescent="0.2">
      <c r="A206">
        <v>208</v>
      </c>
      <c r="B206">
        <v>1</v>
      </c>
      <c r="C206" t="s">
        <v>964</v>
      </c>
      <c r="D206" t="s">
        <v>965</v>
      </c>
      <c r="E206" t="s">
        <v>966</v>
      </c>
      <c r="F206" t="s">
        <v>967</v>
      </c>
      <c r="G206" t="s">
        <v>968</v>
      </c>
      <c r="H206" t="s">
        <v>25</v>
      </c>
      <c r="I206" t="s">
        <v>25</v>
      </c>
      <c r="J206" t="s">
        <v>26</v>
      </c>
      <c r="K206" t="s">
        <v>187</v>
      </c>
      <c r="L206" s="2">
        <v>1149852.236069005</v>
      </c>
      <c r="M206" s="3">
        <v>0.50771879143031295</v>
      </c>
      <c r="N206" s="3">
        <v>0</v>
      </c>
      <c r="O206" s="3">
        <v>5.8314206159534809E-2</v>
      </c>
      <c r="P206" s="3">
        <v>0</v>
      </c>
      <c r="Q206" s="3">
        <v>0.43396700241015229</v>
      </c>
      <c r="R206" s="3">
        <v>5.8314206159534809E-2</v>
      </c>
      <c r="S206" t="s">
        <v>28</v>
      </c>
      <c r="T206" s="4">
        <f t="shared" si="3"/>
        <v>62.43</v>
      </c>
    </row>
    <row r="207" spans="1:20" x14ac:dyDescent="0.2">
      <c r="A207">
        <v>209</v>
      </c>
      <c r="B207">
        <v>1</v>
      </c>
      <c r="C207" t="s">
        <v>969</v>
      </c>
      <c r="D207" t="s">
        <v>970</v>
      </c>
      <c r="E207" t="s">
        <v>971</v>
      </c>
      <c r="F207" t="s">
        <v>972</v>
      </c>
      <c r="G207" t="s">
        <v>973</v>
      </c>
      <c r="H207" t="s">
        <v>25</v>
      </c>
      <c r="I207" t="s">
        <v>25</v>
      </c>
      <c r="J207" t="s">
        <v>92</v>
      </c>
      <c r="K207" t="s">
        <v>130</v>
      </c>
      <c r="L207" s="2">
        <v>1149852.236069005</v>
      </c>
      <c r="M207" s="3">
        <v>0.77819522276782038</v>
      </c>
      <c r="N207" s="3">
        <v>0</v>
      </c>
      <c r="O207" s="3">
        <v>4.4862108194851709E-2</v>
      </c>
      <c r="P207" s="3">
        <v>0</v>
      </c>
      <c r="Q207" s="3">
        <v>0.17694266903732789</v>
      </c>
      <c r="R207" s="3">
        <v>4.4862108194851709E-2</v>
      </c>
      <c r="S207" t="s">
        <v>28</v>
      </c>
      <c r="T207" s="4">
        <f t="shared" si="3"/>
        <v>86.79</v>
      </c>
    </row>
    <row r="208" spans="1:20" x14ac:dyDescent="0.2">
      <c r="A208">
        <v>210</v>
      </c>
      <c r="B208">
        <v>1</v>
      </c>
      <c r="C208" t="s">
        <v>974</v>
      </c>
      <c r="D208" t="s">
        <v>975</v>
      </c>
      <c r="E208" t="s">
        <v>971</v>
      </c>
      <c r="F208" t="s">
        <v>976</v>
      </c>
      <c r="G208" t="s">
        <v>977</v>
      </c>
      <c r="H208" t="s">
        <v>25</v>
      </c>
      <c r="I208" t="s">
        <v>25</v>
      </c>
      <c r="J208" t="s">
        <v>26</v>
      </c>
      <c r="K208" t="s">
        <v>210</v>
      </c>
      <c r="L208" s="2">
        <v>1149852.236069005</v>
      </c>
      <c r="M208" s="3">
        <v>8.7099486229020334E-2</v>
      </c>
      <c r="N208" s="3">
        <v>0</v>
      </c>
      <c r="O208" s="3">
        <v>2.484544211816753E-2</v>
      </c>
      <c r="P208" s="3">
        <v>0</v>
      </c>
      <c r="Q208" s="3">
        <v>0.88805507165281217</v>
      </c>
      <c r="R208" s="3">
        <v>2.484544211816753E-2</v>
      </c>
      <c r="S208" t="s">
        <v>28</v>
      </c>
      <c r="T208" s="4">
        <f t="shared" si="3"/>
        <v>13.68</v>
      </c>
    </row>
    <row r="209" spans="1:20" x14ac:dyDescent="0.2">
      <c r="A209">
        <v>211</v>
      </c>
      <c r="B209">
        <v>1</v>
      </c>
      <c r="C209" t="s">
        <v>978</v>
      </c>
      <c r="D209" t="s">
        <v>979</v>
      </c>
      <c r="E209" t="s">
        <v>971</v>
      </c>
      <c r="F209" t="s">
        <v>980</v>
      </c>
      <c r="G209" t="s">
        <v>981</v>
      </c>
      <c r="H209" t="s">
        <v>67</v>
      </c>
      <c r="I209" t="s">
        <v>67</v>
      </c>
      <c r="J209" t="s">
        <v>26</v>
      </c>
      <c r="K209" t="s">
        <v>210</v>
      </c>
      <c r="L209" s="2">
        <v>1149852.236069005</v>
      </c>
      <c r="M209" s="3">
        <v>0.71335079734382867</v>
      </c>
      <c r="N209" s="3">
        <v>0</v>
      </c>
      <c r="O209" s="3">
        <v>7.0180661693108673E-2</v>
      </c>
      <c r="P209" s="3">
        <v>0</v>
      </c>
      <c r="Q209" s="3">
        <v>0.2164685409630627</v>
      </c>
      <c r="R209" s="3">
        <v>7.0180661693108673E-2</v>
      </c>
      <c r="S209" t="s">
        <v>28</v>
      </c>
      <c r="T209" s="4">
        <f t="shared" si="3"/>
        <v>85.37</v>
      </c>
    </row>
    <row r="210" spans="1:20" x14ac:dyDescent="0.2">
      <c r="A210">
        <v>212</v>
      </c>
      <c r="B210">
        <v>1</v>
      </c>
      <c r="C210" t="s">
        <v>982</v>
      </c>
      <c r="D210" t="s">
        <v>983</v>
      </c>
      <c r="E210" t="s">
        <v>984</v>
      </c>
      <c r="F210" t="s">
        <v>985</v>
      </c>
      <c r="G210" t="s">
        <v>986</v>
      </c>
      <c r="H210" t="s">
        <v>336</v>
      </c>
      <c r="I210" t="s">
        <v>336</v>
      </c>
      <c r="J210" t="s">
        <v>987</v>
      </c>
      <c r="K210" t="s">
        <v>187</v>
      </c>
      <c r="L210" s="2">
        <v>1149852.236069005</v>
      </c>
      <c r="M210" s="3">
        <v>0.76053415562927174</v>
      </c>
      <c r="N210" s="3">
        <v>0</v>
      </c>
      <c r="O210" s="3">
        <v>0</v>
      </c>
      <c r="P210" s="3">
        <v>0</v>
      </c>
      <c r="Q210" s="3">
        <v>0.23946584437072829</v>
      </c>
      <c r="R210" s="3">
        <v>0</v>
      </c>
      <c r="S210" t="s">
        <v>28</v>
      </c>
      <c r="T210" s="4">
        <f t="shared" si="3"/>
        <v>76.05</v>
      </c>
    </row>
    <row r="211" spans="1:20" x14ac:dyDescent="0.2">
      <c r="A211">
        <v>213</v>
      </c>
      <c r="B211">
        <v>1</v>
      </c>
      <c r="C211" t="s">
        <v>988</v>
      </c>
      <c r="D211" t="s">
        <v>989</v>
      </c>
      <c r="E211" t="s">
        <v>990</v>
      </c>
      <c r="F211" t="s">
        <v>991</v>
      </c>
      <c r="G211" t="s">
        <v>992</v>
      </c>
      <c r="H211" t="s">
        <v>336</v>
      </c>
      <c r="I211" t="s">
        <v>336</v>
      </c>
      <c r="J211" t="s">
        <v>26</v>
      </c>
      <c r="K211" t="s">
        <v>187</v>
      </c>
      <c r="L211" s="2">
        <v>1149852.236069005</v>
      </c>
      <c r="M211" s="3">
        <v>2.2285634344248181E-2</v>
      </c>
      <c r="N211" s="3">
        <v>0</v>
      </c>
      <c r="O211" s="3">
        <v>0.12025983465304101</v>
      </c>
      <c r="P211" s="3">
        <v>0.14623695382056809</v>
      </c>
      <c r="Q211" s="3">
        <v>0.71121757718214274</v>
      </c>
      <c r="R211" s="3">
        <v>0.26649678847360908</v>
      </c>
      <c r="S211" t="s">
        <v>69</v>
      </c>
      <c r="T211" s="4">
        <f t="shared" si="3"/>
        <v>70.150000000000006</v>
      </c>
    </row>
    <row r="212" spans="1:20" x14ac:dyDescent="0.2">
      <c r="A212">
        <v>214</v>
      </c>
      <c r="B212">
        <v>4</v>
      </c>
      <c r="C212" t="s">
        <v>993</v>
      </c>
      <c r="D212" t="s">
        <v>994</v>
      </c>
      <c r="E212" t="s">
        <v>995</v>
      </c>
      <c r="F212" t="s">
        <v>996</v>
      </c>
      <c r="G212" t="s">
        <v>997</v>
      </c>
      <c r="H212" t="s">
        <v>25</v>
      </c>
      <c r="I212" t="s">
        <v>25</v>
      </c>
      <c r="J212" t="s">
        <v>92</v>
      </c>
      <c r="K212" t="s">
        <v>210</v>
      </c>
      <c r="L212" s="2">
        <v>4599408.9442760199</v>
      </c>
      <c r="M212" s="3">
        <v>0.36487534686267847</v>
      </c>
      <c r="N212" s="3">
        <v>0</v>
      </c>
      <c r="O212" s="3">
        <v>0.1284080211126728</v>
      </c>
      <c r="P212" s="3">
        <v>4.5670042262163351E-3</v>
      </c>
      <c r="Q212" s="3">
        <v>0.50214962779843231</v>
      </c>
      <c r="R212" s="3">
        <v>0.13297502533888911</v>
      </c>
      <c r="S212" t="s">
        <v>36</v>
      </c>
      <c r="T212" s="4">
        <f t="shared" si="3"/>
        <v>63.54</v>
      </c>
    </row>
    <row r="213" spans="1:20" x14ac:dyDescent="0.2">
      <c r="A213">
        <v>215</v>
      </c>
      <c r="B213">
        <v>1</v>
      </c>
      <c r="C213" t="s">
        <v>998</v>
      </c>
      <c r="D213" t="s">
        <v>999</v>
      </c>
      <c r="E213" t="s">
        <v>1000</v>
      </c>
      <c r="F213" t="s">
        <v>1001</v>
      </c>
      <c r="G213" t="s">
        <v>1002</v>
      </c>
      <c r="H213" t="s">
        <v>25</v>
      </c>
      <c r="I213" t="s">
        <v>25</v>
      </c>
      <c r="J213" t="s">
        <v>92</v>
      </c>
      <c r="K213" t="s">
        <v>56</v>
      </c>
      <c r="L213" s="2">
        <v>1149852.236069005</v>
      </c>
      <c r="M213" s="3">
        <v>0.76090575417461026</v>
      </c>
      <c r="N213" s="3">
        <v>0</v>
      </c>
      <c r="O213" s="3">
        <v>3.9394044137512463E-2</v>
      </c>
      <c r="P213" s="3">
        <v>5.700036579521045E-5</v>
      </c>
      <c r="Q213" s="3">
        <v>0.19964320132208199</v>
      </c>
      <c r="R213" s="3">
        <v>3.9451044503307671E-2</v>
      </c>
      <c r="S213" t="s">
        <v>28</v>
      </c>
      <c r="T213" s="4">
        <f t="shared" si="3"/>
        <v>83.99</v>
      </c>
    </row>
    <row r="214" spans="1:20" x14ac:dyDescent="0.2">
      <c r="A214">
        <v>216</v>
      </c>
      <c r="B214">
        <v>1</v>
      </c>
      <c r="C214" t="s">
        <v>1003</v>
      </c>
      <c r="D214" t="s">
        <v>1004</v>
      </c>
      <c r="E214" t="s">
        <v>1005</v>
      </c>
      <c r="F214" t="s">
        <v>1006</v>
      </c>
      <c r="G214" t="s">
        <v>1007</v>
      </c>
      <c r="H214" t="s">
        <v>80</v>
      </c>
      <c r="I214" t="s">
        <v>80</v>
      </c>
      <c r="J214" t="s">
        <v>34</v>
      </c>
      <c r="K214" t="s">
        <v>193</v>
      </c>
      <c r="L214" s="2">
        <v>1149852.236069005</v>
      </c>
      <c r="M214" s="3">
        <v>0.98992649947114897</v>
      </c>
      <c r="N214" s="3">
        <v>0</v>
      </c>
      <c r="O214" s="3">
        <v>1.007350052884844E-2</v>
      </c>
      <c r="P214" s="3">
        <v>0</v>
      </c>
      <c r="Q214" s="3">
        <v>2.55351295663786E-15</v>
      </c>
      <c r="R214" s="3">
        <v>1.007350052884844E-2</v>
      </c>
      <c r="S214" t="s">
        <v>28</v>
      </c>
      <c r="T214" s="4">
        <f t="shared" si="3"/>
        <v>101.01</v>
      </c>
    </row>
    <row r="215" spans="1:20" x14ac:dyDescent="0.2">
      <c r="A215">
        <v>217</v>
      </c>
      <c r="B215">
        <v>2</v>
      </c>
      <c r="C215" t="s">
        <v>1008</v>
      </c>
      <c r="D215" t="s">
        <v>1009</v>
      </c>
      <c r="E215" t="s">
        <v>1010</v>
      </c>
      <c r="F215" t="s">
        <v>1011</v>
      </c>
      <c r="G215" t="s">
        <v>1012</v>
      </c>
      <c r="H215" t="s">
        <v>25</v>
      </c>
      <c r="I215" t="s">
        <v>25</v>
      </c>
      <c r="J215" t="s">
        <v>26</v>
      </c>
      <c r="K215" t="s">
        <v>56</v>
      </c>
      <c r="L215" s="2">
        <v>2299704.47213801</v>
      </c>
      <c r="M215" s="3">
        <v>0.56272016415689141</v>
      </c>
      <c r="N215" s="3">
        <v>0</v>
      </c>
      <c r="O215" s="3">
        <v>5.8517102945081473E-2</v>
      </c>
      <c r="P215" s="3">
        <v>6.1314541326643176E-3</v>
      </c>
      <c r="Q215" s="3">
        <v>0.37263127876536267</v>
      </c>
      <c r="R215" s="3">
        <v>6.4648557077745791E-2</v>
      </c>
      <c r="S215" t="s">
        <v>28</v>
      </c>
      <c r="T215" s="4">
        <f t="shared" si="3"/>
        <v>69.81</v>
      </c>
    </row>
    <row r="216" spans="1:20" x14ac:dyDescent="0.2">
      <c r="A216">
        <v>218</v>
      </c>
      <c r="B216">
        <v>1</v>
      </c>
      <c r="C216" t="s">
        <v>1013</v>
      </c>
      <c r="D216" t="s">
        <v>1014</v>
      </c>
      <c r="E216" t="s">
        <v>1015</v>
      </c>
      <c r="F216" t="s">
        <v>1016</v>
      </c>
      <c r="H216" t="s">
        <v>25</v>
      </c>
      <c r="I216" t="s">
        <v>25</v>
      </c>
      <c r="J216" t="s">
        <v>92</v>
      </c>
      <c r="K216" t="s">
        <v>210</v>
      </c>
      <c r="L216" s="2">
        <v>1149852.236069005</v>
      </c>
      <c r="M216" s="3">
        <v>0.96292204384164748</v>
      </c>
      <c r="N216" s="3">
        <v>0</v>
      </c>
      <c r="O216" s="3">
        <v>3.7077956158367453E-2</v>
      </c>
      <c r="P216" s="3">
        <v>0</v>
      </c>
      <c r="Q216" s="3">
        <v>0</v>
      </c>
      <c r="R216" s="3">
        <v>3.7077956158367453E-2</v>
      </c>
      <c r="S216" t="s">
        <v>28</v>
      </c>
      <c r="T216" s="4">
        <f t="shared" si="3"/>
        <v>103.71</v>
      </c>
    </row>
    <row r="217" spans="1:20" x14ac:dyDescent="0.2">
      <c r="A217">
        <v>219</v>
      </c>
      <c r="B217">
        <v>1</v>
      </c>
      <c r="C217" t="s">
        <v>1017</v>
      </c>
      <c r="D217" t="s">
        <v>1018</v>
      </c>
      <c r="E217" t="s">
        <v>1019</v>
      </c>
      <c r="F217" t="s">
        <v>1020</v>
      </c>
      <c r="G217" t="s">
        <v>1021</v>
      </c>
      <c r="H217" t="s">
        <v>25</v>
      </c>
      <c r="I217" t="s">
        <v>25</v>
      </c>
      <c r="J217" t="s">
        <v>92</v>
      </c>
      <c r="K217" t="s">
        <v>210</v>
      </c>
      <c r="L217" s="2">
        <v>1149852.236069005</v>
      </c>
      <c r="M217" s="3">
        <v>0.17979146889670561</v>
      </c>
      <c r="N217" s="3">
        <v>0</v>
      </c>
      <c r="O217" s="3">
        <v>2.2904395416822421E-2</v>
      </c>
      <c r="P217" s="3">
        <v>0</v>
      </c>
      <c r="Q217" s="3">
        <v>0.79730413568647196</v>
      </c>
      <c r="R217" s="3">
        <v>2.2904395416822421E-2</v>
      </c>
      <c r="S217" t="s">
        <v>28</v>
      </c>
      <c r="T217" s="4">
        <f t="shared" si="3"/>
        <v>22.56</v>
      </c>
    </row>
    <row r="218" spans="1:20" x14ac:dyDescent="0.2">
      <c r="A218">
        <v>220</v>
      </c>
      <c r="B218">
        <v>1</v>
      </c>
      <c r="C218" t="s">
        <v>1022</v>
      </c>
      <c r="D218" t="s">
        <v>1023</v>
      </c>
      <c r="E218" t="s">
        <v>1019</v>
      </c>
      <c r="F218" t="s">
        <v>1024</v>
      </c>
      <c r="G218" t="s">
        <v>1025</v>
      </c>
      <c r="H218" t="s">
        <v>25</v>
      </c>
      <c r="I218" t="s">
        <v>25</v>
      </c>
      <c r="J218" t="s">
        <v>26</v>
      </c>
      <c r="K218" t="s">
        <v>210</v>
      </c>
      <c r="L218" s="2">
        <v>1149852.236069005</v>
      </c>
      <c r="M218" s="3">
        <v>4.9350293045351427E-2</v>
      </c>
      <c r="N218" s="3">
        <v>0</v>
      </c>
      <c r="O218" s="3">
        <v>2.871036733109518E-2</v>
      </c>
      <c r="P218" s="3">
        <v>0</v>
      </c>
      <c r="Q218" s="3">
        <v>0.92193933962355323</v>
      </c>
      <c r="R218" s="3">
        <v>2.871036733109518E-2</v>
      </c>
      <c r="S218" t="s">
        <v>28</v>
      </c>
      <c r="T218" s="4">
        <f t="shared" si="3"/>
        <v>10.68</v>
      </c>
    </row>
    <row r="219" spans="1:20" x14ac:dyDescent="0.2">
      <c r="A219">
        <v>221</v>
      </c>
      <c r="B219">
        <v>1</v>
      </c>
      <c r="C219" t="s">
        <v>1026</v>
      </c>
      <c r="D219" t="s">
        <v>1027</v>
      </c>
      <c r="E219" t="s">
        <v>1019</v>
      </c>
      <c r="F219" t="s">
        <v>1028</v>
      </c>
      <c r="G219" t="s">
        <v>1029</v>
      </c>
      <c r="H219" t="s">
        <v>25</v>
      </c>
      <c r="I219" t="s">
        <v>25</v>
      </c>
      <c r="J219" t="s">
        <v>26</v>
      </c>
      <c r="K219" t="s">
        <v>56</v>
      </c>
      <c r="L219" s="2">
        <v>1149852.236069005</v>
      </c>
      <c r="M219" s="3">
        <v>0.23478539099359039</v>
      </c>
      <c r="N219" s="3">
        <v>0</v>
      </c>
      <c r="O219" s="3">
        <v>0.16534537406506111</v>
      </c>
      <c r="P219" s="3">
        <v>6.8957248734089732E-2</v>
      </c>
      <c r="Q219" s="3">
        <v>0.53091198620725877</v>
      </c>
      <c r="R219" s="3">
        <v>0.23430262279915079</v>
      </c>
      <c r="S219" t="s">
        <v>69</v>
      </c>
      <c r="T219" s="4">
        <f t="shared" si="3"/>
        <v>77.23</v>
      </c>
    </row>
    <row r="220" spans="1:20" x14ac:dyDescent="0.2">
      <c r="A220">
        <v>222</v>
      </c>
      <c r="B220">
        <v>1</v>
      </c>
      <c r="C220" t="s">
        <v>1030</v>
      </c>
      <c r="D220" t="s">
        <v>1031</v>
      </c>
      <c r="E220" t="s">
        <v>1019</v>
      </c>
      <c r="F220" t="s">
        <v>1032</v>
      </c>
      <c r="G220" t="s">
        <v>1033</v>
      </c>
      <c r="H220" t="s">
        <v>25</v>
      </c>
      <c r="I220" t="s">
        <v>25</v>
      </c>
      <c r="J220" t="s">
        <v>92</v>
      </c>
      <c r="K220" t="s">
        <v>210</v>
      </c>
      <c r="L220" s="2">
        <v>1149852.236069005</v>
      </c>
      <c r="M220" s="3">
        <v>0.1235895394421158</v>
      </c>
      <c r="N220" s="3">
        <v>0</v>
      </c>
      <c r="O220" s="3">
        <v>0.18258393099718889</v>
      </c>
      <c r="P220" s="3">
        <v>6.511310775027003E-2</v>
      </c>
      <c r="Q220" s="3">
        <v>0.62871342181042533</v>
      </c>
      <c r="R220" s="3">
        <v>0.24769703874745891</v>
      </c>
      <c r="S220" t="s">
        <v>69</v>
      </c>
      <c r="T220" s="4">
        <f t="shared" si="3"/>
        <v>68.41</v>
      </c>
    </row>
    <row r="221" spans="1:20" x14ac:dyDescent="0.2">
      <c r="A221">
        <v>223</v>
      </c>
      <c r="B221">
        <v>3</v>
      </c>
      <c r="C221" t="s">
        <v>1034</v>
      </c>
      <c r="D221" t="s">
        <v>1035</v>
      </c>
      <c r="E221" t="s">
        <v>1019</v>
      </c>
      <c r="F221" t="s">
        <v>1036</v>
      </c>
      <c r="G221" t="s">
        <v>1037</v>
      </c>
      <c r="H221" t="s">
        <v>25</v>
      </c>
      <c r="I221" t="s">
        <v>25</v>
      </c>
      <c r="J221" t="s">
        <v>26</v>
      </c>
      <c r="K221" t="s">
        <v>210</v>
      </c>
      <c r="L221" s="2">
        <v>3449556.7082070149</v>
      </c>
      <c r="M221" s="3">
        <v>8.677294024710477E-3</v>
      </c>
      <c r="N221" s="3">
        <v>0</v>
      </c>
      <c r="O221" s="3">
        <v>4.1550302501017447E-2</v>
      </c>
      <c r="P221" s="3">
        <v>8.6735244403617073E-2</v>
      </c>
      <c r="Q221" s="3">
        <v>0.86303715907065492</v>
      </c>
      <c r="R221" s="3">
        <v>0.12828554690463451</v>
      </c>
      <c r="S221" t="s">
        <v>36</v>
      </c>
      <c r="T221" s="4">
        <f t="shared" si="3"/>
        <v>35.200000000000003</v>
      </c>
    </row>
    <row r="222" spans="1:20" x14ac:dyDescent="0.2">
      <c r="A222">
        <v>224</v>
      </c>
      <c r="B222">
        <v>1</v>
      </c>
      <c r="C222" t="s">
        <v>1038</v>
      </c>
      <c r="D222" t="s">
        <v>1039</v>
      </c>
      <c r="E222" t="s">
        <v>1040</v>
      </c>
      <c r="F222" t="s">
        <v>1041</v>
      </c>
      <c r="G222" t="s">
        <v>1042</v>
      </c>
      <c r="H222" t="s">
        <v>25</v>
      </c>
      <c r="I222" t="s">
        <v>25</v>
      </c>
      <c r="J222" t="s">
        <v>92</v>
      </c>
      <c r="K222" t="s">
        <v>210</v>
      </c>
      <c r="L222" s="2">
        <v>1149852.236069005</v>
      </c>
      <c r="M222" s="3">
        <v>5.0537214408057241E-3</v>
      </c>
      <c r="N222" s="3">
        <v>0</v>
      </c>
      <c r="O222" s="3">
        <v>6.9029387994863883E-2</v>
      </c>
      <c r="P222" s="3">
        <v>7.6069368621694486E-2</v>
      </c>
      <c r="Q222" s="3">
        <v>0.84984752194263591</v>
      </c>
      <c r="R222" s="3">
        <v>0.14509875661655841</v>
      </c>
      <c r="S222" t="s">
        <v>36</v>
      </c>
      <c r="T222" s="4">
        <f t="shared" si="3"/>
        <v>37.130000000000003</v>
      </c>
    </row>
    <row r="223" spans="1:20" x14ac:dyDescent="0.2">
      <c r="A223">
        <v>225</v>
      </c>
      <c r="B223">
        <v>1</v>
      </c>
      <c r="C223" t="s">
        <v>1043</v>
      </c>
      <c r="D223" t="s">
        <v>1044</v>
      </c>
      <c r="E223" t="s">
        <v>22</v>
      </c>
      <c r="F223" t="s">
        <v>1045</v>
      </c>
      <c r="G223" t="s">
        <v>1046</v>
      </c>
      <c r="H223" t="s">
        <v>67</v>
      </c>
      <c r="I223" t="s">
        <v>67</v>
      </c>
      <c r="J223" t="s">
        <v>92</v>
      </c>
      <c r="K223" t="s">
        <v>27</v>
      </c>
      <c r="L223" s="2">
        <v>1149852.236069005</v>
      </c>
      <c r="M223" s="3">
        <v>1.5706526395489029E-2</v>
      </c>
      <c r="N223" s="3">
        <v>0</v>
      </c>
      <c r="O223" s="3">
        <v>0.155832372751978</v>
      </c>
      <c r="P223" s="3">
        <v>5.3330595011742803E-2</v>
      </c>
      <c r="Q223" s="3">
        <v>0.77513050584079013</v>
      </c>
      <c r="R223" s="3">
        <v>0.20916296776372079</v>
      </c>
      <c r="S223" t="s">
        <v>69</v>
      </c>
      <c r="T223" s="4">
        <f t="shared" si="3"/>
        <v>48.74</v>
      </c>
    </row>
    <row r="224" spans="1:20" x14ac:dyDescent="0.2">
      <c r="A224">
        <v>226</v>
      </c>
      <c r="B224">
        <v>3</v>
      </c>
      <c r="C224" t="s">
        <v>1047</v>
      </c>
      <c r="D224" t="s">
        <v>1048</v>
      </c>
      <c r="E224" t="s">
        <v>1049</v>
      </c>
      <c r="F224" t="s">
        <v>1050</v>
      </c>
      <c r="G224" t="s">
        <v>1051</v>
      </c>
      <c r="H224" t="s">
        <v>25</v>
      </c>
      <c r="I224" t="s">
        <v>25</v>
      </c>
      <c r="J224" t="s">
        <v>92</v>
      </c>
      <c r="K224" t="s">
        <v>56</v>
      </c>
      <c r="L224" s="2">
        <v>3449556.7082070149</v>
      </c>
      <c r="M224" s="3">
        <v>0.1100363856943626</v>
      </c>
      <c r="N224" s="3">
        <v>0</v>
      </c>
      <c r="O224" s="3">
        <v>6.4259672952604222E-2</v>
      </c>
      <c r="P224" s="3">
        <v>3.7437984477329211E-3</v>
      </c>
      <c r="Q224" s="3">
        <v>0.82196014290530028</v>
      </c>
      <c r="R224" s="3">
        <v>6.8003471400337148E-2</v>
      </c>
      <c r="S224" t="s">
        <v>28</v>
      </c>
      <c r="T224" s="4">
        <f t="shared" si="3"/>
        <v>24.98</v>
      </c>
    </row>
    <row r="225" spans="1:20" x14ac:dyDescent="0.2">
      <c r="A225">
        <v>227</v>
      </c>
      <c r="B225">
        <v>4</v>
      </c>
      <c r="C225" t="s">
        <v>1052</v>
      </c>
      <c r="D225" t="s">
        <v>1053</v>
      </c>
      <c r="E225" t="s">
        <v>1054</v>
      </c>
      <c r="F225" t="s">
        <v>1055</v>
      </c>
      <c r="G225" t="s">
        <v>1056</v>
      </c>
      <c r="H225" t="s">
        <v>67</v>
      </c>
      <c r="I225" t="s">
        <v>67</v>
      </c>
      <c r="J225" t="s">
        <v>26</v>
      </c>
      <c r="K225" t="s">
        <v>1057</v>
      </c>
      <c r="L225" s="2">
        <v>4599408.9442760199</v>
      </c>
      <c r="M225" s="3">
        <v>0.3866776011850514</v>
      </c>
      <c r="N225" s="3">
        <v>0</v>
      </c>
      <c r="O225" s="3">
        <v>6.4024277137507787E-2</v>
      </c>
      <c r="P225" s="3">
        <v>1.5880394564881301E-2</v>
      </c>
      <c r="Q225" s="3">
        <v>0.53341772711255953</v>
      </c>
      <c r="R225" s="3">
        <v>7.9904671702389088E-2</v>
      </c>
      <c r="S225" t="s">
        <v>28</v>
      </c>
      <c r="T225" s="4">
        <f t="shared" si="3"/>
        <v>56.24</v>
      </c>
    </row>
    <row r="226" spans="1:20" x14ac:dyDescent="0.2">
      <c r="A226">
        <v>228</v>
      </c>
      <c r="B226">
        <v>8</v>
      </c>
      <c r="C226" t="s">
        <v>1058</v>
      </c>
      <c r="D226" t="s">
        <v>1059</v>
      </c>
      <c r="E226" t="s">
        <v>1054</v>
      </c>
      <c r="F226" t="s">
        <v>1060</v>
      </c>
      <c r="G226" t="s">
        <v>1061</v>
      </c>
      <c r="H226" t="s">
        <v>67</v>
      </c>
      <c r="I226" t="s">
        <v>67</v>
      </c>
      <c r="J226" t="s">
        <v>26</v>
      </c>
      <c r="K226" t="s">
        <v>1057</v>
      </c>
      <c r="L226" s="2">
        <v>9198817.8885520399</v>
      </c>
      <c r="M226" s="3">
        <v>0.64802438093770254</v>
      </c>
      <c r="N226" s="3">
        <v>0</v>
      </c>
      <c r="O226" s="3">
        <v>6.018144820666118E-2</v>
      </c>
      <c r="P226" s="3">
        <v>0</v>
      </c>
      <c r="Q226" s="3">
        <v>0.2917941708556363</v>
      </c>
      <c r="R226" s="3">
        <v>6.018144820666118E-2</v>
      </c>
      <c r="S226" t="s">
        <v>28</v>
      </c>
      <c r="T226" s="4">
        <f t="shared" si="3"/>
        <v>76.84</v>
      </c>
    </row>
    <row r="227" spans="1:20" x14ac:dyDescent="0.2">
      <c r="A227">
        <v>229</v>
      </c>
      <c r="B227">
        <v>1</v>
      </c>
      <c r="C227" t="s">
        <v>1062</v>
      </c>
      <c r="D227" t="s">
        <v>1063</v>
      </c>
      <c r="E227" t="s">
        <v>971</v>
      </c>
      <c r="F227" t="s">
        <v>65</v>
      </c>
      <c r="G227" t="s">
        <v>66</v>
      </c>
      <c r="H227" t="s">
        <v>25</v>
      </c>
      <c r="I227" t="s">
        <v>25</v>
      </c>
      <c r="J227" t="s">
        <v>26</v>
      </c>
      <c r="K227" t="s">
        <v>210</v>
      </c>
      <c r="L227" s="2">
        <v>1149852.236069005</v>
      </c>
      <c r="M227" s="3">
        <v>0.63133256491646372</v>
      </c>
      <c r="N227" s="3">
        <v>0</v>
      </c>
      <c r="O227" s="3">
        <v>3.2464889217433908E-2</v>
      </c>
      <c r="P227" s="3">
        <v>0</v>
      </c>
      <c r="Q227" s="3">
        <v>0.33620254586610232</v>
      </c>
      <c r="R227" s="3">
        <v>3.2464889217433908E-2</v>
      </c>
      <c r="S227" t="s">
        <v>28</v>
      </c>
      <c r="T227" s="4">
        <f t="shared" si="3"/>
        <v>69.63</v>
      </c>
    </row>
    <row r="228" spans="1:20" x14ac:dyDescent="0.2">
      <c r="A228">
        <v>230</v>
      </c>
      <c r="B228">
        <v>1</v>
      </c>
      <c r="C228" t="s">
        <v>1064</v>
      </c>
      <c r="D228" t="s">
        <v>1065</v>
      </c>
      <c r="E228" t="s">
        <v>1066</v>
      </c>
      <c r="H228" t="s">
        <v>336</v>
      </c>
      <c r="I228" t="s">
        <v>336</v>
      </c>
      <c r="J228" t="s">
        <v>987</v>
      </c>
      <c r="K228" t="s">
        <v>210</v>
      </c>
      <c r="L228" s="2">
        <v>1149852.236069005</v>
      </c>
      <c r="M228" s="3">
        <v>0.11786150112826931</v>
      </c>
      <c r="N228" s="3">
        <v>0</v>
      </c>
      <c r="O228" s="3">
        <v>0.23291773054568771</v>
      </c>
      <c r="P228" s="3">
        <v>0.6000640190265305</v>
      </c>
      <c r="Q228" s="3">
        <v>4.9156749299512532E-2</v>
      </c>
      <c r="R228" s="3">
        <v>0.83298174957221827</v>
      </c>
      <c r="S228" t="s">
        <v>44</v>
      </c>
      <c r="T228" s="4">
        <f t="shared" si="3"/>
        <v>238.39</v>
      </c>
    </row>
    <row r="229" spans="1:20" x14ac:dyDescent="0.2">
      <c r="A229">
        <v>231</v>
      </c>
      <c r="B229">
        <v>1</v>
      </c>
      <c r="C229" t="s">
        <v>1067</v>
      </c>
      <c r="D229" t="s">
        <v>1068</v>
      </c>
      <c r="E229" t="s">
        <v>1069</v>
      </c>
      <c r="F229" t="s">
        <v>1070</v>
      </c>
      <c r="G229" t="s">
        <v>1071</v>
      </c>
      <c r="H229" t="s">
        <v>25</v>
      </c>
      <c r="I229" t="s">
        <v>25</v>
      </c>
      <c r="J229" t="s">
        <v>92</v>
      </c>
      <c r="K229" t="s">
        <v>210</v>
      </c>
      <c r="L229" s="2">
        <v>1149852.236069005</v>
      </c>
      <c r="M229" s="3">
        <v>0.51734299899183189</v>
      </c>
      <c r="N229" s="3">
        <v>0</v>
      </c>
      <c r="O229" s="3">
        <v>2.6381329497065599E-2</v>
      </c>
      <c r="P229" s="3">
        <v>0</v>
      </c>
      <c r="Q229" s="3">
        <v>0.45627567151110238</v>
      </c>
      <c r="R229" s="3">
        <v>2.6381329497065599E-2</v>
      </c>
      <c r="S229" t="s">
        <v>28</v>
      </c>
      <c r="T229" s="4">
        <f t="shared" si="3"/>
        <v>57.01</v>
      </c>
    </row>
    <row r="230" spans="1:20" x14ac:dyDescent="0.2">
      <c r="A230">
        <v>232</v>
      </c>
      <c r="B230">
        <v>1</v>
      </c>
      <c r="C230" t="s">
        <v>1072</v>
      </c>
      <c r="D230" t="s">
        <v>1073</v>
      </c>
      <c r="E230" t="s">
        <v>1069</v>
      </c>
      <c r="F230" t="s">
        <v>1074</v>
      </c>
      <c r="G230" t="s">
        <v>1075</v>
      </c>
      <c r="H230" t="s">
        <v>67</v>
      </c>
      <c r="I230" t="s">
        <v>67</v>
      </c>
      <c r="J230" t="s">
        <v>26</v>
      </c>
      <c r="K230" t="s">
        <v>904</v>
      </c>
      <c r="L230" s="2">
        <v>1149852.236069005</v>
      </c>
      <c r="M230" s="3">
        <v>0.87705709456788161</v>
      </c>
      <c r="N230" s="3">
        <v>0</v>
      </c>
      <c r="O230" s="3">
        <v>8.0117373394740746E-2</v>
      </c>
      <c r="P230" s="3">
        <v>2.7170848872208391E-4</v>
      </c>
      <c r="Q230" s="3">
        <v>4.2553823548655563E-2</v>
      </c>
      <c r="R230" s="3">
        <v>8.0389081883462832E-2</v>
      </c>
      <c r="S230" t="s">
        <v>28</v>
      </c>
      <c r="T230" s="4">
        <f t="shared" si="3"/>
        <v>103.81</v>
      </c>
    </row>
    <row r="231" spans="1:20" x14ac:dyDescent="0.2">
      <c r="A231">
        <v>233</v>
      </c>
      <c r="B231">
        <v>2</v>
      </c>
      <c r="C231" t="s">
        <v>1076</v>
      </c>
      <c r="D231" t="s">
        <v>1077</v>
      </c>
      <c r="E231" t="s">
        <v>1078</v>
      </c>
      <c r="F231" t="s">
        <v>1079</v>
      </c>
      <c r="G231" t="s">
        <v>1080</v>
      </c>
      <c r="H231" t="s">
        <v>67</v>
      </c>
      <c r="I231" t="s">
        <v>67</v>
      </c>
      <c r="J231" t="s">
        <v>26</v>
      </c>
      <c r="K231" t="s">
        <v>193</v>
      </c>
      <c r="L231" s="2">
        <v>2299704.47213801</v>
      </c>
      <c r="M231" s="3">
        <v>0.91469556916694461</v>
      </c>
      <c r="N231" s="3">
        <v>0</v>
      </c>
      <c r="O231" s="3">
        <v>2.8402151341243478E-2</v>
      </c>
      <c r="P231" s="3">
        <v>3.565590630926322E-3</v>
      </c>
      <c r="Q231" s="3">
        <v>5.3336688860885488E-2</v>
      </c>
      <c r="R231" s="3">
        <v>3.1967741972169797E-2</v>
      </c>
      <c r="S231" t="s">
        <v>28</v>
      </c>
      <c r="T231" s="4">
        <f t="shared" si="3"/>
        <v>98.22</v>
      </c>
    </row>
    <row r="232" spans="1:20" x14ac:dyDescent="0.2">
      <c r="A232">
        <v>234</v>
      </c>
      <c r="B232">
        <v>1</v>
      </c>
      <c r="C232" t="s">
        <v>1081</v>
      </c>
      <c r="D232" t="s">
        <v>1082</v>
      </c>
      <c r="E232" t="s">
        <v>1019</v>
      </c>
      <c r="F232" t="s">
        <v>1083</v>
      </c>
      <c r="G232" t="s">
        <v>1084</v>
      </c>
      <c r="H232" t="s">
        <v>25</v>
      </c>
      <c r="I232" t="s">
        <v>25</v>
      </c>
      <c r="J232" t="s">
        <v>92</v>
      </c>
      <c r="K232" t="s">
        <v>210</v>
      </c>
      <c r="L232" s="2">
        <v>1149852.236069005</v>
      </c>
      <c r="M232" s="3">
        <v>0.9458606807584935</v>
      </c>
      <c r="N232" s="3">
        <v>0</v>
      </c>
      <c r="O232" s="3">
        <v>5.4139319241497168E-2</v>
      </c>
      <c r="P232" s="3">
        <v>0</v>
      </c>
      <c r="Q232" s="3">
        <v>9.3258734068513149E-15</v>
      </c>
      <c r="R232" s="3">
        <v>5.4139319241497168E-2</v>
      </c>
      <c r="S232" t="s">
        <v>28</v>
      </c>
      <c r="T232" s="4">
        <f t="shared" si="3"/>
        <v>105.41</v>
      </c>
    </row>
    <row r="233" spans="1:20" x14ac:dyDescent="0.2">
      <c r="A233">
        <v>235</v>
      </c>
      <c r="B233">
        <v>1</v>
      </c>
      <c r="C233" t="s">
        <v>1085</v>
      </c>
      <c r="D233" t="s">
        <v>1086</v>
      </c>
      <c r="E233" t="s">
        <v>1087</v>
      </c>
      <c r="F233" t="s">
        <v>1088</v>
      </c>
      <c r="G233" t="s">
        <v>1089</v>
      </c>
      <c r="H233" t="s">
        <v>25</v>
      </c>
      <c r="I233" t="s">
        <v>25</v>
      </c>
      <c r="J233" t="s">
        <v>92</v>
      </c>
      <c r="K233" t="s">
        <v>540</v>
      </c>
      <c r="L233" s="2">
        <v>1149852.236069005</v>
      </c>
      <c r="M233" s="3">
        <v>0.16522402557383289</v>
      </c>
      <c r="N233" s="3">
        <v>0</v>
      </c>
      <c r="O233" s="3">
        <v>5.5607730482842357E-2</v>
      </c>
      <c r="P233" s="3">
        <v>0</v>
      </c>
      <c r="Q233" s="3">
        <v>0.77916824394332473</v>
      </c>
      <c r="R233" s="3">
        <v>5.5607730482842357E-2</v>
      </c>
      <c r="S233" t="s">
        <v>28</v>
      </c>
      <c r="T233" s="4">
        <f t="shared" si="3"/>
        <v>27.64</v>
      </c>
    </row>
    <row r="234" spans="1:20" x14ac:dyDescent="0.2">
      <c r="A234">
        <v>236</v>
      </c>
      <c r="B234">
        <v>1</v>
      </c>
      <c r="C234" t="s">
        <v>1090</v>
      </c>
      <c r="D234" t="s">
        <v>1091</v>
      </c>
      <c r="E234" t="s">
        <v>1087</v>
      </c>
      <c r="F234" t="s">
        <v>1092</v>
      </c>
      <c r="G234" t="s">
        <v>1093</v>
      </c>
      <c r="H234" t="s">
        <v>25</v>
      </c>
      <c r="I234" t="s">
        <v>25</v>
      </c>
      <c r="J234" t="s">
        <v>26</v>
      </c>
      <c r="K234" t="s">
        <v>210</v>
      </c>
      <c r="L234" s="2">
        <v>1149852.236069005</v>
      </c>
      <c r="M234" s="3">
        <v>0.7834857628408195</v>
      </c>
      <c r="N234" s="3">
        <v>0</v>
      </c>
      <c r="O234" s="3">
        <v>8.7913647725909885E-2</v>
      </c>
      <c r="P234" s="3">
        <v>7.7236432676134517E-2</v>
      </c>
      <c r="Q234" s="3">
        <v>5.1364156757136008E-2</v>
      </c>
      <c r="R234" s="3">
        <v>0.1651500804020444</v>
      </c>
      <c r="S234" t="s">
        <v>36</v>
      </c>
      <c r="T234" s="4">
        <f t="shared" si="3"/>
        <v>119.1</v>
      </c>
    </row>
    <row r="235" spans="1:20" x14ac:dyDescent="0.2">
      <c r="A235">
        <v>237</v>
      </c>
      <c r="B235">
        <v>1</v>
      </c>
      <c r="C235" t="s">
        <v>1094</v>
      </c>
      <c r="D235" t="s">
        <v>1095</v>
      </c>
      <c r="E235" t="s">
        <v>1087</v>
      </c>
      <c r="F235" t="s">
        <v>1096</v>
      </c>
      <c r="G235" t="s">
        <v>1097</v>
      </c>
      <c r="H235" t="s">
        <v>25</v>
      </c>
      <c r="I235" t="s">
        <v>25</v>
      </c>
      <c r="J235" t="s">
        <v>26</v>
      </c>
      <c r="K235" t="s">
        <v>540</v>
      </c>
      <c r="L235" s="2">
        <v>1149852.236069005</v>
      </c>
      <c r="M235" s="3">
        <v>0.39269036281034742</v>
      </c>
      <c r="N235" s="3">
        <v>0</v>
      </c>
      <c r="O235" s="3">
        <v>4.9816499028111007E-2</v>
      </c>
      <c r="P235" s="3">
        <v>2.0777809093393401E-4</v>
      </c>
      <c r="Q235" s="3">
        <v>0.55728536007060769</v>
      </c>
      <c r="R235" s="3">
        <v>5.002427711904494E-2</v>
      </c>
      <c r="S235" t="s">
        <v>28</v>
      </c>
      <c r="T235" s="4">
        <f t="shared" si="3"/>
        <v>49.29</v>
      </c>
    </row>
    <row r="236" spans="1:20" x14ac:dyDescent="0.2">
      <c r="A236">
        <v>238</v>
      </c>
      <c r="B236">
        <v>1</v>
      </c>
      <c r="C236" t="s">
        <v>1098</v>
      </c>
      <c r="D236" t="s">
        <v>1099</v>
      </c>
      <c r="E236" t="s">
        <v>1100</v>
      </c>
      <c r="F236" t="s">
        <v>1101</v>
      </c>
      <c r="G236" t="s">
        <v>1102</v>
      </c>
      <c r="H236" t="s">
        <v>25</v>
      </c>
      <c r="I236" t="s">
        <v>25</v>
      </c>
      <c r="J236" t="s">
        <v>26</v>
      </c>
      <c r="K236" t="s">
        <v>50</v>
      </c>
      <c r="L236" s="2">
        <v>1149852.236069005</v>
      </c>
      <c r="M236" s="3">
        <v>0.93844282314354688</v>
      </c>
      <c r="N236" s="3">
        <v>0</v>
      </c>
      <c r="O236" s="3">
        <v>4.05461904698389E-2</v>
      </c>
      <c r="P236" s="3">
        <v>0</v>
      </c>
      <c r="Q236" s="3">
        <v>2.101098638661425E-2</v>
      </c>
      <c r="R236" s="3">
        <v>4.05461904698389E-2</v>
      </c>
      <c r="S236" t="s">
        <v>28</v>
      </c>
      <c r="T236" s="4">
        <f t="shared" si="3"/>
        <v>101.95</v>
      </c>
    </row>
    <row r="237" spans="1:20" x14ac:dyDescent="0.2">
      <c r="A237">
        <v>239</v>
      </c>
      <c r="B237">
        <v>1</v>
      </c>
      <c r="C237" t="s">
        <v>1103</v>
      </c>
      <c r="D237" t="s">
        <v>1104</v>
      </c>
      <c r="E237" t="s">
        <v>1105</v>
      </c>
      <c r="F237" t="s">
        <v>1106</v>
      </c>
      <c r="G237" t="s">
        <v>1107</v>
      </c>
      <c r="H237" t="s">
        <v>25</v>
      </c>
      <c r="I237" t="s">
        <v>25</v>
      </c>
      <c r="J237" t="s">
        <v>26</v>
      </c>
      <c r="K237" t="s">
        <v>1108</v>
      </c>
      <c r="L237" s="2">
        <v>1149852.2360690541</v>
      </c>
      <c r="M237" s="3">
        <v>0.71041466927796926</v>
      </c>
      <c r="N237" s="3">
        <v>3.9777462611566804E-3</v>
      </c>
      <c r="O237" s="3">
        <v>7.2563522278340079E-2</v>
      </c>
      <c r="P237" s="3">
        <v>2.8079708100591E-3</v>
      </c>
      <c r="Q237" s="3">
        <v>0.2102360913724749</v>
      </c>
      <c r="R237" s="3">
        <v>7.5371493088399175E-2</v>
      </c>
      <c r="S237" t="s">
        <v>28</v>
      </c>
      <c r="T237" s="4">
        <f t="shared" si="3"/>
        <v>86.4</v>
      </c>
    </row>
    <row r="238" spans="1:20" x14ac:dyDescent="0.2">
      <c r="A238">
        <v>240</v>
      </c>
      <c r="B238">
        <v>1</v>
      </c>
      <c r="C238" t="s">
        <v>1109</v>
      </c>
      <c r="D238" t="s">
        <v>1110</v>
      </c>
      <c r="E238" t="s">
        <v>1105</v>
      </c>
      <c r="F238" t="s">
        <v>1111</v>
      </c>
      <c r="G238" t="s">
        <v>1112</v>
      </c>
      <c r="H238" t="s">
        <v>25</v>
      </c>
      <c r="I238" t="s">
        <v>25</v>
      </c>
      <c r="J238" t="s">
        <v>34</v>
      </c>
      <c r="K238" t="s">
        <v>1108</v>
      </c>
      <c r="L238" s="2">
        <v>1149852.2360690541</v>
      </c>
      <c r="M238" s="3">
        <v>0.84687032413073848</v>
      </c>
      <c r="N238" s="3">
        <v>3.9777462611566804E-3</v>
      </c>
      <c r="O238" s="3">
        <v>0.11435136403614619</v>
      </c>
      <c r="P238" s="3">
        <v>3.074101946920808E-2</v>
      </c>
      <c r="Q238" s="3">
        <v>4.0595461027506108E-3</v>
      </c>
      <c r="R238" s="3">
        <v>0.14509238350535431</v>
      </c>
      <c r="S238" t="s">
        <v>36</v>
      </c>
      <c r="T238" s="4">
        <f t="shared" si="3"/>
        <v>116.78</v>
      </c>
    </row>
    <row r="239" spans="1:20" x14ac:dyDescent="0.2">
      <c r="A239">
        <v>241</v>
      </c>
      <c r="B239">
        <v>2</v>
      </c>
      <c r="C239" t="s">
        <v>1113</v>
      </c>
      <c r="D239" t="s">
        <v>1114</v>
      </c>
      <c r="E239" t="s">
        <v>1105</v>
      </c>
      <c r="F239" t="s">
        <v>1115</v>
      </c>
      <c r="G239" t="s">
        <v>1116</v>
      </c>
      <c r="H239" t="s">
        <v>67</v>
      </c>
      <c r="I239" t="s">
        <v>67</v>
      </c>
      <c r="J239" t="s">
        <v>26</v>
      </c>
      <c r="K239" t="s">
        <v>1108</v>
      </c>
      <c r="L239" s="2">
        <v>2299704.4721381082</v>
      </c>
      <c r="M239" s="3">
        <v>0.78223383233774912</v>
      </c>
      <c r="N239" s="3">
        <v>3.9777462611566804E-3</v>
      </c>
      <c r="O239" s="3">
        <v>8.171261863927759E-2</v>
      </c>
      <c r="P239" s="3">
        <v>7.7736904260358936E-4</v>
      </c>
      <c r="Q239" s="3">
        <v>0.13129843371921299</v>
      </c>
      <c r="R239" s="3">
        <v>8.2489987681881177E-2</v>
      </c>
      <c r="S239" t="s">
        <v>28</v>
      </c>
      <c r="T239" s="4">
        <f t="shared" si="3"/>
        <v>94.8</v>
      </c>
    </row>
    <row r="240" spans="1:20" x14ac:dyDescent="0.2">
      <c r="A240">
        <v>242</v>
      </c>
      <c r="B240">
        <v>1</v>
      </c>
      <c r="C240" t="s">
        <v>1117</v>
      </c>
      <c r="D240" t="s">
        <v>1118</v>
      </c>
      <c r="E240" t="s">
        <v>1105</v>
      </c>
      <c r="F240" t="s">
        <v>1119</v>
      </c>
      <c r="G240" t="s">
        <v>1120</v>
      </c>
      <c r="H240" t="s">
        <v>25</v>
      </c>
      <c r="I240" t="s">
        <v>25</v>
      </c>
      <c r="J240" t="s">
        <v>26</v>
      </c>
      <c r="K240" t="s">
        <v>43</v>
      </c>
      <c r="L240" s="2">
        <v>1149852.2360690541</v>
      </c>
      <c r="M240" s="3">
        <v>0.82151334200073001</v>
      </c>
      <c r="N240" s="3">
        <v>2.4525000885261918E-3</v>
      </c>
      <c r="O240" s="3">
        <v>0.1167231143497862</v>
      </c>
      <c r="P240" s="3">
        <v>5.8688406912873588E-2</v>
      </c>
      <c r="Q240" s="3">
        <v>6.2263664808404062E-4</v>
      </c>
      <c r="R240" s="3">
        <v>0.1754115212626598</v>
      </c>
      <c r="S240" t="s">
        <v>36</v>
      </c>
      <c r="T240" s="4">
        <f t="shared" si="3"/>
        <v>123.1</v>
      </c>
    </row>
    <row r="241" spans="1:20" x14ac:dyDescent="0.2">
      <c r="A241">
        <v>243</v>
      </c>
      <c r="B241">
        <v>1</v>
      </c>
      <c r="C241" t="s">
        <v>1121</v>
      </c>
      <c r="D241" t="s">
        <v>1122</v>
      </c>
      <c r="E241" t="s">
        <v>1105</v>
      </c>
      <c r="F241" t="s">
        <v>1123</v>
      </c>
      <c r="G241" t="s">
        <v>1124</v>
      </c>
      <c r="H241" t="s">
        <v>67</v>
      </c>
      <c r="I241" t="s">
        <v>67</v>
      </c>
      <c r="J241" t="s">
        <v>26</v>
      </c>
      <c r="K241" t="s">
        <v>43</v>
      </c>
      <c r="L241" s="2">
        <v>1149852.2360690541</v>
      </c>
      <c r="M241" s="3">
        <v>0.8261054212592589</v>
      </c>
      <c r="N241" s="3">
        <v>3.9777462611566804E-3</v>
      </c>
      <c r="O241" s="3">
        <v>7.1782440922139618E-2</v>
      </c>
      <c r="P241" s="3">
        <v>5.8960701947450896E-3</v>
      </c>
      <c r="Q241" s="3">
        <v>9.2238321362699716E-2</v>
      </c>
      <c r="R241" s="3">
        <v>7.7678511116884702E-2</v>
      </c>
      <c r="S241" t="s">
        <v>28</v>
      </c>
      <c r="T241" s="4">
        <f t="shared" si="3"/>
        <v>98.74</v>
      </c>
    </row>
    <row r="242" spans="1:20" x14ac:dyDescent="0.2">
      <c r="A242">
        <v>244</v>
      </c>
      <c r="B242">
        <v>1</v>
      </c>
      <c r="C242" t="s">
        <v>1125</v>
      </c>
      <c r="D242" t="s">
        <v>1126</v>
      </c>
      <c r="E242" t="s">
        <v>1105</v>
      </c>
      <c r="F242" t="s">
        <v>1127</v>
      </c>
      <c r="G242" t="s">
        <v>1128</v>
      </c>
      <c r="H242" t="s">
        <v>25</v>
      </c>
      <c r="I242" t="s">
        <v>25</v>
      </c>
      <c r="J242" t="s">
        <v>26</v>
      </c>
      <c r="K242" t="s">
        <v>43</v>
      </c>
      <c r="L242" s="2">
        <v>1149852.2360690541</v>
      </c>
      <c r="M242" s="3">
        <v>0.9002888705114277</v>
      </c>
      <c r="N242" s="3">
        <v>3.7898301348665859E-3</v>
      </c>
      <c r="O242" s="3">
        <v>8.0074400850781866E-2</v>
      </c>
      <c r="P242" s="3">
        <v>2.840555962977527E-3</v>
      </c>
      <c r="Q242" s="3">
        <v>1.3006342539946369E-2</v>
      </c>
      <c r="R242" s="3">
        <v>8.2914956813759391E-2</v>
      </c>
      <c r="S242" t="s">
        <v>28</v>
      </c>
      <c r="T242" s="4">
        <f t="shared" si="3"/>
        <v>106.9</v>
      </c>
    </row>
    <row r="243" spans="1:20" x14ac:dyDescent="0.2">
      <c r="A243">
        <v>245</v>
      </c>
      <c r="B243">
        <v>1</v>
      </c>
      <c r="C243" t="s">
        <v>1129</v>
      </c>
      <c r="D243" t="s">
        <v>1130</v>
      </c>
      <c r="E243" t="s">
        <v>1131</v>
      </c>
      <c r="F243" t="s">
        <v>1132</v>
      </c>
      <c r="G243" t="s">
        <v>1132</v>
      </c>
      <c r="H243" t="s">
        <v>25</v>
      </c>
      <c r="I243" t="s">
        <v>25</v>
      </c>
      <c r="J243" t="s">
        <v>26</v>
      </c>
      <c r="K243" t="s">
        <v>43</v>
      </c>
      <c r="L243" s="2">
        <v>1149852.236069099</v>
      </c>
      <c r="M243" s="3">
        <v>0.6854080575685193</v>
      </c>
      <c r="N243" s="3">
        <v>0</v>
      </c>
      <c r="O243" s="3">
        <v>9.8808676432304982E-2</v>
      </c>
      <c r="P243" s="3">
        <v>8.5107569167433519E-2</v>
      </c>
      <c r="Q243" s="3">
        <v>0.13067569683174221</v>
      </c>
      <c r="R243" s="3">
        <v>0.18391624559973849</v>
      </c>
      <c r="S243" t="s">
        <v>36</v>
      </c>
      <c r="T243" s="4">
        <f t="shared" si="3"/>
        <v>113.83</v>
      </c>
    </row>
    <row r="244" spans="1:20" x14ac:dyDescent="0.2">
      <c r="A244">
        <v>246</v>
      </c>
      <c r="B244">
        <v>1</v>
      </c>
      <c r="C244" t="s">
        <v>1133</v>
      </c>
      <c r="D244" t="s">
        <v>1134</v>
      </c>
      <c r="E244" t="s">
        <v>1131</v>
      </c>
      <c r="F244" t="s">
        <v>1135</v>
      </c>
      <c r="G244" t="s">
        <v>1135</v>
      </c>
      <c r="H244" t="s">
        <v>25</v>
      </c>
      <c r="I244" t="s">
        <v>25</v>
      </c>
      <c r="J244" t="s">
        <v>92</v>
      </c>
      <c r="K244" t="s">
        <v>43</v>
      </c>
      <c r="L244" s="2">
        <v>1149852.236069005</v>
      </c>
      <c r="M244" s="3">
        <v>0.2264655732902737</v>
      </c>
      <c r="N244" s="3">
        <v>0</v>
      </c>
      <c r="O244" s="3">
        <v>0.15311714105201141</v>
      </c>
      <c r="P244" s="3">
        <v>0.16856639097753709</v>
      </c>
      <c r="Q244" s="3">
        <v>0.45185089468017781</v>
      </c>
      <c r="R244" s="3">
        <v>0.32168353202954852</v>
      </c>
      <c r="S244" t="s">
        <v>69</v>
      </c>
      <c r="T244" s="4">
        <f t="shared" si="3"/>
        <v>103.84</v>
      </c>
    </row>
    <row r="245" spans="1:20" x14ac:dyDescent="0.2">
      <c r="A245">
        <v>247</v>
      </c>
      <c r="B245">
        <v>1</v>
      </c>
      <c r="C245" t="s">
        <v>1136</v>
      </c>
      <c r="D245" t="s">
        <v>1137</v>
      </c>
      <c r="E245" t="s">
        <v>1131</v>
      </c>
      <c r="F245" t="s">
        <v>1138</v>
      </c>
      <c r="G245" t="s">
        <v>1138</v>
      </c>
      <c r="H245" t="s">
        <v>25</v>
      </c>
      <c r="I245" t="s">
        <v>25</v>
      </c>
      <c r="J245" t="s">
        <v>26</v>
      </c>
      <c r="K245" t="s">
        <v>43</v>
      </c>
      <c r="L245" s="2">
        <v>1149852.2360690229</v>
      </c>
      <c r="M245" s="3">
        <v>0.44191072870191972</v>
      </c>
      <c r="N245" s="3">
        <v>0</v>
      </c>
      <c r="O245" s="3">
        <v>0.14930695108394421</v>
      </c>
      <c r="P245" s="3">
        <v>0.33266767603935471</v>
      </c>
      <c r="Q245" s="3">
        <v>7.6114644174781532E-2</v>
      </c>
      <c r="R245" s="3">
        <v>0.48197462712329892</v>
      </c>
      <c r="S245" t="s">
        <v>125</v>
      </c>
      <c r="T245" s="4">
        <f t="shared" si="3"/>
        <v>173.85</v>
      </c>
    </row>
    <row r="246" spans="1:20" x14ac:dyDescent="0.2">
      <c r="A246">
        <v>248</v>
      </c>
      <c r="B246">
        <v>1</v>
      </c>
      <c r="C246" t="s">
        <v>1139</v>
      </c>
      <c r="D246" t="s">
        <v>1140</v>
      </c>
      <c r="E246" t="s">
        <v>1141</v>
      </c>
      <c r="F246" t="s">
        <v>1142</v>
      </c>
      <c r="G246" t="s">
        <v>1143</v>
      </c>
      <c r="H246" t="s">
        <v>25</v>
      </c>
      <c r="I246" t="s">
        <v>25</v>
      </c>
      <c r="J246" t="s">
        <v>26</v>
      </c>
      <c r="K246" t="s">
        <v>1108</v>
      </c>
      <c r="L246" s="2">
        <v>1149852.2360690541</v>
      </c>
      <c r="M246" s="3">
        <v>0.94002388589633179</v>
      </c>
      <c r="N246" s="3">
        <v>0</v>
      </c>
      <c r="O246" s="3">
        <v>5.9976114103691032E-2</v>
      </c>
      <c r="P246" s="3">
        <v>0</v>
      </c>
      <c r="Q246" s="3">
        <v>0</v>
      </c>
      <c r="R246" s="3">
        <v>5.9976114103691032E-2</v>
      </c>
      <c r="S246" t="s">
        <v>28</v>
      </c>
      <c r="T246" s="4">
        <f t="shared" si="3"/>
        <v>106</v>
      </c>
    </row>
    <row r="247" spans="1:20" x14ac:dyDescent="0.2">
      <c r="A247">
        <v>249</v>
      </c>
      <c r="B247">
        <v>1</v>
      </c>
      <c r="C247" t="s">
        <v>1144</v>
      </c>
      <c r="D247" t="s">
        <v>1145</v>
      </c>
      <c r="E247" t="s">
        <v>1141</v>
      </c>
      <c r="F247" t="s">
        <v>1146</v>
      </c>
      <c r="G247" t="s">
        <v>1147</v>
      </c>
      <c r="H247" t="s">
        <v>25</v>
      </c>
      <c r="I247" t="s">
        <v>25</v>
      </c>
      <c r="J247" t="s">
        <v>34</v>
      </c>
      <c r="K247" t="s">
        <v>1108</v>
      </c>
      <c r="L247" s="2">
        <v>1149852.2360690541</v>
      </c>
      <c r="M247" s="3">
        <v>0.7368326599230991</v>
      </c>
      <c r="N247" s="3">
        <v>0</v>
      </c>
      <c r="O247" s="3">
        <v>4.2653609344160709E-2</v>
      </c>
      <c r="P247" s="3">
        <v>0</v>
      </c>
      <c r="Q247" s="3">
        <v>0.22051373073274019</v>
      </c>
      <c r="R247" s="3">
        <v>4.2653609344160709E-2</v>
      </c>
      <c r="S247" t="s">
        <v>28</v>
      </c>
      <c r="T247" s="4">
        <f t="shared" si="3"/>
        <v>82.21</v>
      </c>
    </row>
    <row r="248" spans="1:20" x14ac:dyDescent="0.2">
      <c r="A248">
        <v>250</v>
      </c>
      <c r="B248">
        <v>1</v>
      </c>
      <c r="C248" t="s">
        <v>1148</v>
      </c>
      <c r="D248" t="s">
        <v>1149</v>
      </c>
      <c r="E248" t="s">
        <v>1141</v>
      </c>
      <c r="F248" t="s">
        <v>1150</v>
      </c>
      <c r="G248" t="s">
        <v>1151</v>
      </c>
      <c r="H248" t="s">
        <v>25</v>
      </c>
      <c r="I248" t="s">
        <v>25</v>
      </c>
      <c r="J248" t="s">
        <v>34</v>
      </c>
      <c r="K248" t="s">
        <v>1108</v>
      </c>
      <c r="L248" s="2">
        <v>1149852.2360690541</v>
      </c>
      <c r="M248" s="3">
        <v>0.96299643360760112</v>
      </c>
      <c r="N248" s="3">
        <v>0</v>
      </c>
      <c r="O248" s="3">
        <v>3.7003566392386528E-2</v>
      </c>
      <c r="P248" s="3">
        <v>0</v>
      </c>
      <c r="Q248" s="3">
        <v>1.2323475573339241E-14</v>
      </c>
      <c r="R248" s="3">
        <v>3.7003566392386528E-2</v>
      </c>
      <c r="S248" t="s">
        <v>28</v>
      </c>
      <c r="T248" s="4">
        <f t="shared" si="3"/>
        <v>103.7</v>
      </c>
    </row>
    <row r="249" spans="1:20" x14ac:dyDescent="0.2">
      <c r="A249">
        <v>251</v>
      </c>
      <c r="B249">
        <v>1</v>
      </c>
      <c r="C249" t="s">
        <v>1152</v>
      </c>
      <c r="D249" t="s">
        <v>1153</v>
      </c>
      <c r="E249" t="s">
        <v>1141</v>
      </c>
      <c r="F249" t="s">
        <v>1154</v>
      </c>
      <c r="G249" t="s">
        <v>1155</v>
      </c>
      <c r="H249" t="s">
        <v>25</v>
      </c>
      <c r="I249" t="s">
        <v>25</v>
      </c>
      <c r="J249" t="s">
        <v>26</v>
      </c>
      <c r="K249" t="s">
        <v>43</v>
      </c>
      <c r="L249" s="2">
        <v>1149852.2360690541</v>
      </c>
      <c r="M249" s="3">
        <v>0.96047117294578932</v>
      </c>
      <c r="N249" s="3">
        <v>0</v>
      </c>
      <c r="O249" s="3">
        <v>3.9528827054213587E-2</v>
      </c>
      <c r="P249" s="3">
        <v>0</v>
      </c>
      <c r="Q249" s="3">
        <v>0</v>
      </c>
      <c r="R249" s="3">
        <v>3.9528827054213587E-2</v>
      </c>
      <c r="S249" t="s">
        <v>28</v>
      </c>
      <c r="T249" s="4">
        <f t="shared" si="3"/>
        <v>103.95</v>
      </c>
    </row>
    <row r="250" spans="1:20" x14ac:dyDescent="0.2">
      <c r="A250">
        <v>252</v>
      </c>
      <c r="B250">
        <v>1</v>
      </c>
      <c r="C250" t="s">
        <v>1156</v>
      </c>
      <c r="D250" t="s">
        <v>1157</v>
      </c>
      <c r="E250" t="s">
        <v>1141</v>
      </c>
      <c r="F250" t="s">
        <v>1158</v>
      </c>
      <c r="G250" t="s">
        <v>1159</v>
      </c>
      <c r="H250" t="s">
        <v>25</v>
      </c>
      <c r="I250" t="s">
        <v>25</v>
      </c>
      <c r="J250" t="s">
        <v>26</v>
      </c>
      <c r="K250" t="s">
        <v>1108</v>
      </c>
      <c r="L250" s="2">
        <v>1149852.2360690541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t="s">
        <v>28</v>
      </c>
      <c r="T250" s="4">
        <f t="shared" si="3"/>
        <v>100</v>
      </c>
    </row>
    <row r="251" spans="1:20" x14ac:dyDescent="0.2">
      <c r="A251">
        <v>253</v>
      </c>
      <c r="B251">
        <v>1</v>
      </c>
      <c r="C251" t="s">
        <v>1160</v>
      </c>
      <c r="D251" t="s">
        <v>1161</v>
      </c>
      <c r="E251" t="s">
        <v>1162</v>
      </c>
      <c r="F251" t="s">
        <v>1163</v>
      </c>
      <c r="G251" t="s">
        <v>1164</v>
      </c>
      <c r="H251" t="s">
        <v>25</v>
      </c>
      <c r="I251" t="s">
        <v>25</v>
      </c>
      <c r="J251" t="s">
        <v>34</v>
      </c>
      <c r="K251" t="s">
        <v>35</v>
      </c>
      <c r="L251" s="2">
        <v>1149852.2360690541</v>
      </c>
      <c r="M251" s="3">
        <v>0.93324729262366524</v>
      </c>
      <c r="N251" s="3">
        <v>0</v>
      </c>
      <c r="O251" s="3">
        <v>6.6612446983734863E-2</v>
      </c>
      <c r="P251" s="3">
        <v>1.4026039257244229E-4</v>
      </c>
      <c r="Q251" s="3">
        <v>2.7533531010703879E-14</v>
      </c>
      <c r="R251" s="3">
        <v>6.6752707376307299E-2</v>
      </c>
      <c r="S251" t="s">
        <v>28</v>
      </c>
      <c r="T251" s="4">
        <f t="shared" si="3"/>
        <v>106.69</v>
      </c>
    </row>
    <row r="252" spans="1:20" x14ac:dyDescent="0.2">
      <c r="A252">
        <v>254</v>
      </c>
      <c r="B252">
        <v>1</v>
      </c>
      <c r="C252" t="s">
        <v>1165</v>
      </c>
      <c r="D252" t="s">
        <v>1166</v>
      </c>
      <c r="E252" t="s">
        <v>1162</v>
      </c>
      <c r="F252" t="s">
        <v>1167</v>
      </c>
      <c r="G252" t="s">
        <v>1168</v>
      </c>
      <c r="H252" t="s">
        <v>25</v>
      </c>
      <c r="I252" t="s">
        <v>25</v>
      </c>
      <c r="J252" t="s">
        <v>26</v>
      </c>
      <c r="K252" t="s">
        <v>35</v>
      </c>
      <c r="L252" s="2">
        <v>1149852.2360690541</v>
      </c>
      <c r="M252" s="3">
        <v>0.9448745243048654</v>
      </c>
      <c r="N252" s="3">
        <v>0</v>
      </c>
      <c r="O252" s="3">
        <v>5.512547569513377E-2</v>
      </c>
      <c r="P252" s="3">
        <v>0</v>
      </c>
      <c r="Q252" s="3">
        <v>7.7715611723760958E-16</v>
      </c>
      <c r="R252" s="3">
        <v>5.512547569513377E-2</v>
      </c>
      <c r="S252" t="s">
        <v>28</v>
      </c>
      <c r="T252" s="4">
        <f t="shared" si="3"/>
        <v>105.51</v>
      </c>
    </row>
    <row r="253" spans="1:20" x14ac:dyDescent="0.2">
      <c r="A253">
        <v>255</v>
      </c>
      <c r="B253">
        <v>1</v>
      </c>
      <c r="C253" t="s">
        <v>1169</v>
      </c>
      <c r="D253" t="s">
        <v>1170</v>
      </c>
      <c r="E253" t="s">
        <v>1162</v>
      </c>
      <c r="F253" t="s">
        <v>1171</v>
      </c>
      <c r="G253" t="s">
        <v>1172</v>
      </c>
      <c r="H253" t="s">
        <v>25</v>
      </c>
      <c r="I253" t="s">
        <v>25</v>
      </c>
      <c r="J253" t="s">
        <v>34</v>
      </c>
      <c r="K253" t="s">
        <v>35</v>
      </c>
      <c r="L253" s="2">
        <v>1149852.2360690541</v>
      </c>
      <c r="M253" s="3">
        <v>0.93326520277590441</v>
      </c>
      <c r="N253" s="3">
        <v>0</v>
      </c>
      <c r="O253" s="3">
        <v>6.6734797224112255E-2</v>
      </c>
      <c r="P253" s="3">
        <v>0</v>
      </c>
      <c r="Q253" s="3">
        <v>0</v>
      </c>
      <c r="R253" s="3">
        <v>6.6734797224112255E-2</v>
      </c>
      <c r="S253" t="s">
        <v>28</v>
      </c>
      <c r="T253" s="4">
        <f t="shared" si="3"/>
        <v>106.67</v>
      </c>
    </row>
    <row r="254" spans="1:20" x14ac:dyDescent="0.2">
      <c r="A254">
        <v>256</v>
      </c>
      <c r="B254">
        <v>1</v>
      </c>
      <c r="C254" t="s">
        <v>1173</v>
      </c>
      <c r="D254" t="s">
        <v>1174</v>
      </c>
      <c r="E254" t="s">
        <v>1162</v>
      </c>
      <c r="F254" t="s">
        <v>1175</v>
      </c>
      <c r="G254" t="s">
        <v>1176</v>
      </c>
      <c r="H254" t="s">
        <v>25</v>
      </c>
      <c r="I254" t="s">
        <v>25</v>
      </c>
      <c r="J254" t="s">
        <v>26</v>
      </c>
      <c r="K254" t="s">
        <v>35</v>
      </c>
      <c r="L254" s="2">
        <v>1149852.2360690541</v>
      </c>
      <c r="M254" s="3">
        <v>0.10817847592124701</v>
      </c>
      <c r="N254" s="3">
        <v>0</v>
      </c>
      <c r="O254" s="3">
        <v>0.1752203270948206</v>
      </c>
      <c r="P254" s="3">
        <v>0.68341997396011722</v>
      </c>
      <c r="Q254" s="3">
        <v>3.3181223023815098E-2</v>
      </c>
      <c r="R254" s="3">
        <v>0.85864030105493783</v>
      </c>
      <c r="S254" t="s">
        <v>44</v>
      </c>
      <c r="T254" s="4">
        <f t="shared" si="3"/>
        <v>250.89</v>
      </c>
    </row>
    <row r="255" spans="1:20" x14ac:dyDescent="0.2">
      <c r="A255">
        <v>257</v>
      </c>
      <c r="B255">
        <v>1</v>
      </c>
      <c r="C255" t="s">
        <v>1177</v>
      </c>
      <c r="D255" t="s">
        <v>1178</v>
      </c>
      <c r="E255" t="s">
        <v>1179</v>
      </c>
      <c r="F255" t="s">
        <v>1180</v>
      </c>
      <c r="G255" t="s">
        <v>1180</v>
      </c>
      <c r="H255" t="s">
        <v>25</v>
      </c>
      <c r="I255" t="s">
        <v>25</v>
      </c>
      <c r="J255" t="s">
        <v>26</v>
      </c>
      <c r="K255" t="s">
        <v>43</v>
      </c>
      <c r="L255" s="2">
        <v>1149852.236069005</v>
      </c>
      <c r="M255" s="3">
        <v>0.30044967224489572</v>
      </c>
      <c r="N255" s="3">
        <v>0</v>
      </c>
      <c r="O255" s="3">
        <v>9.3728500410026394E-2</v>
      </c>
      <c r="P255" s="3">
        <v>6.5702906489851012E-2</v>
      </c>
      <c r="Q255" s="3">
        <v>0.54011892085522695</v>
      </c>
      <c r="R255" s="3">
        <v>0.15943140689987739</v>
      </c>
      <c r="S255" t="s">
        <v>36</v>
      </c>
      <c r="T255" s="4">
        <f t="shared" si="3"/>
        <v>68.5</v>
      </c>
    </row>
    <row r="256" spans="1:20" x14ac:dyDescent="0.2">
      <c r="A256">
        <v>258</v>
      </c>
      <c r="B256">
        <v>2</v>
      </c>
      <c r="C256" t="s">
        <v>1181</v>
      </c>
      <c r="D256" t="s">
        <v>1182</v>
      </c>
      <c r="E256" t="s">
        <v>1183</v>
      </c>
      <c r="F256" t="s">
        <v>1184</v>
      </c>
      <c r="G256" t="s">
        <v>1185</v>
      </c>
      <c r="H256" t="s">
        <v>67</v>
      </c>
      <c r="I256" t="s">
        <v>67</v>
      </c>
      <c r="J256" t="s">
        <v>92</v>
      </c>
      <c r="K256" t="s">
        <v>35</v>
      </c>
      <c r="L256" s="2">
        <v>2299704.47213801</v>
      </c>
      <c r="M256" s="3">
        <v>0.3023653957415251</v>
      </c>
      <c r="N256" s="3">
        <v>0</v>
      </c>
      <c r="O256" s="3">
        <v>0.14390192509549299</v>
      </c>
      <c r="P256" s="3">
        <v>8.9409426551951221E-2</v>
      </c>
      <c r="Q256" s="3">
        <v>0.4643232526110308</v>
      </c>
      <c r="R256" s="3">
        <v>0.23331135164744421</v>
      </c>
      <c r="S256" t="s">
        <v>69</v>
      </c>
      <c r="T256" s="4">
        <f t="shared" si="3"/>
        <v>85.84</v>
      </c>
    </row>
    <row r="257" spans="1:20" x14ac:dyDescent="0.2">
      <c r="A257">
        <v>259</v>
      </c>
      <c r="B257">
        <v>1</v>
      </c>
      <c r="C257" t="s">
        <v>1186</v>
      </c>
      <c r="D257" t="s">
        <v>1187</v>
      </c>
      <c r="E257" t="s">
        <v>1179</v>
      </c>
      <c r="F257" t="s">
        <v>1188</v>
      </c>
      <c r="G257" t="s">
        <v>1189</v>
      </c>
      <c r="H257" t="s">
        <v>25</v>
      </c>
      <c r="I257" t="s">
        <v>25</v>
      </c>
      <c r="J257" t="s">
        <v>26</v>
      </c>
      <c r="K257" t="s">
        <v>43</v>
      </c>
      <c r="L257" s="2">
        <v>1149852.236069005</v>
      </c>
      <c r="M257" s="3">
        <v>0.75281692434810732</v>
      </c>
      <c r="N257" s="3">
        <v>0</v>
      </c>
      <c r="O257" s="3">
        <v>3.2997346807142038E-2</v>
      </c>
      <c r="P257" s="3">
        <v>0</v>
      </c>
      <c r="Q257" s="3">
        <v>0.21418572884475059</v>
      </c>
      <c r="R257" s="3">
        <v>3.2997346807142038E-2</v>
      </c>
      <c r="S257" t="s">
        <v>28</v>
      </c>
      <c r="T257" s="4">
        <f t="shared" si="3"/>
        <v>81.88</v>
      </c>
    </row>
    <row r="258" spans="1:20" x14ac:dyDescent="0.2">
      <c r="A258">
        <v>260</v>
      </c>
      <c r="B258">
        <v>1</v>
      </c>
      <c r="C258" t="s">
        <v>1190</v>
      </c>
      <c r="D258" t="s">
        <v>1191</v>
      </c>
      <c r="E258" t="s">
        <v>1179</v>
      </c>
      <c r="F258" t="s">
        <v>1192</v>
      </c>
      <c r="G258" t="s">
        <v>1193</v>
      </c>
      <c r="H258" t="s">
        <v>25</v>
      </c>
      <c r="I258" t="s">
        <v>25</v>
      </c>
      <c r="J258" t="s">
        <v>26</v>
      </c>
      <c r="K258" t="s">
        <v>43</v>
      </c>
      <c r="L258" s="2">
        <v>1149852.236069005</v>
      </c>
      <c r="M258" s="3">
        <v>0.4717484381567506</v>
      </c>
      <c r="N258" s="3">
        <v>0</v>
      </c>
      <c r="O258" s="3">
        <v>2.0394088228302801E-2</v>
      </c>
      <c r="P258" s="3">
        <v>0</v>
      </c>
      <c r="Q258" s="3">
        <v>0.5078574736149466</v>
      </c>
      <c r="R258" s="3">
        <v>2.0394088228302801E-2</v>
      </c>
      <c r="S258" t="s">
        <v>28</v>
      </c>
      <c r="T258" s="4">
        <f t="shared" ref="T258:T321" si="4">ROUND((M258*100*1)+(O258*100*2)+(P258*100*3),2)</f>
        <v>51.25</v>
      </c>
    </row>
    <row r="259" spans="1:20" x14ac:dyDescent="0.2">
      <c r="A259">
        <v>261</v>
      </c>
      <c r="B259">
        <v>1</v>
      </c>
      <c r="C259" t="s">
        <v>1194</v>
      </c>
      <c r="D259" t="s">
        <v>1195</v>
      </c>
      <c r="E259" t="s">
        <v>1196</v>
      </c>
      <c r="F259" t="s">
        <v>1197</v>
      </c>
      <c r="G259" t="s">
        <v>1198</v>
      </c>
      <c r="H259" t="s">
        <v>25</v>
      </c>
      <c r="I259" t="s">
        <v>25</v>
      </c>
      <c r="J259" t="s">
        <v>34</v>
      </c>
      <c r="K259" t="s">
        <v>1108</v>
      </c>
      <c r="L259" s="2">
        <v>1149852.2360690541</v>
      </c>
      <c r="M259" s="3">
        <v>0.80470537672727127</v>
      </c>
      <c r="N259" s="3">
        <v>0</v>
      </c>
      <c r="O259" s="3">
        <v>0.1044156304923519</v>
      </c>
      <c r="P259" s="3">
        <v>1.5156556005640641E-2</v>
      </c>
      <c r="Q259" s="3">
        <v>7.5722436774736224E-2</v>
      </c>
      <c r="R259" s="3">
        <v>0.11957218649799251</v>
      </c>
      <c r="S259" t="s">
        <v>36</v>
      </c>
      <c r="T259" s="4">
        <f t="shared" si="4"/>
        <v>105.9</v>
      </c>
    </row>
    <row r="260" spans="1:20" x14ac:dyDescent="0.2">
      <c r="A260">
        <v>262</v>
      </c>
      <c r="B260">
        <v>1</v>
      </c>
      <c r="C260" t="s">
        <v>1199</v>
      </c>
      <c r="D260" t="s">
        <v>1200</v>
      </c>
      <c r="E260" t="s">
        <v>1196</v>
      </c>
      <c r="F260" t="s">
        <v>1201</v>
      </c>
      <c r="G260" t="s">
        <v>1202</v>
      </c>
      <c r="H260" t="s">
        <v>25</v>
      </c>
      <c r="I260" t="s">
        <v>25</v>
      </c>
      <c r="J260" t="s">
        <v>92</v>
      </c>
      <c r="K260" t="s">
        <v>1108</v>
      </c>
      <c r="L260" s="2">
        <v>1149852.2360690541</v>
      </c>
      <c r="M260" s="3">
        <v>0.8448935538939597</v>
      </c>
      <c r="N260" s="3">
        <v>0</v>
      </c>
      <c r="O260" s="3">
        <v>8.3848329945770086E-2</v>
      </c>
      <c r="P260" s="3">
        <v>4.6644862323009628E-2</v>
      </c>
      <c r="Q260" s="3">
        <v>2.461325383726054E-2</v>
      </c>
      <c r="R260" s="3">
        <v>0.1304931922687797</v>
      </c>
      <c r="S260" t="s">
        <v>36</v>
      </c>
      <c r="T260" s="4">
        <f t="shared" si="4"/>
        <v>115.25</v>
      </c>
    </row>
    <row r="261" spans="1:20" x14ac:dyDescent="0.2">
      <c r="A261">
        <v>263</v>
      </c>
      <c r="B261">
        <v>1</v>
      </c>
      <c r="C261" t="s">
        <v>1203</v>
      </c>
      <c r="D261" t="s">
        <v>1204</v>
      </c>
      <c r="E261" t="s">
        <v>1196</v>
      </c>
      <c r="F261" t="s">
        <v>1205</v>
      </c>
      <c r="G261" t="s">
        <v>1206</v>
      </c>
      <c r="H261" t="s">
        <v>25</v>
      </c>
      <c r="I261" t="s">
        <v>25</v>
      </c>
      <c r="J261" t="s">
        <v>26</v>
      </c>
      <c r="K261" t="s">
        <v>1108</v>
      </c>
      <c r="L261" s="2">
        <v>1149852.2360690541</v>
      </c>
      <c r="M261" s="3">
        <v>0.76161328735950562</v>
      </c>
      <c r="N261" s="3">
        <v>0</v>
      </c>
      <c r="O261" s="3">
        <v>0.1388539719989407</v>
      </c>
      <c r="P261" s="3">
        <v>5.4363102640517913E-2</v>
      </c>
      <c r="Q261" s="3">
        <v>4.5169638001035788E-2</v>
      </c>
      <c r="R261" s="3">
        <v>0.19321707463945861</v>
      </c>
      <c r="S261" t="s">
        <v>36</v>
      </c>
      <c r="T261" s="4">
        <f t="shared" si="4"/>
        <v>120.24</v>
      </c>
    </row>
    <row r="262" spans="1:20" x14ac:dyDescent="0.2">
      <c r="A262">
        <v>264</v>
      </c>
      <c r="B262">
        <v>1</v>
      </c>
      <c r="C262" t="s">
        <v>1207</v>
      </c>
      <c r="D262" t="s">
        <v>1208</v>
      </c>
      <c r="E262" t="s">
        <v>1196</v>
      </c>
      <c r="F262" t="s">
        <v>1209</v>
      </c>
      <c r="G262" t="s">
        <v>1210</v>
      </c>
      <c r="H262" t="s">
        <v>25</v>
      </c>
      <c r="I262" t="s">
        <v>25</v>
      </c>
      <c r="J262" t="s">
        <v>26</v>
      </c>
      <c r="K262" t="s">
        <v>1108</v>
      </c>
      <c r="L262" s="2">
        <v>1149852.2360690541</v>
      </c>
      <c r="M262" s="3">
        <v>0.91914110479816358</v>
      </c>
      <c r="N262" s="3">
        <v>0</v>
      </c>
      <c r="O262" s="3">
        <v>8.0858895201865358E-2</v>
      </c>
      <c r="P262" s="3">
        <v>0</v>
      </c>
      <c r="Q262" s="3">
        <v>0</v>
      </c>
      <c r="R262" s="3">
        <v>8.0858895201865358E-2</v>
      </c>
      <c r="S262" t="s">
        <v>28</v>
      </c>
      <c r="T262" s="4">
        <f t="shared" si="4"/>
        <v>108.09</v>
      </c>
    </row>
    <row r="263" spans="1:20" x14ac:dyDescent="0.2">
      <c r="A263">
        <v>265</v>
      </c>
      <c r="B263">
        <v>1</v>
      </c>
      <c r="C263" t="s">
        <v>1211</v>
      </c>
      <c r="D263" t="s">
        <v>1212</v>
      </c>
      <c r="E263" t="s">
        <v>1196</v>
      </c>
      <c r="F263" t="s">
        <v>1213</v>
      </c>
      <c r="G263" t="s">
        <v>1213</v>
      </c>
      <c r="H263" t="s">
        <v>25</v>
      </c>
      <c r="I263" t="s">
        <v>25</v>
      </c>
      <c r="J263" t="s">
        <v>92</v>
      </c>
      <c r="K263" t="s">
        <v>1108</v>
      </c>
      <c r="L263" s="2">
        <v>1149852.2360690541</v>
      </c>
      <c r="M263" s="3">
        <v>0.94608598674097766</v>
      </c>
      <c r="N263" s="3">
        <v>0</v>
      </c>
      <c r="O263" s="3">
        <v>5.3679583366849977E-2</v>
      </c>
      <c r="P263" s="3">
        <v>2.3442989218744759E-4</v>
      </c>
      <c r="Q263" s="3">
        <v>0</v>
      </c>
      <c r="R263" s="3">
        <v>5.3914013259037427E-2</v>
      </c>
      <c r="S263" t="s">
        <v>28</v>
      </c>
      <c r="T263" s="4">
        <f t="shared" si="4"/>
        <v>105.41</v>
      </c>
    </row>
    <row r="264" spans="1:20" x14ac:dyDescent="0.2">
      <c r="A264">
        <v>266</v>
      </c>
      <c r="B264">
        <v>1</v>
      </c>
      <c r="C264" t="s">
        <v>1214</v>
      </c>
      <c r="D264" t="s">
        <v>1215</v>
      </c>
      <c r="E264" t="s">
        <v>1216</v>
      </c>
      <c r="F264" t="s">
        <v>1055</v>
      </c>
      <c r="G264" t="s">
        <v>1217</v>
      </c>
      <c r="H264" t="s">
        <v>25</v>
      </c>
      <c r="I264" t="s">
        <v>25</v>
      </c>
      <c r="J264" t="s">
        <v>26</v>
      </c>
      <c r="K264" t="s">
        <v>650</v>
      </c>
      <c r="L264" s="2">
        <v>1149852.2360690541</v>
      </c>
      <c r="M264" s="3">
        <v>0.56958829566106917</v>
      </c>
      <c r="N264" s="3">
        <v>0</v>
      </c>
      <c r="O264" s="3">
        <v>0.1543419802703235</v>
      </c>
      <c r="P264" s="3">
        <v>0.27606972406863961</v>
      </c>
      <c r="Q264" s="3">
        <v>0</v>
      </c>
      <c r="R264" s="3">
        <v>0.43041170433896309</v>
      </c>
      <c r="S264" t="s">
        <v>125</v>
      </c>
      <c r="T264" s="4">
        <f t="shared" si="4"/>
        <v>170.65</v>
      </c>
    </row>
    <row r="265" spans="1:20" x14ac:dyDescent="0.2">
      <c r="A265">
        <v>267</v>
      </c>
      <c r="B265">
        <v>1</v>
      </c>
      <c r="C265" t="s">
        <v>1218</v>
      </c>
      <c r="D265" t="s">
        <v>1219</v>
      </c>
      <c r="E265" t="s">
        <v>1220</v>
      </c>
      <c r="F265" t="s">
        <v>1221</v>
      </c>
      <c r="G265" t="s">
        <v>1222</v>
      </c>
      <c r="H265" t="s">
        <v>25</v>
      </c>
      <c r="I265" t="s">
        <v>25</v>
      </c>
      <c r="J265" t="s">
        <v>34</v>
      </c>
      <c r="K265" t="s">
        <v>1108</v>
      </c>
      <c r="L265" s="2">
        <v>1149852.2360690541</v>
      </c>
      <c r="M265" s="3">
        <v>0.33945186842864072</v>
      </c>
      <c r="N265" s="3">
        <v>0</v>
      </c>
      <c r="O265" s="3">
        <v>0.13423945292867151</v>
      </c>
      <c r="P265" s="3">
        <v>1.2666576371426869E-3</v>
      </c>
      <c r="Q265" s="3">
        <v>0.52504202100554509</v>
      </c>
      <c r="R265" s="3">
        <v>0.13550611056581419</v>
      </c>
      <c r="S265" t="s">
        <v>36</v>
      </c>
      <c r="T265" s="4">
        <f t="shared" si="4"/>
        <v>61.17</v>
      </c>
    </row>
    <row r="266" spans="1:20" x14ac:dyDescent="0.2">
      <c r="A266">
        <v>268</v>
      </c>
      <c r="B266">
        <v>3</v>
      </c>
      <c r="C266" t="s">
        <v>1223</v>
      </c>
      <c r="D266" t="s">
        <v>1224</v>
      </c>
      <c r="E266" t="s">
        <v>1220</v>
      </c>
      <c r="F266" t="s">
        <v>171</v>
      </c>
      <c r="G266" t="s">
        <v>172</v>
      </c>
      <c r="H266" t="s">
        <v>25</v>
      </c>
      <c r="I266" t="s">
        <v>25</v>
      </c>
      <c r="J266" t="s">
        <v>34</v>
      </c>
      <c r="K266" t="s">
        <v>1108</v>
      </c>
      <c r="L266" s="2">
        <v>3449556.7082071621</v>
      </c>
      <c r="M266" s="3">
        <v>0.76873198261029874</v>
      </c>
      <c r="N266" s="3">
        <v>0</v>
      </c>
      <c r="O266" s="3">
        <v>6.2639964877942961E-2</v>
      </c>
      <c r="P266" s="3">
        <v>1.937071075726855E-3</v>
      </c>
      <c r="Q266" s="3">
        <v>0.16669098143603131</v>
      </c>
      <c r="R266" s="3">
        <v>6.4577035953669815E-2</v>
      </c>
      <c r="S266" t="s">
        <v>28</v>
      </c>
      <c r="T266" s="4">
        <f t="shared" si="4"/>
        <v>89.98</v>
      </c>
    </row>
    <row r="267" spans="1:20" x14ac:dyDescent="0.2">
      <c r="A267">
        <v>269</v>
      </c>
      <c r="B267">
        <v>2</v>
      </c>
      <c r="C267" t="s">
        <v>1225</v>
      </c>
      <c r="D267" t="s">
        <v>1226</v>
      </c>
      <c r="E267" t="s">
        <v>1227</v>
      </c>
      <c r="F267" t="s">
        <v>1228</v>
      </c>
      <c r="G267" t="s">
        <v>1229</v>
      </c>
      <c r="H267" t="s">
        <v>25</v>
      </c>
      <c r="I267" t="s">
        <v>25</v>
      </c>
      <c r="J267" t="s">
        <v>26</v>
      </c>
      <c r="K267" t="s">
        <v>1108</v>
      </c>
      <c r="L267" s="2">
        <v>2299704.4721381082</v>
      </c>
      <c r="M267" s="3">
        <v>0.96587353182910962</v>
      </c>
      <c r="N267" s="3">
        <v>0</v>
      </c>
      <c r="O267" s="3">
        <v>3.3908069606254691E-2</v>
      </c>
      <c r="P267" s="3">
        <v>5.8195020441899727E-5</v>
      </c>
      <c r="Q267" s="3">
        <v>1.60203544193771E-4</v>
      </c>
      <c r="R267" s="3">
        <v>3.3966264626696593E-2</v>
      </c>
      <c r="S267" t="s">
        <v>28</v>
      </c>
      <c r="T267" s="4">
        <f t="shared" si="4"/>
        <v>103.39</v>
      </c>
    </row>
    <row r="268" spans="1:20" x14ac:dyDescent="0.2">
      <c r="A268">
        <v>270</v>
      </c>
      <c r="B268">
        <v>1</v>
      </c>
      <c r="C268" t="s">
        <v>1230</v>
      </c>
      <c r="D268" t="s">
        <v>1231</v>
      </c>
      <c r="E268" t="s">
        <v>1227</v>
      </c>
      <c r="F268" t="s">
        <v>1232</v>
      </c>
      <c r="G268" t="s">
        <v>1233</v>
      </c>
      <c r="H268" t="s">
        <v>25</v>
      </c>
      <c r="I268" t="s">
        <v>25</v>
      </c>
      <c r="J268" t="s">
        <v>34</v>
      </c>
      <c r="K268" t="s">
        <v>1108</v>
      </c>
      <c r="L268" s="2">
        <v>1149852.2360690541</v>
      </c>
      <c r="M268" s="3">
        <v>0.97886750679524714</v>
      </c>
      <c r="N268" s="3">
        <v>0</v>
      </c>
      <c r="O268" s="3">
        <v>1.9969496598704041E-2</v>
      </c>
      <c r="P268" s="3">
        <v>2.2465117119624941E-5</v>
      </c>
      <c r="Q268" s="3">
        <v>1.14053148892912E-3</v>
      </c>
      <c r="R268" s="3">
        <v>1.999196171582367E-2</v>
      </c>
      <c r="S268" t="s">
        <v>28</v>
      </c>
      <c r="T268" s="4">
        <f t="shared" si="4"/>
        <v>101.89</v>
      </c>
    </row>
    <row r="269" spans="1:20" x14ac:dyDescent="0.2">
      <c r="A269">
        <v>271</v>
      </c>
      <c r="B269">
        <v>1</v>
      </c>
      <c r="C269" t="s">
        <v>1234</v>
      </c>
      <c r="D269" t="s">
        <v>1235</v>
      </c>
      <c r="E269" t="s">
        <v>1227</v>
      </c>
      <c r="F269" t="s">
        <v>1236</v>
      </c>
      <c r="G269" t="s">
        <v>1237</v>
      </c>
      <c r="H269" t="s">
        <v>25</v>
      </c>
      <c r="I269" t="s">
        <v>25</v>
      </c>
      <c r="J269" t="s">
        <v>26</v>
      </c>
      <c r="K269" t="s">
        <v>1108</v>
      </c>
      <c r="L269" s="2">
        <v>1149852.2360690541</v>
      </c>
      <c r="M269" s="3">
        <v>0.89488616795948284</v>
      </c>
      <c r="N269" s="3">
        <v>0</v>
      </c>
      <c r="O269" s="3">
        <v>0.1023936731892429</v>
      </c>
      <c r="P269" s="3">
        <v>2.1508778707193111E-3</v>
      </c>
      <c r="Q269" s="3">
        <v>5.6928098055497589E-4</v>
      </c>
      <c r="R269" s="3">
        <v>0.1045445510599622</v>
      </c>
      <c r="S269" t="s">
        <v>36</v>
      </c>
      <c r="T269" s="4">
        <f t="shared" si="4"/>
        <v>110.61</v>
      </c>
    </row>
    <row r="270" spans="1:20" x14ac:dyDescent="0.2">
      <c r="A270">
        <v>272</v>
      </c>
      <c r="B270">
        <v>1</v>
      </c>
      <c r="C270" t="s">
        <v>1238</v>
      </c>
      <c r="D270" t="s">
        <v>1239</v>
      </c>
      <c r="E270" t="s">
        <v>1227</v>
      </c>
      <c r="F270" t="s">
        <v>1240</v>
      </c>
      <c r="G270" t="s">
        <v>1241</v>
      </c>
      <c r="H270" t="s">
        <v>25</v>
      </c>
      <c r="I270" t="s">
        <v>25</v>
      </c>
      <c r="J270" t="s">
        <v>92</v>
      </c>
      <c r="K270" t="s">
        <v>1108</v>
      </c>
      <c r="L270" s="2">
        <v>1149852.2360690541</v>
      </c>
      <c r="M270" s="3">
        <v>0.97478298675762387</v>
      </c>
      <c r="N270" s="3">
        <v>0</v>
      </c>
      <c r="O270" s="3">
        <v>2.5206831576805481E-2</v>
      </c>
      <c r="P270" s="3">
        <v>0</v>
      </c>
      <c r="Q270" s="3">
        <v>1.018166557065214E-5</v>
      </c>
      <c r="R270" s="3">
        <v>2.5206831576805481E-2</v>
      </c>
      <c r="S270" t="s">
        <v>28</v>
      </c>
      <c r="T270" s="4">
        <f t="shared" si="4"/>
        <v>102.52</v>
      </c>
    </row>
    <row r="271" spans="1:20" x14ac:dyDescent="0.2">
      <c r="A271">
        <v>273</v>
      </c>
      <c r="B271">
        <v>1</v>
      </c>
      <c r="C271" t="s">
        <v>1242</v>
      </c>
      <c r="D271" t="s">
        <v>1243</v>
      </c>
      <c r="E271" t="s">
        <v>1244</v>
      </c>
      <c r="F271" t="s">
        <v>1245</v>
      </c>
      <c r="G271" t="s">
        <v>1046</v>
      </c>
      <c r="H271" t="s">
        <v>25</v>
      </c>
      <c r="I271" t="s">
        <v>25</v>
      </c>
      <c r="J271" t="s">
        <v>26</v>
      </c>
      <c r="K271" t="s">
        <v>650</v>
      </c>
      <c r="L271" s="2">
        <v>1149852.2360690541</v>
      </c>
      <c r="M271" s="3">
        <v>0.59627147564990235</v>
      </c>
      <c r="N271" s="3">
        <v>0</v>
      </c>
      <c r="O271" s="3">
        <v>0.1679116467859246</v>
      </c>
      <c r="P271" s="3">
        <v>0.23581687756416109</v>
      </c>
      <c r="Q271" s="3">
        <v>1.1990408665951691E-14</v>
      </c>
      <c r="R271" s="3">
        <v>0.40372852435008572</v>
      </c>
      <c r="S271" t="s">
        <v>125</v>
      </c>
      <c r="T271" s="4">
        <f t="shared" si="4"/>
        <v>163.95</v>
      </c>
    </row>
    <row r="272" spans="1:20" x14ac:dyDescent="0.2">
      <c r="A272">
        <v>274</v>
      </c>
      <c r="B272">
        <v>1</v>
      </c>
      <c r="C272" t="s">
        <v>1246</v>
      </c>
      <c r="D272" t="s">
        <v>1247</v>
      </c>
      <c r="E272" t="s">
        <v>1244</v>
      </c>
      <c r="F272" t="s">
        <v>1248</v>
      </c>
      <c r="G272" t="s">
        <v>1249</v>
      </c>
      <c r="H272" t="s">
        <v>25</v>
      </c>
      <c r="I272" t="s">
        <v>25</v>
      </c>
      <c r="J272" t="s">
        <v>34</v>
      </c>
      <c r="K272" t="s">
        <v>650</v>
      </c>
      <c r="L272" s="2">
        <v>1149852.2360690541</v>
      </c>
      <c r="M272" s="3">
        <v>0.81676985201344554</v>
      </c>
      <c r="N272" s="3">
        <v>0</v>
      </c>
      <c r="O272" s="3">
        <v>0.14454770794584759</v>
      </c>
      <c r="P272" s="3">
        <v>3.8682440040686453E-2</v>
      </c>
      <c r="Q272" s="3">
        <v>2.042810365310288E-14</v>
      </c>
      <c r="R272" s="3">
        <v>0.183230147986534</v>
      </c>
      <c r="S272" t="s">
        <v>36</v>
      </c>
      <c r="T272" s="4">
        <f t="shared" si="4"/>
        <v>122.19</v>
      </c>
    </row>
    <row r="273" spans="1:20" x14ac:dyDescent="0.2">
      <c r="A273">
        <v>275</v>
      </c>
      <c r="B273">
        <v>1</v>
      </c>
      <c r="C273" t="s">
        <v>1250</v>
      </c>
      <c r="D273" t="s">
        <v>1251</v>
      </c>
      <c r="E273" t="s">
        <v>1244</v>
      </c>
      <c r="F273" t="s">
        <v>1252</v>
      </c>
      <c r="G273" t="s">
        <v>1253</v>
      </c>
      <c r="H273" t="s">
        <v>25</v>
      </c>
      <c r="I273" t="s">
        <v>25</v>
      </c>
      <c r="J273" t="s">
        <v>34</v>
      </c>
      <c r="K273" t="s">
        <v>650</v>
      </c>
      <c r="L273" s="2">
        <v>1149852.2360690541</v>
      </c>
      <c r="M273" s="3">
        <v>0.24902876028956039</v>
      </c>
      <c r="N273" s="3">
        <v>0</v>
      </c>
      <c r="O273" s="3">
        <v>0.17805221982153779</v>
      </c>
      <c r="P273" s="3">
        <v>0.57291901988896154</v>
      </c>
      <c r="Q273" s="3">
        <v>0</v>
      </c>
      <c r="R273" s="3">
        <v>0.75097123971049928</v>
      </c>
      <c r="S273" t="s">
        <v>44</v>
      </c>
      <c r="T273" s="4">
        <f t="shared" si="4"/>
        <v>232.39</v>
      </c>
    </row>
    <row r="274" spans="1:20" x14ac:dyDescent="0.2">
      <c r="A274">
        <v>276</v>
      </c>
      <c r="B274">
        <v>1</v>
      </c>
      <c r="C274" t="s">
        <v>1254</v>
      </c>
      <c r="D274" t="s">
        <v>1255</v>
      </c>
      <c r="E274" t="s">
        <v>1244</v>
      </c>
      <c r="F274" t="s">
        <v>1256</v>
      </c>
      <c r="G274" t="s">
        <v>1257</v>
      </c>
      <c r="H274" t="s">
        <v>25</v>
      </c>
      <c r="I274" t="s">
        <v>25</v>
      </c>
      <c r="J274" t="s">
        <v>26</v>
      </c>
      <c r="K274" t="s">
        <v>650</v>
      </c>
      <c r="L274" s="2">
        <v>1149852.2360690541</v>
      </c>
      <c r="M274" s="3">
        <v>0.25841108999264051</v>
      </c>
      <c r="N274" s="3">
        <v>0</v>
      </c>
      <c r="O274" s="3">
        <v>0.1723234821901696</v>
      </c>
      <c r="P274" s="3">
        <v>0.56926542781720912</v>
      </c>
      <c r="Q274" s="3">
        <v>0</v>
      </c>
      <c r="R274" s="3">
        <v>0.7415889100073787</v>
      </c>
      <c r="S274" t="s">
        <v>44</v>
      </c>
      <c r="T274" s="4">
        <f t="shared" si="4"/>
        <v>231.09</v>
      </c>
    </row>
    <row r="275" spans="1:20" x14ac:dyDescent="0.2">
      <c r="A275">
        <v>277</v>
      </c>
      <c r="B275">
        <v>1</v>
      </c>
      <c r="C275" t="s">
        <v>1258</v>
      </c>
      <c r="D275" t="s">
        <v>1259</v>
      </c>
      <c r="E275" t="s">
        <v>1260</v>
      </c>
      <c r="F275" t="s">
        <v>1261</v>
      </c>
      <c r="G275" t="s">
        <v>1262</v>
      </c>
      <c r="H275" t="s">
        <v>67</v>
      </c>
      <c r="I275" t="s">
        <v>67</v>
      </c>
      <c r="J275" t="s">
        <v>92</v>
      </c>
      <c r="K275" t="s">
        <v>363</v>
      </c>
      <c r="L275" s="2">
        <v>1149852.2360690541</v>
      </c>
      <c r="M275" s="3">
        <v>0.60533902261855077</v>
      </c>
      <c r="N275" s="3">
        <v>0</v>
      </c>
      <c r="O275" s="3">
        <v>9.1474148494129701E-2</v>
      </c>
      <c r="P275" s="3">
        <v>6.4936283556596225E-2</v>
      </c>
      <c r="Q275" s="3">
        <v>0.23825054533072329</v>
      </c>
      <c r="R275" s="3">
        <v>0.15641043205072591</v>
      </c>
      <c r="S275" t="s">
        <v>36</v>
      </c>
      <c r="T275" s="4">
        <f t="shared" si="4"/>
        <v>98.31</v>
      </c>
    </row>
    <row r="276" spans="1:20" x14ac:dyDescent="0.2">
      <c r="A276">
        <v>278</v>
      </c>
      <c r="B276">
        <v>2</v>
      </c>
      <c r="C276" t="s">
        <v>1263</v>
      </c>
      <c r="D276" t="s">
        <v>1264</v>
      </c>
      <c r="E276" t="s">
        <v>1265</v>
      </c>
      <c r="F276" t="s">
        <v>683</v>
      </c>
      <c r="G276" t="s">
        <v>684</v>
      </c>
      <c r="H276" t="s">
        <v>25</v>
      </c>
      <c r="I276" t="s">
        <v>25</v>
      </c>
      <c r="J276" t="s">
        <v>26</v>
      </c>
      <c r="K276" t="s">
        <v>1108</v>
      </c>
      <c r="L276" s="2">
        <v>2299704.4721381082</v>
      </c>
      <c r="M276" s="3">
        <v>0.65314881318832674</v>
      </c>
      <c r="N276" s="3">
        <v>0</v>
      </c>
      <c r="O276" s="3">
        <v>0.15115720768751459</v>
      </c>
      <c r="P276" s="3">
        <v>0.14295188775104739</v>
      </c>
      <c r="Q276" s="3">
        <v>5.2742091373111262E-2</v>
      </c>
      <c r="R276" s="3">
        <v>0.29410909543856201</v>
      </c>
      <c r="S276" t="s">
        <v>69</v>
      </c>
      <c r="T276" s="4">
        <f t="shared" si="4"/>
        <v>138.43</v>
      </c>
    </row>
    <row r="277" spans="1:20" x14ac:dyDescent="0.2">
      <c r="A277">
        <v>279</v>
      </c>
      <c r="B277">
        <v>1</v>
      </c>
      <c r="C277" t="s">
        <v>1266</v>
      </c>
      <c r="D277" t="s">
        <v>1267</v>
      </c>
      <c r="E277" t="s">
        <v>1265</v>
      </c>
      <c r="F277" t="s">
        <v>1268</v>
      </c>
      <c r="G277" t="s">
        <v>1269</v>
      </c>
      <c r="H277" t="s">
        <v>25</v>
      </c>
      <c r="I277" t="s">
        <v>25</v>
      </c>
      <c r="J277" t="s">
        <v>26</v>
      </c>
      <c r="K277" t="s">
        <v>1108</v>
      </c>
      <c r="L277" s="2">
        <v>1149852.2360690541</v>
      </c>
      <c r="M277" s="3">
        <v>0.91548705684088649</v>
      </c>
      <c r="N277" s="3">
        <v>0</v>
      </c>
      <c r="O277" s="3">
        <v>8.4453448733695188E-2</v>
      </c>
      <c r="P277" s="3">
        <v>5.9494425432091672E-5</v>
      </c>
      <c r="Q277" s="3">
        <v>0</v>
      </c>
      <c r="R277" s="3">
        <v>8.4512943159127274E-2</v>
      </c>
      <c r="S277" t="s">
        <v>28</v>
      </c>
      <c r="T277" s="4">
        <f t="shared" si="4"/>
        <v>108.46</v>
      </c>
    </row>
    <row r="278" spans="1:20" x14ac:dyDescent="0.2">
      <c r="A278">
        <v>280</v>
      </c>
      <c r="B278">
        <v>1</v>
      </c>
      <c r="C278" t="s">
        <v>1270</v>
      </c>
      <c r="D278" t="s">
        <v>1271</v>
      </c>
      <c r="E278" t="s">
        <v>1265</v>
      </c>
      <c r="F278" t="s">
        <v>1146</v>
      </c>
      <c r="G278" t="s">
        <v>1272</v>
      </c>
      <c r="H278" t="s">
        <v>25</v>
      </c>
      <c r="I278" t="s">
        <v>25</v>
      </c>
      <c r="J278" t="s">
        <v>26</v>
      </c>
      <c r="K278" t="s">
        <v>43</v>
      </c>
      <c r="L278" s="2">
        <v>1149852.2360690541</v>
      </c>
      <c r="M278" s="3">
        <v>0.94790354982001912</v>
      </c>
      <c r="N278" s="3">
        <v>0</v>
      </c>
      <c r="O278" s="3">
        <v>3.6407408188798653E-2</v>
      </c>
      <c r="P278" s="3">
        <v>1.8356319378317429E-3</v>
      </c>
      <c r="Q278" s="3">
        <v>1.3853410053350499E-2</v>
      </c>
      <c r="R278" s="3">
        <v>3.8243040126630393E-2</v>
      </c>
      <c r="S278" t="s">
        <v>28</v>
      </c>
      <c r="T278" s="4">
        <f t="shared" si="4"/>
        <v>102.62</v>
      </c>
    </row>
    <row r="279" spans="1:20" x14ac:dyDescent="0.2">
      <c r="A279">
        <v>281</v>
      </c>
      <c r="B279">
        <v>1</v>
      </c>
      <c r="C279" t="s">
        <v>1273</v>
      </c>
      <c r="D279" t="s">
        <v>1274</v>
      </c>
      <c r="E279" t="s">
        <v>1265</v>
      </c>
      <c r="F279" t="s">
        <v>344</v>
      </c>
      <c r="G279" t="s">
        <v>345</v>
      </c>
      <c r="H279" t="s">
        <v>25</v>
      </c>
      <c r="I279" t="s">
        <v>25</v>
      </c>
      <c r="J279" t="s">
        <v>26</v>
      </c>
      <c r="K279" t="s">
        <v>1108</v>
      </c>
      <c r="L279" s="2">
        <v>1149852.2360690541</v>
      </c>
      <c r="M279" s="3">
        <v>0.49083420907330189</v>
      </c>
      <c r="N279" s="3">
        <v>0</v>
      </c>
      <c r="O279" s="3">
        <v>7.3824428465522049E-2</v>
      </c>
      <c r="P279" s="3">
        <v>1.8593465838496299E-4</v>
      </c>
      <c r="Q279" s="3">
        <v>0.43515542780279098</v>
      </c>
      <c r="R279" s="3">
        <v>7.4010363123907005E-2</v>
      </c>
      <c r="S279" t="s">
        <v>28</v>
      </c>
      <c r="T279" s="4">
        <f t="shared" si="4"/>
        <v>63.9</v>
      </c>
    </row>
    <row r="280" spans="1:20" x14ac:dyDescent="0.2">
      <c r="A280">
        <v>282</v>
      </c>
      <c r="B280">
        <v>1</v>
      </c>
      <c r="C280" t="s">
        <v>1275</v>
      </c>
      <c r="D280" t="s">
        <v>1276</v>
      </c>
      <c r="E280" t="s">
        <v>1265</v>
      </c>
      <c r="F280" t="s">
        <v>1277</v>
      </c>
      <c r="G280" t="s">
        <v>1278</v>
      </c>
      <c r="H280" t="s">
        <v>25</v>
      </c>
      <c r="I280" t="s">
        <v>25</v>
      </c>
      <c r="J280" t="s">
        <v>26</v>
      </c>
      <c r="K280" t="s">
        <v>1108</v>
      </c>
      <c r="L280" s="2">
        <v>1149852.2360690541</v>
      </c>
      <c r="M280" s="3">
        <v>0.81088841227265851</v>
      </c>
      <c r="N280" s="3">
        <v>0</v>
      </c>
      <c r="O280" s="3">
        <v>8.0584734262501928E-2</v>
      </c>
      <c r="P280" s="3">
        <v>3.099905459831754E-4</v>
      </c>
      <c r="Q280" s="3">
        <v>0.1082168629188565</v>
      </c>
      <c r="R280" s="3">
        <v>8.0894724808485099E-2</v>
      </c>
      <c r="S280" t="s">
        <v>28</v>
      </c>
      <c r="T280" s="4">
        <f t="shared" si="4"/>
        <v>97.3</v>
      </c>
    </row>
    <row r="281" spans="1:20" x14ac:dyDescent="0.2">
      <c r="A281">
        <v>283</v>
      </c>
      <c r="B281">
        <v>1</v>
      </c>
      <c r="C281" t="s">
        <v>1279</v>
      </c>
      <c r="D281" t="s">
        <v>1280</v>
      </c>
      <c r="E281" t="s">
        <v>1281</v>
      </c>
      <c r="F281" t="s">
        <v>1282</v>
      </c>
      <c r="H281" t="s">
        <v>25</v>
      </c>
      <c r="I281" t="s">
        <v>25</v>
      </c>
      <c r="J281" t="s">
        <v>26</v>
      </c>
      <c r="K281" t="s">
        <v>650</v>
      </c>
      <c r="L281" s="2">
        <v>1149852.2360690541</v>
      </c>
      <c r="M281" s="3">
        <v>0.68835001631118153</v>
      </c>
      <c r="N281" s="3">
        <v>0</v>
      </c>
      <c r="O281" s="3">
        <v>7.5318839031325482E-2</v>
      </c>
      <c r="P281" s="3">
        <v>3.4540761287773933E-2</v>
      </c>
      <c r="Q281" s="3">
        <v>0.201790383369719</v>
      </c>
      <c r="R281" s="3">
        <v>0.1098596003190994</v>
      </c>
      <c r="S281" t="s">
        <v>36</v>
      </c>
      <c r="T281" s="4">
        <f t="shared" si="4"/>
        <v>94.26</v>
      </c>
    </row>
    <row r="282" spans="1:20" x14ac:dyDescent="0.2">
      <c r="A282">
        <v>284</v>
      </c>
      <c r="B282">
        <v>1</v>
      </c>
      <c r="C282" t="s">
        <v>1283</v>
      </c>
      <c r="D282" t="s">
        <v>1284</v>
      </c>
      <c r="E282" t="s">
        <v>1281</v>
      </c>
      <c r="F282" t="s">
        <v>1285</v>
      </c>
      <c r="H282" t="s">
        <v>25</v>
      </c>
      <c r="I282" t="s">
        <v>25</v>
      </c>
      <c r="J282" t="s">
        <v>26</v>
      </c>
      <c r="K282" t="s">
        <v>650</v>
      </c>
      <c r="L282" s="2">
        <v>1149852.2360690541</v>
      </c>
      <c r="M282" s="3">
        <v>0.7866565334740333</v>
      </c>
      <c r="N282" s="3">
        <v>0</v>
      </c>
      <c r="O282" s="3">
        <v>6.3323651223430158E-2</v>
      </c>
      <c r="P282" s="3">
        <v>2.5006807188537959E-2</v>
      </c>
      <c r="Q282" s="3">
        <v>0.12501300811399851</v>
      </c>
      <c r="R282" s="3">
        <v>8.8330458411968113E-2</v>
      </c>
      <c r="S282" t="s">
        <v>28</v>
      </c>
      <c r="T282" s="4">
        <f t="shared" si="4"/>
        <v>98.83</v>
      </c>
    </row>
    <row r="283" spans="1:20" x14ac:dyDescent="0.2">
      <c r="A283">
        <v>285</v>
      </c>
      <c r="B283">
        <v>2</v>
      </c>
      <c r="C283" t="s">
        <v>1286</v>
      </c>
      <c r="D283" t="s">
        <v>1287</v>
      </c>
      <c r="E283" t="s">
        <v>1288</v>
      </c>
      <c r="F283" t="s">
        <v>1289</v>
      </c>
      <c r="G283" t="s">
        <v>1290</v>
      </c>
      <c r="H283" t="s">
        <v>25</v>
      </c>
      <c r="I283" t="s">
        <v>25</v>
      </c>
      <c r="J283" t="s">
        <v>34</v>
      </c>
      <c r="K283" t="s">
        <v>35</v>
      </c>
      <c r="L283" s="2">
        <v>2299704.4721381082</v>
      </c>
      <c r="M283" s="3">
        <v>0</v>
      </c>
      <c r="N283" s="3">
        <v>0</v>
      </c>
      <c r="O283" s="3">
        <v>0.16035335242012119</v>
      </c>
      <c r="P283" s="3">
        <v>0.57126701156043513</v>
      </c>
      <c r="Q283" s="3">
        <v>0.2683796360194437</v>
      </c>
      <c r="R283" s="3">
        <v>0.7316203639805563</v>
      </c>
      <c r="S283" t="s">
        <v>44</v>
      </c>
      <c r="T283" s="4">
        <f t="shared" si="4"/>
        <v>203.45</v>
      </c>
    </row>
    <row r="284" spans="1:20" x14ac:dyDescent="0.2">
      <c r="A284">
        <v>286</v>
      </c>
      <c r="B284">
        <v>1</v>
      </c>
      <c r="C284" t="s">
        <v>1291</v>
      </c>
      <c r="D284" t="s">
        <v>1292</v>
      </c>
      <c r="E284" t="s">
        <v>1288</v>
      </c>
      <c r="F284" t="s">
        <v>1293</v>
      </c>
      <c r="G284" t="s">
        <v>1294</v>
      </c>
      <c r="H284" t="s">
        <v>25</v>
      </c>
      <c r="I284" t="s">
        <v>25</v>
      </c>
      <c r="J284" t="s">
        <v>26</v>
      </c>
      <c r="K284" t="s">
        <v>35</v>
      </c>
      <c r="L284" s="2">
        <v>1149852.2360690541</v>
      </c>
      <c r="M284" s="3">
        <v>0.1141005020411946</v>
      </c>
      <c r="N284" s="3">
        <v>0</v>
      </c>
      <c r="O284" s="3">
        <v>0.11925865493111031</v>
      </c>
      <c r="P284" s="3">
        <v>0.47932258242458892</v>
      </c>
      <c r="Q284" s="3">
        <v>0.28731826060310622</v>
      </c>
      <c r="R284" s="3">
        <v>0.59858123735569913</v>
      </c>
      <c r="S284" t="s">
        <v>125</v>
      </c>
      <c r="T284" s="4">
        <f t="shared" si="4"/>
        <v>179.06</v>
      </c>
    </row>
    <row r="285" spans="1:20" x14ac:dyDescent="0.2">
      <c r="A285">
        <v>287</v>
      </c>
      <c r="B285">
        <v>1</v>
      </c>
      <c r="C285" t="s">
        <v>1295</v>
      </c>
      <c r="D285" t="s">
        <v>1296</v>
      </c>
      <c r="E285" t="s">
        <v>1288</v>
      </c>
      <c r="F285" t="s">
        <v>1297</v>
      </c>
      <c r="G285" t="s">
        <v>1298</v>
      </c>
      <c r="H285" t="s">
        <v>25</v>
      </c>
      <c r="I285" t="s">
        <v>25</v>
      </c>
      <c r="J285" t="s">
        <v>26</v>
      </c>
      <c r="K285" t="s">
        <v>35</v>
      </c>
      <c r="L285" s="2">
        <v>1149852.2360690541</v>
      </c>
      <c r="M285" s="3">
        <v>1.305817799067872E-2</v>
      </c>
      <c r="N285" s="3">
        <v>0</v>
      </c>
      <c r="O285" s="3">
        <v>0.14761359023508941</v>
      </c>
      <c r="P285" s="3">
        <v>0.46080644999174081</v>
      </c>
      <c r="Q285" s="3">
        <v>0.37852178178249118</v>
      </c>
      <c r="R285" s="3">
        <v>0.60842004022683016</v>
      </c>
      <c r="S285" t="s">
        <v>44</v>
      </c>
      <c r="T285" s="4">
        <f t="shared" si="4"/>
        <v>169.07</v>
      </c>
    </row>
    <row r="286" spans="1:20" x14ac:dyDescent="0.2">
      <c r="A286">
        <v>288</v>
      </c>
      <c r="B286">
        <v>1</v>
      </c>
      <c r="C286" t="s">
        <v>1299</v>
      </c>
      <c r="D286" t="s">
        <v>1300</v>
      </c>
      <c r="E286" t="s">
        <v>1288</v>
      </c>
      <c r="F286" t="s">
        <v>1301</v>
      </c>
      <c r="G286" t="s">
        <v>1302</v>
      </c>
      <c r="H286" t="s">
        <v>25</v>
      </c>
      <c r="I286" t="s">
        <v>25</v>
      </c>
      <c r="J286" t="s">
        <v>26</v>
      </c>
      <c r="K286" t="s">
        <v>43</v>
      </c>
      <c r="L286" s="2">
        <v>1149852.2360690541</v>
      </c>
      <c r="M286" s="3">
        <v>0.76588052238103044</v>
      </c>
      <c r="N286" s="3">
        <v>0</v>
      </c>
      <c r="O286" s="3">
        <v>0.15009653598929729</v>
      </c>
      <c r="P286" s="3">
        <v>8.4022941629664061E-2</v>
      </c>
      <c r="Q286" s="3">
        <v>8.2156503822261584E-15</v>
      </c>
      <c r="R286" s="3">
        <v>0.23411947761896129</v>
      </c>
      <c r="S286" t="s">
        <v>69</v>
      </c>
      <c r="T286" s="4">
        <f t="shared" si="4"/>
        <v>131.81</v>
      </c>
    </row>
    <row r="287" spans="1:20" x14ac:dyDescent="0.2">
      <c r="A287">
        <v>289</v>
      </c>
      <c r="B287">
        <v>1</v>
      </c>
      <c r="C287" t="s">
        <v>1303</v>
      </c>
      <c r="D287" t="s">
        <v>1304</v>
      </c>
      <c r="E287" t="s">
        <v>1288</v>
      </c>
      <c r="F287" t="s">
        <v>1305</v>
      </c>
      <c r="G287" t="s">
        <v>1306</v>
      </c>
      <c r="H287" t="s">
        <v>25</v>
      </c>
      <c r="I287" t="s">
        <v>25</v>
      </c>
      <c r="J287" t="s">
        <v>26</v>
      </c>
      <c r="K287" t="s">
        <v>35</v>
      </c>
      <c r="L287" s="2">
        <v>1149852.2360690541</v>
      </c>
      <c r="M287" s="3">
        <v>0.18974666060796469</v>
      </c>
      <c r="N287" s="3">
        <v>0</v>
      </c>
      <c r="O287" s="3">
        <v>0.17071680656810451</v>
      </c>
      <c r="P287" s="3">
        <v>0.63953653282395317</v>
      </c>
      <c r="Q287" s="3">
        <v>0</v>
      </c>
      <c r="R287" s="3">
        <v>0.81025333939205768</v>
      </c>
      <c r="S287" t="s">
        <v>44</v>
      </c>
      <c r="T287" s="4">
        <f t="shared" si="4"/>
        <v>244.98</v>
      </c>
    </row>
    <row r="288" spans="1:20" x14ac:dyDescent="0.2">
      <c r="A288">
        <v>290</v>
      </c>
      <c r="B288">
        <v>1</v>
      </c>
      <c r="C288" t="s">
        <v>1307</v>
      </c>
      <c r="D288" t="s">
        <v>1308</v>
      </c>
      <c r="E288" t="s">
        <v>1288</v>
      </c>
      <c r="F288" t="s">
        <v>1309</v>
      </c>
      <c r="G288" t="s">
        <v>1310</v>
      </c>
      <c r="H288" t="s">
        <v>25</v>
      </c>
      <c r="I288" t="s">
        <v>25</v>
      </c>
      <c r="J288" t="s">
        <v>26</v>
      </c>
      <c r="K288" t="s">
        <v>35</v>
      </c>
      <c r="L288" s="2">
        <v>1149852.2360690541</v>
      </c>
      <c r="M288" s="3">
        <v>0.1098385180096076</v>
      </c>
      <c r="N288" s="3">
        <v>0</v>
      </c>
      <c r="O288" s="3">
        <v>0.16194670365706959</v>
      </c>
      <c r="P288" s="3">
        <v>0.72821477833334824</v>
      </c>
      <c r="Q288" s="3">
        <v>0</v>
      </c>
      <c r="R288" s="3">
        <v>0.89016148199041778</v>
      </c>
      <c r="S288" t="s">
        <v>44</v>
      </c>
      <c r="T288" s="4">
        <f t="shared" si="4"/>
        <v>261.83999999999997</v>
      </c>
    </row>
    <row r="289" spans="1:20" x14ac:dyDescent="0.2">
      <c r="A289">
        <v>291</v>
      </c>
      <c r="B289">
        <v>1</v>
      </c>
      <c r="C289" t="s">
        <v>1311</v>
      </c>
      <c r="D289" t="s">
        <v>1312</v>
      </c>
      <c r="E289" t="s">
        <v>1288</v>
      </c>
      <c r="F289" t="s">
        <v>1313</v>
      </c>
      <c r="G289" t="s">
        <v>1314</v>
      </c>
      <c r="H289" t="s">
        <v>25</v>
      </c>
      <c r="I289" t="s">
        <v>25</v>
      </c>
      <c r="J289" t="s">
        <v>26</v>
      </c>
      <c r="K289" t="s">
        <v>650</v>
      </c>
      <c r="L289" s="2">
        <v>1149852.2360690541</v>
      </c>
      <c r="M289" s="3">
        <v>0.49715311205042828</v>
      </c>
      <c r="N289" s="3">
        <v>0</v>
      </c>
      <c r="O289" s="3">
        <v>0.14644673332996491</v>
      </c>
      <c r="P289" s="3">
        <v>0.35640015461962438</v>
      </c>
      <c r="Q289" s="3">
        <v>0</v>
      </c>
      <c r="R289" s="3">
        <v>0.50284688794958932</v>
      </c>
      <c r="S289" t="s">
        <v>125</v>
      </c>
      <c r="T289" s="4">
        <f t="shared" si="4"/>
        <v>185.92</v>
      </c>
    </row>
    <row r="290" spans="1:20" x14ac:dyDescent="0.2">
      <c r="A290">
        <v>292</v>
      </c>
      <c r="B290">
        <v>1</v>
      </c>
      <c r="C290" t="s">
        <v>1315</v>
      </c>
      <c r="D290" t="s">
        <v>1316</v>
      </c>
      <c r="E290" t="s">
        <v>1317</v>
      </c>
      <c r="F290" t="s">
        <v>1318</v>
      </c>
      <c r="G290" t="s">
        <v>1319</v>
      </c>
      <c r="H290" t="s">
        <v>25</v>
      </c>
      <c r="I290" t="s">
        <v>25</v>
      </c>
      <c r="J290" t="s">
        <v>26</v>
      </c>
      <c r="K290" t="s">
        <v>650</v>
      </c>
      <c r="L290" s="2">
        <v>1149852.236069005</v>
      </c>
      <c r="M290" s="3">
        <v>0.71623723766482095</v>
      </c>
      <c r="N290" s="3">
        <v>0</v>
      </c>
      <c r="O290" s="3">
        <v>0.11396552341465881</v>
      </c>
      <c r="P290" s="3">
        <v>4.785032854492781E-3</v>
      </c>
      <c r="Q290" s="3">
        <v>0.16501220606602751</v>
      </c>
      <c r="R290" s="3">
        <v>0.1187505562691516</v>
      </c>
      <c r="S290" t="s">
        <v>36</v>
      </c>
      <c r="T290" s="4">
        <f t="shared" si="4"/>
        <v>95.85</v>
      </c>
    </row>
    <row r="291" spans="1:20" x14ac:dyDescent="0.2">
      <c r="A291">
        <v>293</v>
      </c>
      <c r="B291">
        <v>1</v>
      </c>
      <c r="C291" t="s">
        <v>1320</v>
      </c>
      <c r="D291" t="s">
        <v>1321</v>
      </c>
      <c r="E291" t="s">
        <v>1322</v>
      </c>
      <c r="F291" t="s">
        <v>1323</v>
      </c>
      <c r="G291" t="s">
        <v>1324</v>
      </c>
      <c r="H291" t="s">
        <v>25</v>
      </c>
      <c r="I291" t="s">
        <v>25</v>
      </c>
      <c r="J291" t="s">
        <v>34</v>
      </c>
      <c r="K291" t="s">
        <v>650</v>
      </c>
      <c r="L291" s="2">
        <v>1149852.2360690541</v>
      </c>
      <c r="M291" s="3">
        <v>0.73716744723456507</v>
      </c>
      <c r="N291" s="3">
        <v>0</v>
      </c>
      <c r="O291" s="3">
        <v>0.15925076356750281</v>
      </c>
      <c r="P291" s="3">
        <v>0.1035817891979246</v>
      </c>
      <c r="Q291" s="3">
        <v>7.5495165674510645E-15</v>
      </c>
      <c r="R291" s="3">
        <v>0.26283255276542739</v>
      </c>
      <c r="S291" t="s">
        <v>69</v>
      </c>
      <c r="T291" s="4">
        <f t="shared" si="4"/>
        <v>136.63999999999999</v>
      </c>
    </row>
    <row r="292" spans="1:20" x14ac:dyDescent="0.2">
      <c r="A292">
        <v>294</v>
      </c>
      <c r="B292">
        <v>1</v>
      </c>
      <c r="C292" t="s">
        <v>1325</v>
      </c>
      <c r="D292" t="s">
        <v>1326</v>
      </c>
      <c r="E292" t="s">
        <v>1327</v>
      </c>
      <c r="F292" t="s">
        <v>1328</v>
      </c>
      <c r="H292" t="s">
        <v>25</v>
      </c>
      <c r="I292" t="s">
        <v>25</v>
      </c>
      <c r="J292" t="s">
        <v>92</v>
      </c>
      <c r="K292" t="s">
        <v>650</v>
      </c>
      <c r="L292" s="2">
        <v>1149852.2360690541</v>
      </c>
      <c r="M292" s="3">
        <v>0.9548751403671959</v>
      </c>
      <c r="N292" s="3">
        <v>0</v>
      </c>
      <c r="O292" s="3">
        <v>2.1092049610740252E-2</v>
      </c>
      <c r="P292" s="3">
        <v>1.4753180698130271E-3</v>
      </c>
      <c r="Q292" s="3">
        <v>2.255749195225076E-2</v>
      </c>
      <c r="R292" s="3">
        <v>2.2567367680553278E-2</v>
      </c>
      <c r="S292" t="s">
        <v>28</v>
      </c>
      <c r="T292" s="4">
        <f t="shared" si="4"/>
        <v>100.15</v>
      </c>
    </row>
    <row r="293" spans="1:20" x14ac:dyDescent="0.2">
      <c r="A293">
        <v>295</v>
      </c>
      <c r="B293">
        <v>1</v>
      </c>
      <c r="C293" t="s">
        <v>1329</v>
      </c>
      <c r="D293" t="s">
        <v>1330</v>
      </c>
      <c r="E293" t="s">
        <v>1327</v>
      </c>
      <c r="F293" t="s">
        <v>1331</v>
      </c>
      <c r="G293" t="s">
        <v>1332</v>
      </c>
      <c r="H293" t="s">
        <v>25</v>
      </c>
      <c r="I293" t="s">
        <v>25</v>
      </c>
      <c r="J293" t="s">
        <v>26</v>
      </c>
      <c r="K293" t="s">
        <v>650</v>
      </c>
      <c r="L293" s="2">
        <v>1149852.2360690541</v>
      </c>
      <c r="M293" s="3">
        <v>0.9727529543697635</v>
      </c>
      <c r="N293" s="3">
        <v>0</v>
      </c>
      <c r="O293" s="3">
        <v>2.7247045630237509E-2</v>
      </c>
      <c r="P293" s="3">
        <v>0</v>
      </c>
      <c r="Q293" s="3">
        <v>0</v>
      </c>
      <c r="R293" s="3">
        <v>2.7247045630237509E-2</v>
      </c>
      <c r="S293" t="s">
        <v>28</v>
      </c>
      <c r="T293" s="4">
        <f t="shared" si="4"/>
        <v>102.72</v>
      </c>
    </row>
    <row r="294" spans="1:20" x14ac:dyDescent="0.2">
      <c r="A294">
        <v>296</v>
      </c>
      <c r="B294">
        <v>1</v>
      </c>
      <c r="C294" t="s">
        <v>1333</v>
      </c>
      <c r="D294" t="s">
        <v>1334</v>
      </c>
      <c r="E294" t="s">
        <v>1327</v>
      </c>
      <c r="F294" t="s">
        <v>1335</v>
      </c>
      <c r="H294" t="s">
        <v>25</v>
      </c>
      <c r="I294" t="s">
        <v>25</v>
      </c>
      <c r="J294" t="s">
        <v>26</v>
      </c>
      <c r="K294" t="s">
        <v>650</v>
      </c>
      <c r="L294" s="2">
        <v>1149852.2360690541</v>
      </c>
      <c r="M294" s="3">
        <v>0.80503574110177312</v>
      </c>
      <c r="N294" s="3">
        <v>0</v>
      </c>
      <c r="O294" s="3">
        <v>6.5295289916497773E-2</v>
      </c>
      <c r="P294" s="3">
        <v>0.1031218254773974</v>
      </c>
      <c r="Q294" s="3">
        <v>2.6547143504331631E-2</v>
      </c>
      <c r="R294" s="3">
        <v>0.1684171153938952</v>
      </c>
      <c r="S294" t="s">
        <v>36</v>
      </c>
      <c r="T294" s="4">
        <f t="shared" si="4"/>
        <v>124.5</v>
      </c>
    </row>
    <row r="295" spans="1:20" x14ac:dyDescent="0.2">
      <c r="A295">
        <v>297</v>
      </c>
      <c r="B295">
        <v>1</v>
      </c>
      <c r="C295" t="s">
        <v>1336</v>
      </c>
      <c r="D295" t="s">
        <v>1337</v>
      </c>
      <c r="E295" t="s">
        <v>1338</v>
      </c>
      <c r="F295" t="s">
        <v>1339</v>
      </c>
      <c r="G295" t="s">
        <v>1340</v>
      </c>
      <c r="H295" t="s">
        <v>25</v>
      </c>
      <c r="I295" t="s">
        <v>25</v>
      </c>
      <c r="J295" t="s">
        <v>34</v>
      </c>
      <c r="K295" t="s">
        <v>650</v>
      </c>
      <c r="L295" s="2">
        <v>1149852.2360690541</v>
      </c>
      <c r="M295" s="3">
        <v>0.74978833318739624</v>
      </c>
      <c r="N295" s="3">
        <v>0</v>
      </c>
      <c r="O295" s="3">
        <v>5.7807908011970763E-2</v>
      </c>
      <c r="P295" s="3">
        <v>2.7755603722256581E-2</v>
      </c>
      <c r="Q295" s="3">
        <v>0.16464815507837641</v>
      </c>
      <c r="R295" s="3">
        <v>8.556351173422734E-2</v>
      </c>
      <c r="S295" t="s">
        <v>28</v>
      </c>
      <c r="T295" s="4">
        <f t="shared" si="4"/>
        <v>94.87</v>
      </c>
    </row>
    <row r="296" spans="1:20" x14ac:dyDescent="0.2">
      <c r="A296">
        <v>298</v>
      </c>
      <c r="B296">
        <v>1</v>
      </c>
      <c r="C296" t="s">
        <v>1341</v>
      </c>
      <c r="D296" t="s">
        <v>1342</v>
      </c>
      <c r="E296" t="s">
        <v>1338</v>
      </c>
      <c r="F296" t="s">
        <v>1343</v>
      </c>
      <c r="G296" t="s">
        <v>1344</v>
      </c>
      <c r="H296" t="s">
        <v>25</v>
      </c>
      <c r="I296" t="s">
        <v>25</v>
      </c>
      <c r="J296" t="s">
        <v>34</v>
      </c>
      <c r="K296" t="s">
        <v>650</v>
      </c>
      <c r="L296" s="2">
        <v>1149852.2360690541</v>
      </c>
      <c r="M296" s="3">
        <v>0.87493713760432068</v>
      </c>
      <c r="N296" s="3">
        <v>0</v>
      </c>
      <c r="O296" s="3">
        <v>3.2830873329208962E-2</v>
      </c>
      <c r="P296" s="3">
        <v>1.161188700947374E-3</v>
      </c>
      <c r="Q296" s="3">
        <v>9.1070800365522953E-2</v>
      </c>
      <c r="R296" s="3">
        <v>3.3992062030156339E-2</v>
      </c>
      <c r="S296" t="s">
        <v>28</v>
      </c>
      <c r="T296" s="4">
        <f t="shared" si="4"/>
        <v>94.41</v>
      </c>
    </row>
    <row r="297" spans="1:20" x14ac:dyDescent="0.2">
      <c r="A297">
        <v>299</v>
      </c>
      <c r="B297">
        <v>1</v>
      </c>
      <c r="C297" t="s">
        <v>1345</v>
      </c>
      <c r="D297" t="s">
        <v>1346</v>
      </c>
      <c r="E297" t="s">
        <v>1347</v>
      </c>
      <c r="F297" t="s">
        <v>1348</v>
      </c>
      <c r="G297" t="s">
        <v>1349</v>
      </c>
      <c r="H297" t="s">
        <v>25</v>
      </c>
      <c r="I297" t="s">
        <v>25</v>
      </c>
      <c r="J297" t="s">
        <v>26</v>
      </c>
      <c r="K297" t="s">
        <v>43</v>
      </c>
      <c r="L297" s="2">
        <v>1149852.236069005</v>
      </c>
      <c r="M297" s="3">
        <v>0.91666530033261262</v>
      </c>
      <c r="N297" s="3">
        <v>0</v>
      </c>
      <c r="O297" s="3">
        <v>3.5623583178948801E-2</v>
      </c>
      <c r="P297" s="3">
        <v>7.7531527675685358E-3</v>
      </c>
      <c r="Q297" s="3">
        <v>3.9957963720870023E-2</v>
      </c>
      <c r="R297" s="3">
        <v>4.3376735946517343E-2</v>
      </c>
      <c r="S297" t="s">
        <v>28</v>
      </c>
      <c r="T297" s="4">
        <f t="shared" si="4"/>
        <v>101.12</v>
      </c>
    </row>
    <row r="298" spans="1:20" x14ac:dyDescent="0.2">
      <c r="A298">
        <v>320</v>
      </c>
      <c r="B298">
        <v>1</v>
      </c>
      <c r="C298" t="s">
        <v>1350</v>
      </c>
      <c r="D298" t="s">
        <v>1351</v>
      </c>
      <c r="E298" t="s">
        <v>109</v>
      </c>
      <c r="H298" t="s">
        <v>67</v>
      </c>
      <c r="I298" t="s">
        <v>67</v>
      </c>
      <c r="J298" t="s">
        <v>92</v>
      </c>
      <c r="K298" t="s">
        <v>187</v>
      </c>
      <c r="L298" s="2">
        <v>1149852.236069005</v>
      </c>
      <c r="M298" s="3">
        <v>0.22000182884922351</v>
      </c>
      <c r="N298" s="3">
        <v>0</v>
      </c>
      <c r="O298" s="3">
        <v>0.15207185043716839</v>
      </c>
      <c r="P298" s="3">
        <v>0.30098861450398029</v>
      </c>
      <c r="Q298" s="3">
        <v>0.32693770620962792</v>
      </c>
      <c r="R298" s="3">
        <v>0.45306046494114871</v>
      </c>
      <c r="S298" t="s">
        <v>125</v>
      </c>
      <c r="T298" s="4">
        <f t="shared" si="4"/>
        <v>142.71</v>
      </c>
    </row>
    <row r="299" spans="1:20" x14ac:dyDescent="0.2">
      <c r="A299">
        <v>321</v>
      </c>
      <c r="B299">
        <v>1</v>
      </c>
      <c r="C299" t="s">
        <v>1352</v>
      </c>
      <c r="D299" t="s">
        <v>1353</v>
      </c>
      <c r="E299" t="s">
        <v>1354</v>
      </c>
      <c r="H299" t="s">
        <v>25</v>
      </c>
      <c r="I299" t="s">
        <v>25</v>
      </c>
      <c r="J299" t="s">
        <v>92</v>
      </c>
      <c r="K299" t="s">
        <v>1355</v>
      </c>
      <c r="L299" s="2">
        <v>1149852.236069005</v>
      </c>
      <c r="M299" s="3">
        <v>0.29582962641089577</v>
      </c>
      <c r="N299" s="3">
        <v>0</v>
      </c>
      <c r="O299" s="3">
        <v>0.1113186912561782</v>
      </c>
      <c r="P299" s="3">
        <v>0.12861445048894329</v>
      </c>
      <c r="Q299" s="3">
        <v>0.46423723184398258</v>
      </c>
      <c r="R299" s="3">
        <v>0.23993314174512151</v>
      </c>
      <c r="S299" t="s">
        <v>69</v>
      </c>
      <c r="T299" s="4">
        <f t="shared" si="4"/>
        <v>90.43</v>
      </c>
    </row>
    <row r="300" spans="1:20" x14ac:dyDescent="0.2">
      <c r="A300">
        <v>322</v>
      </c>
      <c r="B300">
        <v>1</v>
      </c>
      <c r="C300" t="s">
        <v>1356</v>
      </c>
      <c r="D300" t="s">
        <v>1357</v>
      </c>
      <c r="E300" t="s">
        <v>1358</v>
      </c>
      <c r="H300" t="s">
        <v>25</v>
      </c>
      <c r="I300" t="s">
        <v>25</v>
      </c>
      <c r="J300" t="s">
        <v>92</v>
      </c>
      <c r="K300" t="s">
        <v>878</v>
      </c>
      <c r="L300" s="2">
        <v>1149852.236069005</v>
      </c>
      <c r="M300" s="3">
        <v>0.60536654902611642</v>
      </c>
      <c r="N300" s="3">
        <v>0</v>
      </c>
      <c r="O300" s="3">
        <v>0.15223923292226099</v>
      </c>
      <c r="P300" s="3">
        <v>0.2234716512923752</v>
      </c>
      <c r="Q300" s="3">
        <v>1.8922566759247309E-2</v>
      </c>
      <c r="R300" s="3">
        <v>0.37571088421463622</v>
      </c>
      <c r="S300" t="s">
        <v>69</v>
      </c>
      <c r="T300" s="4">
        <f t="shared" si="4"/>
        <v>158.03</v>
      </c>
    </row>
    <row r="301" spans="1:20" x14ac:dyDescent="0.2">
      <c r="A301">
        <v>323</v>
      </c>
      <c r="B301">
        <v>1</v>
      </c>
      <c r="C301" t="s">
        <v>1359</v>
      </c>
      <c r="D301" t="s">
        <v>1360</v>
      </c>
      <c r="E301" t="s">
        <v>1361</v>
      </c>
      <c r="H301" t="s">
        <v>25</v>
      </c>
      <c r="I301" t="s">
        <v>25</v>
      </c>
      <c r="J301" t="s">
        <v>26</v>
      </c>
      <c r="K301" t="s">
        <v>1362</v>
      </c>
      <c r="L301" s="2">
        <v>1149852.236069005</v>
      </c>
      <c r="M301" s="3">
        <v>0.20268280889273099</v>
      </c>
      <c r="N301" s="3">
        <v>0</v>
      </c>
      <c r="O301" s="3">
        <v>0.1833986666532427</v>
      </c>
      <c r="P301" s="3">
        <v>0.20115781370127711</v>
      </c>
      <c r="Q301" s="3">
        <v>0.41276071075274923</v>
      </c>
      <c r="R301" s="3">
        <v>0.38455648035451978</v>
      </c>
      <c r="S301" t="s">
        <v>69</v>
      </c>
      <c r="T301" s="4">
        <f t="shared" si="4"/>
        <v>117.3</v>
      </c>
    </row>
    <row r="302" spans="1:20" x14ac:dyDescent="0.2">
      <c r="A302">
        <v>324</v>
      </c>
      <c r="B302">
        <v>1</v>
      </c>
      <c r="C302" t="s">
        <v>1363</v>
      </c>
      <c r="D302" t="s">
        <v>1364</v>
      </c>
      <c r="E302" t="s">
        <v>1365</v>
      </c>
      <c r="H302" t="s">
        <v>67</v>
      </c>
      <c r="I302" t="s">
        <v>67</v>
      </c>
      <c r="J302" t="s">
        <v>26</v>
      </c>
      <c r="K302" t="s">
        <v>585</v>
      </c>
      <c r="L302" s="2">
        <v>1149852.236069005</v>
      </c>
      <c r="M302" s="3">
        <v>0.82196453945451087</v>
      </c>
      <c r="N302" s="3">
        <v>0</v>
      </c>
      <c r="O302" s="3">
        <v>9.7188122036000094E-2</v>
      </c>
      <c r="P302" s="3">
        <v>8.0432393735261565E-2</v>
      </c>
      <c r="Q302" s="3">
        <v>4.1494477422743259E-4</v>
      </c>
      <c r="R302" s="3">
        <v>0.17762051577126159</v>
      </c>
      <c r="S302" t="s">
        <v>36</v>
      </c>
      <c r="T302" s="4">
        <f t="shared" si="4"/>
        <v>125.76</v>
      </c>
    </row>
    <row r="303" spans="1:20" x14ac:dyDescent="0.2">
      <c r="A303">
        <v>325</v>
      </c>
      <c r="B303">
        <v>1</v>
      </c>
      <c r="C303" t="s">
        <v>1366</v>
      </c>
      <c r="D303" t="s">
        <v>1367</v>
      </c>
      <c r="E303" t="s">
        <v>1368</v>
      </c>
      <c r="H303" t="s">
        <v>67</v>
      </c>
      <c r="I303" t="s">
        <v>67</v>
      </c>
      <c r="J303" t="s">
        <v>34</v>
      </c>
      <c r="K303" t="s">
        <v>56</v>
      </c>
      <c r="L303" s="2">
        <v>1149852.236069005</v>
      </c>
      <c r="M303" s="3">
        <v>0.106706321000316</v>
      </c>
      <c r="N303" s="3">
        <v>0</v>
      </c>
      <c r="O303" s="3">
        <v>0.16702582542580599</v>
      </c>
      <c r="P303" s="3">
        <v>0.3040536093719039</v>
      </c>
      <c r="Q303" s="3">
        <v>0.42221424420197412</v>
      </c>
      <c r="R303" s="3">
        <v>0.47107943479770992</v>
      </c>
      <c r="S303" t="s">
        <v>125</v>
      </c>
      <c r="T303" s="4">
        <f t="shared" si="4"/>
        <v>135.29</v>
      </c>
    </row>
    <row r="304" spans="1:20" x14ac:dyDescent="0.2">
      <c r="A304">
        <v>326</v>
      </c>
      <c r="B304">
        <v>1</v>
      </c>
      <c r="C304" t="s">
        <v>1369</v>
      </c>
      <c r="D304" t="s">
        <v>1370</v>
      </c>
      <c r="E304" t="s">
        <v>1371</v>
      </c>
      <c r="H304" t="s">
        <v>67</v>
      </c>
      <c r="I304" t="s">
        <v>67</v>
      </c>
      <c r="J304" t="s">
        <v>34</v>
      </c>
      <c r="K304" t="s">
        <v>1372</v>
      </c>
      <c r="L304" s="2">
        <v>1149852.236069005</v>
      </c>
      <c r="M304" s="3">
        <v>0.95608481280374502</v>
      </c>
      <c r="N304" s="3">
        <v>0</v>
      </c>
      <c r="O304" s="3">
        <v>2.358306588718833E-2</v>
      </c>
      <c r="P304" s="3">
        <v>0</v>
      </c>
      <c r="Q304" s="3">
        <v>2.033212130906659E-2</v>
      </c>
      <c r="R304" s="3">
        <v>2.358306588718833E-2</v>
      </c>
      <c r="S304" t="s">
        <v>28</v>
      </c>
      <c r="T304" s="4">
        <f t="shared" si="4"/>
        <v>100.33</v>
      </c>
    </row>
    <row r="305" spans="1:20" x14ac:dyDescent="0.2">
      <c r="A305">
        <v>327</v>
      </c>
      <c r="B305">
        <v>1</v>
      </c>
      <c r="C305" t="s">
        <v>1373</v>
      </c>
      <c r="D305" t="s">
        <v>1374</v>
      </c>
      <c r="E305" t="s">
        <v>1375</v>
      </c>
      <c r="H305" t="s">
        <v>336</v>
      </c>
      <c r="I305" t="s">
        <v>336</v>
      </c>
      <c r="J305" t="s">
        <v>34</v>
      </c>
      <c r="K305" t="s">
        <v>155</v>
      </c>
      <c r="L305" s="2">
        <v>1149852.236069005</v>
      </c>
      <c r="M305" s="3">
        <v>0</v>
      </c>
      <c r="N305" s="3">
        <v>0</v>
      </c>
      <c r="O305" s="3">
        <v>0.29070671464690151</v>
      </c>
      <c r="P305" s="3">
        <v>0.47307237273407732</v>
      </c>
      <c r="Q305" s="3">
        <v>0.23622091261902109</v>
      </c>
      <c r="R305" s="3">
        <v>0.76377908738097888</v>
      </c>
      <c r="S305" t="s">
        <v>44</v>
      </c>
      <c r="T305" s="4">
        <f t="shared" si="4"/>
        <v>200.06</v>
      </c>
    </row>
    <row r="306" spans="1:20" x14ac:dyDescent="0.2">
      <c r="A306">
        <v>328</v>
      </c>
      <c r="B306">
        <v>1</v>
      </c>
      <c r="C306" t="s">
        <v>1376</v>
      </c>
      <c r="D306" t="s">
        <v>1377</v>
      </c>
      <c r="E306" t="s">
        <v>1078</v>
      </c>
      <c r="H306" t="s">
        <v>67</v>
      </c>
      <c r="I306" t="s">
        <v>67</v>
      </c>
      <c r="J306" t="s">
        <v>26</v>
      </c>
      <c r="K306" t="s">
        <v>210</v>
      </c>
      <c r="L306" s="2">
        <v>1149852.236069005</v>
      </c>
      <c r="M306" s="3">
        <v>8.5317608925428515E-2</v>
      </c>
      <c r="N306" s="3">
        <v>0</v>
      </c>
      <c r="O306" s="3">
        <v>0.20222962076156031</v>
      </c>
      <c r="P306" s="3">
        <v>0.39730305348750489</v>
      </c>
      <c r="Q306" s="3">
        <v>0.31514971682550619</v>
      </c>
      <c r="R306" s="3">
        <v>0.5995326742490652</v>
      </c>
      <c r="S306" t="s">
        <v>125</v>
      </c>
      <c r="T306" s="4">
        <f t="shared" si="4"/>
        <v>168.17</v>
      </c>
    </row>
    <row r="307" spans="1:20" x14ac:dyDescent="0.2">
      <c r="A307">
        <v>329</v>
      </c>
      <c r="B307">
        <v>2</v>
      </c>
      <c r="C307" t="s">
        <v>1378</v>
      </c>
      <c r="D307" t="s">
        <v>1379</v>
      </c>
      <c r="E307" t="s">
        <v>1380</v>
      </c>
      <c r="H307" t="s">
        <v>67</v>
      </c>
      <c r="I307" t="s">
        <v>67</v>
      </c>
      <c r="J307" t="s">
        <v>26</v>
      </c>
      <c r="K307" t="s">
        <v>56</v>
      </c>
      <c r="L307" s="2">
        <v>2299704.47213801</v>
      </c>
      <c r="M307" s="3">
        <v>0.50949687733978566</v>
      </c>
      <c r="N307" s="3">
        <v>0</v>
      </c>
      <c r="O307" s="3">
        <v>7.6928539990538114E-2</v>
      </c>
      <c r="P307" s="3">
        <v>1.486001536470411E-2</v>
      </c>
      <c r="Q307" s="3">
        <v>0.39871456730497201</v>
      </c>
      <c r="R307" s="3">
        <v>9.1788555355242218E-2</v>
      </c>
      <c r="S307" t="s">
        <v>28</v>
      </c>
      <c r="T307" s="4">
        <f t="shared" si="4"/>
        <v>70.790000000000006</v>
      </c>
    </row>
    <row r="308" spans="1:20" x14ac:dyDescent="0.2">
      <c r="A308">
        <v>330</v>
      </c>
      <c r="B308">
        <v>1</v>
      </c>
      <c r="C308" t="s">
        <v>1381</v>
      </c>
      <c r="D308" t="s">
        <v>1382</v>
      </c>
      <c r="E308" t="s">
        <v>1383</v>
      </c>
      <c r="H308" t="s">
        <v>67</v>
      </c>
      <c r="I308" t="s">
        <v>67</v>
      </c>
      <c r="J308" t="s">
        <v>26</v>
      </c>
      <c r="K308" t="s">
        <v>155</v>
      </c>
      <c r="L308" s="2">
        <v>1149852.236069005</v>
      </c>
      <c r="M308" s="3">
        <v>5.6941207455014943E-2</v>
      </c>
      <c r="N308" s="3">
        <v>0</v>
      </c>
      <c r="O308" s="3">
        <v>0.23298092383190139</v>
      </c>
      <c r="P308" s="3">
        <v>0.4938126005168299</v>
      </c>
      <c r="Q308" s="3">
        <v>0.2162652681962538</v>
      </c>
      <c r="R308" s="3">
        <v>0.72679352434873135</v>
      </c>
      <c r="S308" t="s">
        <v>44</v>
      </c>
      <c r="T308" s="4">
        <f t="shared" si="4"/>
        <v>200.43</v>
      </c>
    </row>
    <row r="309" spans="1:20" x14ac:dyDescent="0.2">
      <c r="A309">
        <v>331</v>
      </c>
      <c r="B309">
        <v>1</v>
      </c>
      <c r="C309" t="s">
        <v>1384</v>
      </c>
      <c r="D309" t="s">
        <v>1385</v>
      </c>
      <c r="E309" t="s">
        <v>1386</v>
      </c>
      <c r="F309" t="s">
        <v>1387</v>
      </c>
      <c r="H309" t="s">
        <v>260</v>
      </c>
      <c r="I309" t="s">
        <v>260</v>
      </c>
      <c r="J309" t="s">
        <v>34</v>
      </c>
      <c r="K309" t="s">
        <v>35</v>
      </c>
      <c r="L309" s="2">
        <v>1149852.236069005</v>
      </c>
      <c r="M309" s="3">
        <v>0.1865792914798132</v>
      </c>
      <c r="N309" s="3">
        <v>0</v>
      </c>
      <c r="O309" s="3">
        <v>0.1310053988229036</v>
      </c>
      <c r="P309" s="3">
        <v>0.28442961565221297</v>
      </c>
      <c r="Q309" s="3">
        <v>0.39798569404507023</v>
      </c>
      <c r="R309" s="3">
        <v>0.41543501447511649</v>
      </c>
      <c r="S309" t="s">
        <v>125</v>
      </c>
      <c r="T309" s="4">
        <f t="shared" si="4"/>
        <v>130.19</v>
      </c>
    </row>
    <row r="310" spans="1:20" x14ac:dyDescent="0.2">
      <c r="A310">
        <v>332</v>
      </c>
      <c r="B310">
        <v>1</v>
      </c>
      <c r="C310" t="s">
        <v>1388</v>
      </c>
      <c r="D310" t="s">
        <v>1389</v>
      </c>
      <c r="E310" t="s">
        <v>1390</v>
      </c>
      <c r="F310" t="s">
        <v>1391</v>
      </c>
      <c r="G310" t="s">
        <v>1392</v>
      </c>
      <c r="H310" t="s">
        <v>25</v>
      </c>
      <c r="I310" t="s">
        <v>25</v>
      </c>
      <c r="J310" t="s">
        <v>92</v>
      </c>
      <c r="K310" t="s">
        <v>363</v>
      </c>
      <c r="L310" s="2">
        <v>1149852.236069005</v>
      </c>
      <c r="M310" s="3">
        <v>0.1519955618675097</v>
      </c>
      <c r="N310" s="3">
        <v>0</v>
      </c>
      <c r="O310" s="3">
        <v>0.14194471386356361</v>
      </c>
      <c r="P310" s="3">
        <v>0.37798331217996428</v>
      </c>
      <c r="Q310" s="3">
        <v>0.32807641208896238</v>
      </c>
      <c r="R310" s="3">
        <v>0.51992802604352795</v>
      </c>
      <c r="S310" t="s">
        <v>125</v>
      </c>
      <c r="T310" s="4">
        <f t="shared" si="4"/>
        <v>156.97999999999999</v>
      </c>
    </row>
    <row r="311" spans="1:20" x14ac:dyDescent="0.2">
      <c r="A311">
        <v>333</v>
      </c>
      <c r="B311">
        <v>1</v>
      </c>
      <c r="C311" t="s">
        <v>1393</v>
      </c>
      <c r="D311" t="s">
        <v>1394</v>
      </c>
      <c r="E311" t="s">
        <v>1395</v>
      </c>
      <c r="F311" t="s">
        <v>1396</v>
      </c>
      <c r="G311" t="s">
        <v>1397</v>
      </c>
      <c r="H311" t="s">
        <v>25</v>
      </c>
      <c r="I311" t="s">
        <v>25</v>
      </c>
      <c r="J311" t="s">
        <v>34</v>
      </c>
      <c r="K311" t="s">
        <v>27</v>
      </c>
      <c r="L311" s="2">
        <v>1149852.236069005</v>
      </c>
      <c r="M311" s="3">
        <v>0.35130292279171682</v>
      </c>
      <c r="N311" s="3">
        <v>0</v>
      </c>
      <c r="O311" s="3">
        <v>8.7874286084834663E-2</v>
      </c>
      <c r="P311" s="3">
        <v>4.0427603125539668E-2</v>
      </c>
      <c r="Q311" s="3">
        <v>0.52039518799790896</v>
      </c>
      <c r="R311" s="3">
        <v>0.1283018892103743</v>
      </c>
      <c r="S311" t="s">
        <v>36</v>
      </c>
      <c r="T311" s="4">
        <f t="shared" si="4"/>
        <v>64.83</v>
      </c>
    </row>
    <row r="312" spans="1:20" x14ac:dyDescent="0.2">
      <c r="A312">
        <v>334</v>
      </c>
      <c r="B312">
        <v>1</v>
      </c>
      <c r="C312" t="s">
        <v>1398</v>
      </c>
      <c r="D312" t="s">
        <v>1399</v>
      </c>
      <c r="E312" t="s">
        <v>1400</v>
      </c>
      <c r="H312" t="s">
        <v>25</v>
      </c>
      <c r="I312" t="s">
        <v>25</v>
      </c>
      <c r="J312" t="s">
        <v>34</v>
      </c>
      <c r="K312" t="s">
        <v>112</v>
      </c>
      <c r="L312" s="2">
        <v>1149852.236069005</v>
      </c>
      <c r="M312" s="3">
        <v>5.5321304388170407E-2</v>
      </c>
      <c r="N312" s="3">
        <v>0</v>
      </c>
      <c r="O312" s="3">
        <v>0.1173641344523266</v>
      </c>
      <c r="P312" s="3">
        <v>2.06842546906588E-2</v>
      </c>
      <c r="Q312" s="3">
        <v>0.80663030646884426</v>
      </c>
      <c r="R312" s="3">
        <v>0.13804838914298539</v>
      </c>
      <c r="S312" t="s">
        <v>36</v>
      </c>
      <c r="T312" s="4">
        <f t="shared" si="4"/>
        <v>35.21</v>
      </c>
    </row>
    <row r="313" spans="1:20" x14ac:dyDescent="0.2">
      <c r="A313">
        <v>335</v>
      </c>
      <c r="B313">
        <v>2</v>
      </c>
      <c r="C313" t="s">
        <v>1401</v>
      </c>
      <c r="D313" t="s">
        <v>1402</v>
      </c>
      <c r="E313" t="s">
        <v>1019</v>
      </c>
      <c r="H313" t="s">
        <v>67</v>
      </c>
      <c r="I313" t="s">
        <v>67</v>
      </c>
      <c r="J313" t="s">
        <v>34</v>
      </c>
      <c r="K313" t="s">
        <v>161</v>
      </c>
      <c r="L313" s="2">
        <v>2299704.47213801</v>
      </c>
      <c r="M313" s="3">
        <v>9.9538456729865582E-2</v>
      </c>
      <c r="N313" s="3">
        <v>0</v>
      </c>
      <c r="O313" s="3">
        <v>0.24969107246448821</v>
      </c>
      <c r="P313" s="3">
        <v>0.47396705663322652</v>
      </c>
      <c r="Q313" s="3">
        <v>0.17680341417241949</v>
      </c>
      <c r="R313" s="3">
        <v>0.72365812909771465</v>
      </c>
      <c r="S313" t="s">
        <v>44</v>
      </c>
      <c r="T313" s="4">
        <f t="shared" si="4"/>
        <v>202.08</v>
      </c>
    </row>
    <row r="314" spans="1:20" x14ac:dyDescent="0.2">
      <c r="A314">
        <v>336</v>
      </c>
      <c r="B314">
        <v>1</v>
      </c>
      <c r="C314" t="s">
        <v>1403</v>
      </c>
      <c r="D314" t="s">
        <v>1404</v>
      </c>
      <c r="E314" t="s">
        <v>1087</v>
      </c>
      <c r="F314" t="s">
        <v>1405</v>
      </c>
      <c r="G314" t="s">
        <v>1406</v>
      </c>
      <c r="H314" t="s">
        <v>67</v>
      </c>
      <c r="I314" t="s">
        <v>67</v>
      </c>
      <c r="J314" t="s">
        <v>26</v>
      </c>
      <c r="K314" t="s">
        <v>540</v>
      </c>
      <c r="L314" s="2">
        <v>1149852.236069005</v>
      </c>
      <c r="M314" s="3">
        <v>0</v>
      </c>
      <c r="N314" s="3">
        <v>0</v>
      </c>
      <c r="O314" s="3">
        <v>7.4175986763664908E-2</v>
      </c>
      <c r="P314" s="3">
        <v>0</v>
      </c>
      <c r="Q314" s="3">
        <v>0.92582401323633512</v>
      </c>
      <c r="R314" s="3">
        <v>7.4175986763664908E-2</v>
      </c>
      <c r="S314" t="s">
        <v>28</v>
      </c>
      <c r="T314" s="4">
        <f t="shared" si="4"/>
        <v>14.84</v>
      </c>
    </row>
    <row r="315" spans="1:20" x14ac:dyDescent="0.2">
      <c r="A315">
        <v>337</v>
      </c>
      <c r="B315">
        <v>1</v>
      </c>
      <c r="C315" t="s">
        <v>1407</v>
      </c>
      <c r="D315" t="s">
        <v>1408</v>
      </c>
      <c r="E315" t="s">
        <v>1087</v>
      </c>
      <c r="F315" t="s">
        <v>991</v>
      </c>
      <c r="G315" t="s">
        <v>1409</v>
      </c>
      <c r="H315" t="s">
        <v>25</v>
      </c>
      <c r="I315" t="s">
        <v>25</v>
      </c>
      <c r="J315" t="s">
        <v>92</v>
      </c>
      <c r="K315" t="s">
        <v>210</v>
      </c>
      <c r="L315" s="2">
        <v>1149852.236069005</v>
      </c>
      <c r="M315" s="3">
        <v>0.33986450343005931</v>
      </c>
      <c r="N315" s="3">
        <v>0</v>
      </c>
      <c r="O315" s="3">
        <v>4.7263735591581438E-2</v>
      </c>
      <c r="P315" s="3">
        <v>0</v>
      </c>
      <c r="Q315" s="3">
        <v>0.61287176097835938</v>
      </c>
      <c r="R315" s="3">
        <v>4.7263735591581438E-2</v>
      </c>
      <c r="S315" t="s">
        <v>28</v>
      </c>
      <c r="T315" s="4">
        <f t="shared" si="4"/>
        <v>43.44</v>
      </c>
    </row>
    <row r="316" spans="1:20" x14ac:dyDescent="0.2">
      <c r="A316">
        <v>338</v>
      </c>
      <c r="B316">
        <v>2</v>
      </c>
      <c r="C316" t="s">
        <v>1410</v>
      </c>
      <c r="D316" t="s">
        <v>1411</v>
      </c>
      <c r="E316" t="s">
        <v>1412</v>
      </c>
      <c r="F316" t="s">
        <v>1413</v>
      </c>
      <c r="G316" t="s">
        <v>1414</v>
      </c>
      <c r="H316" t="s">
        <v>67</v>
      </c>
      <c r="I316" t="s">
        <v>67</v>
      </c>
      <c r="J316" t="s">
        <v>92</v>
      </c>
      <c r="K316" t="s">
        <v>204</v>
      </c>
      <c r="L316" s="2">
        <v>2299704.47213801</v>
      </c>
      <c r="M316" s="3">
        <v>0.2428612419753314</v>
      </c>
      <c r="N316" s="3">
        <v>0</v>
      </c>
      <c r="O316" s="3">
        <v>0.19549918579342551</v>
      </c>
      <c r="P316" s="3">
        <v>0.26143430268492718</v>
      </c>
      <c r="Q316" s="3">
        <v>0.30020526954631599</v>
      </c>
      <c r="R316" s="3">
        <v>0.45693348847835269</v>
      </c>
      <c r="S316" t="s">
        <v>125</v>
      </c>
      <c r="T316" s="4">
        <f t="shared" si="4"/>
        <v>141.82</v>
      </c>
    </row>
    <row r="317" spans="1:20" x14ac:dyDescent="0.2">
      <c r="A317">
        <v>339</v>
      </c>
      <c r="B317">
        <v>1</v>
      </c>
      <c r="C317" t="s">
        <v>1415</v>
      </c>
      <c r="D317" t="s">
        <v>1416</v>
      </c>
      <c r="E317" t="s">
        <v>1087</v>
      </c>
      <c r="F317" t="s">
        <v>1417</v>
      </c>
      <c r="G317" t="s">
        <v>1418</v>
      </c>
      <c r="H317" t="s">
        <v>25</v>
      </c>
      <c r="I317" t="s">
        <v>25</v>
      </c>
      <c r="J317" t="s">
        <v>26</v>
      </c>
      <c r="K317" t="s">
        <v>540</v>
      </c>
      <c r="L317" s="2">
        <v>1149852.236069005</v>
      </c>
      <c r="M317" s="3">
        <v>0.97760746409107957</v>
      </c>
      <c r="N317" s="3">
        <v>0</v>
      </c>
      <c r="O317" s="3">
        <v>1.337801460462407E-2</v>
      </c>
      <c r="P317" s="3">
        <v>9.126307782114033E-4</v>
      </c>
      <c r="Q317" s="3">
        <v>8.1018905260850094E-3</v>
      </c>
      <c r="R317" s="3">
        <v>1.4290645382835469E-2</v>
      </c>
      <c r="S317" t="s">
        <v>28</v>
      </c>
      <c r="T317" s="4">
        <f t="shared" si="4"/>
        <v>100.71</v>
      </c>
    </row>
    <row r="318" spans="1:20" x14ac:dyDescent="0.2">
      <c r="A318">
        <v>340</v>
      </c>
      <c r="B318">
        <v>1</v>
      </c>
      <c r="C318" t="s">
        <v>1419</v>
      </c>
      <c r="D318" t="s">
        <v>1420</v>
      </c>
      <c r="E318" t="s">
        <v>1421</v>
      </c>
      <c r="F318" t="s">
        <v>1422</v>
      </c>
      <c r="G318" t="s">
        <v>1423</v>
      </c>
      <c r="H318" t="s">
        <v>67</v>
      </c>
      <c r="I318" t="s">
        <v>67</v>
      </c>
      <c r="J318" t="s">
        <v>34</v>
      </c>
      <c r="K318" t="s">
        <v>644</v>
      </c>
      <c r="L318" s="2">
        <v>1149852.236069005</v>
      </c>
      <c r="M318" s="3">
        <v>0</v>
      </c>
      <c r="N318" s="3">
        <v>0</v>
      </c>
      <c r="O318" s="3">
        <v>4.4832228770189719E-2</v>
      </c>
      <c r="P318" s="3">
        <v>0</v>
      </c>
      <c r="Q318" s="3">
        <v>0.95516777122981045</v>
      </c>
      <c r="R318" s="3">
        <v>4.4832228770189719E-2</v>
      </c>
      <c r="S318" t="s">
        <v>28</v>
      </c>
      <c r="T318" s="4">
        <f t="shared" si="4"/>
        <v>8.9700000000000006</v>
      </c>
    </row>
    <row r="319" spans="1:20" x14ac:dyDescent="0.2">
      <c r="A319">
        <v>342</v>
      </c>
      <c r="B319">
        <v>1</v>
      </c>
      <c r="C319" t="s">
        <v>1424</v>
      </c>
      <c r="D319" t="s">
        <v>1425</v>
      </c>
      <c r="E319" t="s">
        <v>96</v>
      </c>
      <c r="H319" t="s">
        <v>67</v>
      </c>
      <c r="I319" t="s">
        <v>67</v>
      </c>
      <c r="J319" t="s">
        <v>26</v>
      </c>
      <c r="K319" t="s">
        <v>650</v>
      </c>
      <c r="L319" s="2">
        <v>1149852.236069005</v>
      </c>
      <c r="M319" s="3">
        <v>0.39363444533037201</v>
      </c>
      <c r="N319" s="3">
        <v>0</v>
      </c>
      <c r="O319" s="3">
        <v>8.5663931072142402E-2</v>
      </c>
      <c r="P319" s="3">
        <v>8.2260044303441457E-2</v>
      </c>
      <c r="Q319" s="3">
        <v>0.43844157929404409</v>
      </c>
      <c r="R319" s="3">
        <v>0.16792397537558379</v>
      </c>
      <c r="S319" t="s">
        <v>36</v>
      </c>
      <c r="T319" s="4">
        <f t="shared" si="4"/>
        <v>81.17</v>
      </c>
    </row>
    <row r="320" spans="1:20" x14ac:dyDescent="0.2">
      <c r="A320">
        <v>343</v>
      </c>
      <c r="B320">
        <v>1</v>
      </c>
      <c r="C320" t="s">
        <v>1426</v>
      </c>
      <c r="D320" t="s">
        <v>1427</v>
      </c>
      <c r="E320" t="s">
        <v>59</v>
      </c>
      <c r="H320" t="s">
        <v>67</v>
      </c>
      <c r="I320" t="s">
        <v>67</v>
      </c>
      <c r="J320" t="s">
        <v>26</v>
      </c>
      <c r="K320" t="s">
        <v>56</v>
      </c>
      <c r="L320" s="2">
        <v>1149852.236069005</v>
      </c>
      <c r="M320" s="3">
        <v>0.47882291331951482</v>
      </c>
      <c r="N320" s="3">
        <v>0</v>
      </c>
      <c r="O320" s="3">
        <v>0.1809542537598974</v>
      </c>
      <c r="P320" s="3">
        <v>0.21483031114780751</v>
      </c>
      <c r="Q320" s="3">
        <v>0.1253925217727804</v>
      </c>
      <c r="R320" s="3">
        <v>0.39578456490770492</v>
      </c>
      <c r="S320" t="s">
        <v>69</v>
      </c>
      <c r="T320" s="4">
        <f t="shared" si="4"/>
        <v>148.52000000000001</v>
      </c>
    </row>
    <row r="321" spans="1:20" x14ac:dyDescent="0.2">
      <c r="A321">
        <v>344</v>
      </c>
      <c r="B321">
        <v>1</v>
      </c>
      <c r="C321" t="s">
        <v>1428</v>
      </c>
      <c r="D321" t="s">
        <v>1429</v>
      </c>
      <c r="E321" t="s">
        <v>1430</v>
      </c>
      <c r="F321" t="s">
        <v>410</v>
      </c>
      <c r="G321" t="s">
        <v>411</v>
      </c>
      <c r="H321" t="s">
        <v>67</v>
      </c>
      <c r="I321" t="s">
        <v>67</v>
      </c>
      <c r="J321" t="s">
        <v>92</v>
      </c>
      <c r="K321" t="s">
        <v>230</v>
      </c>
      <c r="L321" s="2">
        <v>1149852.236069005</v>
      </c>
      <c r="M321" s="3">
        <v>0.41180320498524098</v>
      </c>
      <c r="N321" s="3">
        <v>0</v>
      </c>
      <c r="O321" s="3">
        <v>0.19263856983773109</v>
      </c>
      <c r="P321" s="3">
        <v>0.16333852948367461</v>
      </c>
      <c r="Q321" s="3">
        <v>0.2322196956933533</v>
      </c>
      <c r="R321" s="3">
        <v>0.3559770993214057</v>
      </c>
      <c r="S321" t="s">
        <v>69</v>
      </c>
      <c r="T321" s="4">
        <f t="shared" si="4"/>
        <v>128.71</v>
      </c>
    </row>
    <row r="322" spans="1:20" x14ac:dyDescent="0.2">
      <c r="A322">
        <v>345</v>
      </c>
      <c r="B322">
        <v>1</v>
      </c>
      <c r="C322" t="s">
        <v>1431</v>
      </c>
      <c r="D322" t="s">
        <v>1432</v>
      </c>
      <c r="E322" t="s">
        <v>1433</v>
      </c>
      <c r="F322" t="s">
        <v>171</v>
      </c>
      <c r="G322" t="s">
        <v>172</v>
      </c>
      <c r="H322" t="s">
        <v>25</v>
      </c>
      <c r="I322" t="s">
        <v>25</v>
      </c>
      <c r="J322" t="s">
        <v>26</v>
      </c>
      <c r="K322" t="s">
        <v>56</v>
      </c>
      <c r="L322" s="2">
        <v>1149852.236069005</v>
      </c>
      <c r="M322" s="3">
        <v>0.32192754689239428</v>
      </c>
      <c r="N322" s="3">
        <v>0</v>
      </c>
      <c r="O322" s="3">
        <v>3.0848192317850871E-2</v>
      </c>
      <c r="P322" s="3">
        <v>0</v>
      </c>
      <c r="Q322" s="3">
        <v>0.64722426078975481</v>
      </c>
      <c r="R322" s="3">
        <v>3.0848192317850871E-2</v>
      </c>
      <c r="S322" t="s">
        <v>28</v>
      </c>
      <c r="T322" s="4">
        <f t="shared" ref="T322:T385" si="5">ROUND((M322*100*1)+(O322*100*2)+(P322*100*3),2)</f>
        <v>38.36</v>
      </c>
    </row>
    <row r="323" spans="1:20" x14ac:dyDescent="0.2">
      <c r="A323">
        <v>346</v>
      </c>
      <c r="B323">
        <v>1</v>
      </c>
      <c r="C323" t="s">
        <v>1434</v>
      </c>
      <c r="D323" t="s">
        <v>1435</v>
      </c>
      <c r="E323" t="s">
        <v>1436</v>
      </c>
      <c r="F323" t="s">
        <v>1437</v>
      </c>
      <c r="G323" t="s">
        <v>1438</v>
      </c>
      <c r="H323" t="s">
        <v>25</v>
      </c>
      <c r="I323" t="s">
        <v>25</v>
      </c>
      <c r="J323" t="s">
        <v>34</v>
      </c>
      <c r="K323" t="s">
        <v>249</v>
      </c>
      <c r="L323" s="2">
        <v>1149852.2360690541</v>
      </c>
      <c r="M323" s="3">
        <v>9.2169700489732748E-3</v>
      </c>
      <c r="N323" s="3">
        <v>0</v>
      </c>
      <c r="O323" s="3">
        <v>0.36680357372845851</v>
      </c>
      <c r="P323" s="3">
        <v>0.30448905517031699</v>
      </c>
      <c r="Q323" s="3">
        <v>0.31949040105225118</v>
      </c>
      <c r="R323" s="3">
        <v>0.6712926288987755</v>
      </c>
      <c r="S323" t="s">
        <v>44</v>
      </c>
      <c r="T323" s="4">
        <f t="shared" si="5"/>
        <v>165.63</v>
      </c>
    </row>
    <row r="324" spans="1:20" x14ac:dyDescent="0.2">
      <c r="A324">
        <v>347</v>
      </c>
      <c r="B324">
        <v>5</v>
      </c>
      <c r="C324" t="s">
        <v>1439</v>
      </c>
      <c r="D324" t="s">
        <v>1440</v>
      </c>
      <c r="E324" t="s">
        <v>1441</v>
      </c>
      <c r="F324" t="s">
        <v>1442</v>
      </c>
      <c r="G324" t="s">
        <v>1443</v>
      </c>
      <c r="H324" t="s">
        <v>67</v>
      </c>
      <c r="I324" t="s">
        <v>67</v>
      </c>
      <c r="J324" t="s">
        <v>92</v>
      </c>
      <c r="K324" t="s">
        <v>277</v>
      </c>
      <c r="L324" s="2">
        <v>5749261.1803452708</v>
      </c>
      <c r="M324" s="3">
        <v>3.5264606864675613E-2</v>
      </c>
      <c r="N324" s="3">
        <v>0</v>
      </c>
      <c r="O324" s="3">
        <v>0.18442573256065359</v>
      </c>
      <c r="P324" s="3">
        <v>2.5074307537288169E-2</v>
      </c>
      <c r="Q324" s="3">
        <v>0.75523535303738254</v>
      </c>
      <c r="R324" s="3">
        <v>0.20950004009794171</v>
      </c>
      <c r="S324" t="s">
        <v>69</v>
      </c>
      <c r="T324" s="4">
        <f t="shared" si="5"/>
        <v>47.93</v>
      </c>
    </row>
    <row r="325" spans="1:20" x14ac:dyDescent="0.2">
      <c r="A325">
        <v>348</v>
      </c>
      <c r="B325">
        <v>1</v>
      </c>
      <c r="C325" t="s">
        <v>1444</v>
      </c>
      <c r="D325" t="s">
        <v>1445</v>
      </c>
      <c r="E325" t="s">
        <v>1446</v>
      </c>
      <c r="F325" t="s">
        <v>1447</v>
      </c>
      <c r="G325" t="s">
        <v>1448</v>
      </c>
      <c r="H325" t="s">
        <v>67</v>
      </c>
      <c r="I325" t="s">
        <v>67</v>
      </c>
      <c r="J325" t="s">
        <v>34</v>
      </c>
      <c r="K325" t="s">
        <v>230</v>
      </c>
      <c r="L325" s="2">
        <v>1149852.2360690541</v>
      </c>
      <c r="M325" s="3">
        <v>0</v>
      </c>
      <c r="N325" s="3">
        <v>0</v>
      </c>
      <c r="O325" s="3">
        <v>0.16339288650879369</v>
      </c>
      <c r="P325" s="3">
        <v>3.2223018085247168E-4</v>
      </c>
      <c r="Q325" s="3">
        <v>0.83628488331035378</v>
      </c>
      <c r="R325" s="3">
        <v>0.1637151166896462</v>
      </c>
      <c r="S325" t="s">
        <v>36</v>
      </c>
      <c r="T325" s="4">
        <f t="shared" si="5"/>
        <v>32.78</v>
      </c>
    </row>
    <row r="326" spans="1:20" x14ac:dyDescent="0.2">
      <c r="A326">
        <v>349</v>
      </c>
      <c r="B326">
        <v>1</v>
      </c>
      <c r="C326" t="s">
        <v>1449</v>
      </c>
      <c r="D326" t="s">
        <v>1450</v>
      </c>
      <c r="E326" t="s">
        <v>1451</v>
      </c>
      <c r="F326" t="s">
        <v>1452</v>
      </c>
      <c r="G326" t="s">
        <v>1453</v>
      </c>
      <c r="H326" t="s">
        <v>67</v>
      </c>
      <c r="I326" t="s">
        <v>67</v>
      </c>
      <c r="J326" t="s">
        <v>26</v>
      </c>
      <c r="K326" t="s">
        <v>626</v>
      </c>
      <c r="L326" s="2">
        <v>1149852.2360690541</v>
      </c>
      <c r="M326" s="3">
        <v>0</v>
      </c>
      <c r="N326" s="3">
        <v>4.086854802489194E-3</v>
      </c>
      <c r="O326" s="3">
        <v>0.14109934577113481</v>
      </c>
      <c r="P326" s="3">
        <v>5.5579514942339023E-2</v>
      </c>
      <c r="Q326" s="3">
        <v>0.79923428448403699</v>
      </c>
      <c r="R326" s="3">
        <v>0.19667886071347379</v>
      </c>
      <c r="S326" t="s">
        <v>36</v>
      </c>
      <c r="T326" s="4">
        <f t="shared" si="5"/>
        <v>44.89</v>
      </c>
    </row>
    <row r="327" spans="1:20" x14ac:dyDescent="0.2">
      <c r="A327">
        <v>350</v>
      </c>
      <c r="B327">
        <v>1</v>
      </c>
      <c r="C327" t="s">
        <v>1454</v>
      </c>
      <c r="D327" t="s">
        <v>1455</v>
      </c>
      <c r="E327" t="s">
        <v>682</v>
      </c>
      <c r="H327" t="s">
        <v>67</v>
      </c>
      <c r="I327" t="s">
        <v>67</v>
      </c>
      <c r="J327" t="s">
        <v>34</v>
      </c>
      <c r="K327" t="s">
        <v>904</v>
      </c>
      <c r="L327" s="2">
        <v>1149852.2360690541</v>
      </c>
      <c r="M327" s="3">
        <v>9.5622665780495527E-5</v>
      </c>
      <c r="N327" s="3">
        <v>0</v>
      </c>
      <c r="O327" s="3">
        <v>0.28445768421670092</v>
      </c>
      <c r="P327" s="3">
        <v>0.1912628923250165</v>
      </c>
      <c r="Q327" s="3">
        <v>0.52418380079250215</v>
      </c>
      <c r="R327" s="3">
        <v>0.4757205765417174</v>
      </c>
      <c r="S327" t="s">
        <v>125</v>
      </c>
      <c r="T327" s="4">
        <f t="shared" si="5"/>
        <v>114.28</v>
      </c>
    </row>
    <row r="328" spans="1:20" x14ac:dyDescent="0.2">
      <c r="A328">
        <v>352</v>
      </c>
      <c r="B328">
        <v>1</v>
      </c>
      <c r="C328" t="s">
        <v>1456</v>
      </c>
      <c r="D328" t="s">
        <v>1457</v>
      </c>
      <c r="E328" t="s">
        <v>180</v>
      </c>
      <c r="H328" t="s">
        <v>67</v>
      </c>
      <c r="I328" t="s">
        <v>67</v>
      </c>
      <c r="J328" t="s">
        <v>34</v>
      </c>
      <c r="K328" t="s">
        <v>210</v>
      </c>
      <c r="L328" s="2">
        <v>1149852.2360690541</v>
      </c>
      <c r="M328" s="3">
        <v>0.1352598596473647</v>
      </c>
      <c r="N328" s="3">
        <v>0</v>
      </c>
      <c r="O328" s="3">
        <v>0.20010179563635239</v>
      </c>
      <c r="P328" s="3">
        <v>9.0085302610720716E-2</v>
      </c>
      <c r="Q328" s="3">
        <v>0.57455304210556224</v>
      </c>
      <c r="R328" s="3">
        <v>0.29018709824707312</v>
      </c>
      <c r="S328" t="s">
        <v>69</v>
      </c>
      <c r="T328" s="4">
        <f t="shared" si="5"/>
        <v>80.569999999999993</v>
      </c>
    </row>
    <row r="329" spans="1:20" x14ac:dyDescent="0.2">
      <c r="A329">
        <v>353</v>
      </c>
      <c r="B329">
        <v>9</v>
      </c>
      <c r="C329" t="s">
        <v>1458</v>
      </c>
      <c r="D329" t="s">
        <v>1459</v>
      </c>
      <c r="E329" t="s">
        <v>612</v>
      </c>
      <c r="F329" t="s">
        <v>1460</v>
      </c>
      <c r="G329" t="s">
        <v>1461</v>
      </c>
      <c r="H329" t="s">
        <v>67</v>
      </c>
      <c r="I329" t="s">
        <v>67</v>
      </c>
      <c r="J329" t="s">
        <v>26</v>
      </c>
      <c r="K329" t="s">
        <v>68</v>
      </c>
      <c r="L329" s="2">
        <v>10348670.124621039</v>
      </c>
      <c r="M329" s="3">
        <v>0.17947135842987341</v>
      </c>
      <c r="N329" s="3">
        <v>0</v>
      </c>
      <c r="O329" s="3">
        <v>0.42266972760036092</v>
      </c>
      <c r="P329" s="3">
        <v>0.14331146594807359</v>
      </c>
      <c r="Q329" s="3">
        <v>0.25454744802169199</v>
      </c>
      <c r="R329" s="3">
        <v>0.56598119354843446</v>
      </c>
      <c r="S329" t="s">
        <v>125</v>
      </c>
      <c r="T329" s="4">
        <f t="shared" si="5"/>
        <v>145.47</v>
      </c>
    </row>
    <row r="330" spans="1:20" x14ac:dyDescent="0.2">
      <c r="A330">
        <v>354</v>
      </c>
      <c r="B330">
        <v>1</v>
      </c>
      <c r="C330" t="s">
        <v>1462</v>
      </c>
      <c r="D330" t="s">
        <v>1463</v>
      </c>
      <c r="E330" t="s">
        <v>1464</v>
      </c>
      <c r="F330" t="s">
        <v>1465</v>
      </c>
      <c r="H330" t="s">
        <v>25</v>
      </c>
      <c r="I330" t="s">
        <v>42</v>
      </c>
      <c r="J330" t="s">
        <v>26</v>
      </c>
      <c r="K330" t="s">
        <v>650</v>
      </c>
      <c r="L330" s="2">
        <v>1149852.236069005</v>
      </c>
      <c r="M330" s="3">
        <v>0</v>
      </c>
      <c r="N330" s="3">
        <v>0</v>
      </c>
      <c r="O330" s="3">
        <v>1.2370261310266121E-2</v>
      </c>
      <c r="P330" s="3">
        <v>1.7493151468991491E-3</v>
      </c>
      <c r="Q330" s="3">
        <v>0.98588042354283478</v>
      </c>
      <c r="R330" s="3">
        <v>1.4119576457165269E-2</v>
      </c>
      <c r="S330" t="s">
        <v>28</v>
      </c>
      <c r="T330" s="4">
        <f t="shared" si="5"/>
        <v>3</v>
      </c>
    </row>
    <row r="331" spans="1:20" x14ac:dyDescent="0.2">
      <c r="A331">
        <v>355</v>
      </c>
      <c r="B331">
        <v>1</v>
      </c>
      <c r="C331" t="s">
        <v>1466</v>
      </c>
      <c r="D331" t="s">
        <v>1467</v>
      </c>
      <c r="E331" t="s">
        <v>1468</v>
      </c>
      <c r="F331" t="s">
        <v>543</v>
      </c>
      <c r="G331" t="s">
        <v>544</v>
      </c>
      <c r="H331" t="s">
        <v>25</v>
      </c>
      <c r="I331" t="s">
        <v>25</v>
      </c>
      <c r="J331" t="s">
        <v>34</v>
      </c>
      <c r="K331" t="s">
        <v>1108</v>
      </c>
      <c r="L331" s="2">
        <v>1149852.2360690541</v>
      </c>
      <c r="M331" s="3">
        <v>0.57854402668032778</v>
      </c>
      <c r="N331" s="3">
        <v>0</v>
      </c>
      <c r="O331" s="3">
        <v>4.4741266233203097E-2</v>
      </c>
      <c r="P331" s="3">
        <v>8.0582530439816166E-4</v>
      </c>
      <c r="Q331" s="3">
        <v>0.37590888178207088</v>
      </c>
      <c r="R331" s="3">
        <v>4.554709153760126E-2</v>
      </c>
      <c r="S331" t="s">
        <v>28</v>
      </c>
      <c r="T331" s="4">
        <f t="shared" si="5"/>
        <v>67.040000000000006</v>
      </c>
    </row>
    <row r="332" spans="1:20" x14ac:dyDescent="0.2">
      <c r="A332">
        <v>356</v>
      </c>
      <c r="B332">
        <v>2</v>
      </c>
      <c r="C332" t="s">
        <v>1469</v>
      </c>
      <c r="D332" t="s">
        <v>1470</v>
      </c>
      <c r="E332" t="s">
        <v>1471</v>
      </c>
      <c r="F332" t="s">
        <v>1472</v>
      </c>
      <c r="G332" t="s">
        <v>1473</v>
      </c>
      <c r="H332" t="s">
        <v>67</v>
      </c>
      <c r="I332" t="s">
        <v>67</v>
      </c>
      <c r="J332" t="s">
        <v>26</v>
      </c>
      <c r="K332" t="s">
        <v>904</v>
      </c>
      <c r="L332" s="2">
        <v>1149852.2360690541</v>
      </c>
      <c r="M332" s="3">
        <v>0.34458858177044632</v>
      </c>
      <c r="N332" s="3">
        <v>0</v>
      </c>
      <c r="O332" s="3">
        <v>0.1542262068630405</v>
      </c>
      <c r="P332" s="3">
        <v>2.182580307016101E-2</v>
      </c>
      <c r="Q332" s="3">
        <v>0.47935940829635232</v>
      </c>
      <c r="R332" s="3">
        <v>0.1760520099332015</v>
      </c>
      <c r="S332" t="s">
        <v>36</v>
      </c>
      <c r="T332" s="4">
        <f t="shared" si="5"/>
        <v>71.849999999999994</v>
      </c>
    </row>
    <row r="333" spans="1:20" x14ac:dyDescent="0.2">
      <c r="A333">
        <v>357</v>
      </c>
      <c r="B333">
        <v>1</v>
      </c>
      <c r="C333" t="s">
        <v>1474</v>
      </c>
      <c r="D333" t="s">
        <v>1475</v>
      </c>
      <c r="E333" t="s">
        <v>1476</v>
      </c>
      <c r="H333" t="s">
        <v>67</v>
      </c>
      <c r="I333" t="s">
        <v>67</v>
      </c>
      <c r="J333" t="s">
        <v>26</v>
      </c>
      <c r="K333" t="s">
        <v>775</v>
      </c>
      <c r="L333" s="2">
        <v>1149852.2360690541</v>
      </c>
      <c r="M333" s="3">
        <v>0.16905340166401209</v>
      </c>
      <c r="N333" s="3">
        <v>0</v>
      </c>
      <c r="O333" s="3">
        <v>0.14912499591150699</v>
      </c>
      <c r="P333" s="3">
        <v>0.1531588548656308</v>
      </c>
      <c r="Q333" s="3">
        <v>0.52866274755885001</v>
      </c>
      <c r="R333" s="3">
        <v>0.30228385077713782</v>
      </c>
      <c r="S333" t="s">
        <v>69</v>
      </c>
      <c r="T333" s="4">
        <f t="shared" si="5"/>
        <v>92.68</v>
      </c>
    </row>
    <row r="334" spans="1:20" x14ac:dyDescent="0.2">
      <c r="A334">
        <v>358</v>
      </c>
      <c r="B334">
        <v>1</v>
      </c>
      <c r="C334" t="s">
        <v>1477</v>
      </c>
      <c r="D334" t="s">
        <v>1478</v>
      </c>
      <c r="E334" t="s">
        <v>1011</v>
      </c>
      <c r="F334" t="s">
        <v>1479</v>
      </c>
      <c r="G334" t="s">
        <v>1480</v>
      </c>
      <c r="H334" t="s">
        <v>80</v>
      </c>
      <c r="I334" t="s">
        <v>80</v>
      </c>
      <c r="J334" t="s">
        <v>26</v>
      </c>
      <c r="K334" t="s">
        <v>149</v>
      </c>
      <c r="L334" s="2">
        <v>1149852.2360690541</v>
      </c>
      <c r="M334" s="3">
        <v>1.7990468500156939E-2</v>
      </c>
      <c r="N334" s="3">
        <v>0</v>
      </c>
      <c r="O334" s="3">
        <v>0.1228358801309304</v>
      </c>
      <c r="P334" s="3">
        <v>2.5620903812128499E-3</v>
      </c>
      <c r="Q334" s="3">
        <v>0.85661156098769986</v>
      </c>
      <c r="R334" s="3">
        <v>0.12539797051214319</v>
      </c>
      <c r="S334" t="s">
        <v>36</v>
      </c>
      <c r="T334" s="4">
        <f t="shared" si="5"/>
        <v>27.13</v>
      </c>
    </row>
    <row r="335" spans="1:20" x14ac:dyDescent="0.2">
      <c r="A335">
        <v>359</v>
      </c>
      <c r="B335">
        <v>1</v>
      </c>
      <c r="C335" t="s">
        <v>1481</v>
      </c>
      <c r="D335" t="s">
        <v>1482</v>
      </c>
      <c r="E335" t="s">
        <v>1483</v>
      </c>
      <c r="F335" t="s">
        <v>1484</v>
      </c>
      <c r="G335" t="s">
        <v>1485</v>
      </c>
      <c r="H335" t="s">
        <v>67</v>
      </c>
      <c r="I335" t="s">
        <v>67</v>
      </c>
      <c r="J335" t="s">
        <v>34</v>
      </c>
      <c r="K335" t="s">
        <v>149</v>
      </c>
      <c r="L335" s="2">
        <v>1149852.2360690541</v>
      </c>
      <c r="M335" s="3">
        <v>1.537303426309606E-2</v>
      </c>
      <c r="N335" s="3">
        <v>0</v>
      </c>
      <c r="O335" s="3">
        <v>0.18886856094768481</v>
      </c>
      <c r="P335" s="3">
        <v>0.18452318864491979</v>
      </c>
      <c r="Q335" s="3">
        <v>0.61123521614429932</v>
      </c>
      <c r="R335" s="3">
        <v>0.37339174959260463</v>
      </c>
      <c r="S335" t="s">
        <v>69</v>
      </c>
      <c r="T335" s="4">
        <f t="shared" si="5"/>
        <v>94.67</v>
      </c>
    </row>
    <row r="336" spans="1:20" x14ac:dyDescent="0.2">
      <c r="A336">
        <v>360</v>
      </c>
      <c r="B336">
        <v>1</v>
      </c>
      <c r="C336" t="s">
        <v>1486</v>
      </c>
      <c r="D336" t="s">
        <v>1487</v>
      </c>
      <c r="E336" t="s">
        <v>1488</v>
      </c>
      <c r="F336" t="s">
        <v>410</v>
      </c>
      <c r="G336" t="s">
        <v>411</v>
      </c>
      <c r="H336" t="s">
        <v>25</v>
      </c>
      <c r="I336" t="s">
        <v>25</v>
      </c>
      <c r="J336" t="s">
        <v>26</v>
      </c>
      <c r="K336" t="s">
        <v>1108</v>
      </c>
      <c r="L336" s="2">
        <v>1149852.2360690541</v>
      </c>
      <c r="M336" s="3">
        <v>0.93686767456494013</v>
      </c>
      <c r="N336" s="3">
        <v>0</v>
      </c>
      <c r="O336" s="3">
        <v>6.2898961837348E-2</v>
      </c>
      <c r="P336" s="3">
        <v>1.7729811233791609E-4</v>
      </c>
      <c r="Q336" s="3">
        <v>5.606548537395728E-5</v>
      </c>
      <c r="R336" s="3">
        <v>6.3076259949685909E-2</v>
      </c>
      <c r="S336" t="s">
        <v>28</v>
      </c>
      <c r="T336" s="4">
        <f t="shared" si="5"/>
        <v>106.32</v>
      </c>
    </row>
    <row r="337" spans="1:20" x14ac:dyDescent="0.2">
      <c r="A337">
        <v>361</v>
      </c>
      <c r="B337">
        <v>1</v>
      </c>
      <c r="C337" t="s">
        <v>1489</v>
      </c>
      <c r="D337" t="s">
        <v>1490</v>
      </c>
      <c r="E337" t="s">
        <v>1488</v>
      </c>
      <c r="F337" t="s">
        <v>1491</v>
      </c>
      <c r="G337" t="s">
        <v>1492</v>
      </c>
      <c r="H337" t="s">
        <v>25</v>
      </c>
      <c r="I337" t="s">
        <v>25</v>
      </c>
      <c r="J337" t="s">
        <v>26</v>
      </c>
      <c r="K337" t="s">
        <v>1108</v>
      </c>
      <c r="L337" s="2">
        <v>1149852.2360690541</v>
      </c>
      <c r="M337" s="3">
        <v>0.79116791355174765</v>
      </c>
      <c r="N337" s="3">
        <v>0</v>
      </c>
      <c r="O337" s="3">
        <v>6.4608601734366625E-2</v>
      </c>
      <c r="P337" s="3">
        <v>1.478857547620728E-2</v>
      </c>
      <c r="Q337" s="3">
        <v>0.12943490923767839</v>
      </c>
      <c r="R337" s="3">
        <v>7.9397177210573905E-2</v>
      </c>
      <c r="S337" t="s">
        <v>28</v>
      </c>
      <c r="T337" s="4">
        <f t="shared" si="5"/>
        <v>96.48</v>
      </c>
    </row>
    <row r="338" spans="1:20" x14ac:dyDescent="0.2">
      <c r="A338">
        <v>362</v>
      </c>
      <c r="B338">
        <v>1</v>
      </c>
      <c r="C338" t="s">
        <v>1493</v>
      </c>
      <c r="D338" t="s">
        <v>1494</v>
      </c>
      <c r="E338" t="s">
        <v>1488</v>
      </c>
      <c r="F338" t="s">
        <v>1495</v>
      </c>
      <c r="G338" t="s">
        <v>1496</v>
      </c>
      <c r="H338" t="s">
        <v>25</v>
      </c>
      <c r="I338" t="s">
        <v>25</v>
      </c>
      <c r="J338" t="s">
        <v>26</v>
      </c>
      <c r="K338" t="s">
        <v>1108</v>
      </c>
      <c r="L338" s="2">
        <v>1149852.2360690541</v>
      </c>
      <c r="M338" s="3">
        <v>0.97958633272489759</v>
      </c>
      <c r="N338" s="3">
        <v>0</v>
      </c>
      <c r="O338" s="3">
        <v>2.041366727511576E-2</v>
      </c>
      <c r="P338" s="3">
        <v>0</v>
      </c>
      <c r="Q338" s="3">
        <v>0</v>
      </c>
      <c r="R338" s="3">
        <v>2.041366727511576E-2</v>
      </c>
      <c r="S338" t="s">
        <v>28</v>
      </c>
      <c r="T338" s="4">
        <f t="shared" si="5"/>
        <v>102.04</v>
      </c>
    </row>
    <row r="339" spans="1:20" x14ac:dyDescent="0.2">
      <c r="A339">
        <v>363</v>
      </c>
      <c r="B339">
        <v>1</v>
      </c>
      <c r="C339" t="s">
        <v>1497</v>
      </c>
      <c r="D339" t="s">
        <v>1498</v>
      </c>
      <c r="E339" t="s">
        <v>1488</v>
      </c>
      <c r="H339" t="s">
        <v>67</v>
      </c>
      <c r="I339" t="s">
        <v>67</v>
      </c>
      <c r="J339" t="s">
        <v>92</v>
      </c>
      <c r="K339" t="s">
        <v>155</v>
      </c>
      <c r="L339" s="2">
        <v>1149852.2360690541</v>
      </c>
      <c r="M339" s="3">
        <v>0.59409395456867287</v>
      </c>
      <c r="N339" s="3">
        <v>0</v>
      </c>
      <c r="O339" s="3">
        <v>0.20047903077607629</v>
      </c>
      <c r="P339" s="3">
        <v>0.1700541595194015</v>
      </c>
      <c r="Q339" s="3">
        <v>3.5372855135849313E-2</v>
      </c>
      <c r="R339" s="3">
        <v>0.37053319029547782</v>
      </c>
      <c r="S339" t="s">
        <v>69</v>
      </c>
      <c r="T339" s="4">
        <f t="shared" si="5"/>
        <v>150.52000000000001</v>
      </c>
    </row>
    <row r="340" spans="1:20" x14ac:dyDescent="0.2">
      <c r="A340">
        <v>364</v>
      </c>
      <c r="B340">
        <v>1</v>
      </c>
      <c r="C340" t="s">
        <v>1499</v>
      </c>
      <c r="D340" t="s">
        <v>1500</v>
      </c>
      <c r="E340" t="s">
        <v>1501</v>
      </c>
      <c r="F340" t="s">
        <v>1502</v>
      </c>
      <c r="G340" t="s">
        <v>1503</v>
      </c>
      <c r="H340" t="s">
        <v>67</v>
      </c>
      <c r="I340" t="s">
        <v>67</v>
      </c>
      <c r="J340" t="s">
        <v>92</v>
      </c>
      <c r="K340" t="s">
        <v>771</v>
      </c>
      <c r="L340" s="2">
        <v>1149852.2360690541</v>
      </c>
      <c r="M340" s="3">
        <v>0.23306519521303251</v>
      </c>
      <c r="N340" s="3">
        <v>0</v>
      </c>
      <c r="O340" s="3">
        <v>0.27234403042319599</v>
      </c>
      <c r="P340" s="3">
        <v>0.39049634439296332</v>
      </c>
      <c r="Q340" s="3">
        <v>0.1040944299708081</v>
      </c>
      <c r="R340" s="3">
        <v>0.66284037481615932</v>
      </c>
      <c r="S340" t="s">
        <v>44</v>
      </c>
      <c r="T340" s="4">
        <f t="shared" si="5"/>
        <v>194.92</v>
      </c>
    </row>
    <row r="341" spans="1:20" x14ac:dyDescent="0.2">
      <c r="A341">
        <v>365</v>
      </c>
      <c r="B341">
        <v>1</v>
      </c>
      <c r="C341" t="s">
        <v>1504</v>
      </c>
      <c r="D341" t="s">
        <v>1505</v>
      </c>
      <c r="E341" t="s">
        <v>1506</v>
      </c>
      <c r="F341" t="s">
        <v>1507</v>
      </c>
      <c r="G341" t="s">
        <v>1508</v>
      </c>
      <c r="H341" t="s">
        <v>25</v>
      </c>
      <c r="I341" t="s">
        <v>25</v>
      </c>
      <c r="J341" t="s">
        <v>26</v>
      </c>
      <c r="K341" t="s">
        <v>50</v>
      </c>
      <c r="L341" s="2">
        <v>1149852.236069005</v>
      </c>
      <c r="M341" s="3">
        <v>0</v>
      </c>
      <c r="N341" s="3">
        <v>0</v>
      </c>
      <c r="O341" s="3">
        <v>7.805339193601675E-2</v>
      </c>
      <c r="P341" s="3">
        <v>3.684435459322395E-3</v>
      </c>
      <c r="Q341" s="3">
        <v>0.91826217260466081</v>
      </c>
      <c r="R341" s="3">
        <v>8.1737827395339149E-2</v>
      </c>
      <c r="S341" t="s">
        <v>28</v>
      </c>
      <c r="T341" s="4">
        <f t="shared" si="5"/>
        <v>16.72</v>
      </c>
    </row>
    <row r="342" spans="1:20" x14ac:dyDescent="0.2">
      <c r="A342">
        <v>366</v>
      </c>
      <c r="B342">
        <v>1</v>
      </c>
      <c r="C342" t="s">
        <v>1509</v>
      </c>
      <c r="D342" t="s">
        <v>1510</v>
      </c>
      <c r="E342" t="s">
        <v>1221</v>
      </c>
      <c r="F342" t="s">
        <v>1511</v>
      </c>
      <c r="G342" t="s">
        <v>1512</v>
      </c>
      <c r="H342" t="s">
        <v>25</v>
      </c>
      <c r="I342" t="s">
        <v>25</v>
      </c>
      <c r="J342" t="s">
        <v>26</v>
      </c>
      <c r="K342" t="s">
        <v>50</v>
      </c>
      <c r="L342" s="2">
        <v>1149852.236069005</v>
      </c>
      <c r="M342" s="3">
        <v>9.9681834205325129E-2</v>
      </c>
      <c r="N342" s="3">
        <v>0</v>
      </c>
      <c r="O342" s="3">
        <v>9.3982788279310239E-2</v>
      </c>
      <c r="P342" s="3">
        <v>2.161549081799817E-2</v>
      </c>
      <c r="Q342" s="3">
        <v>0.78471988669736648</v>
      </c>
      <c r="R342" s="3">
        <v>0.1155982790973084</v>
      </c>
      <c r="S342" t="s">
        <v>36</v>
      </c>
      <c r="T342" s="4">
        <f t="shared" si="5"/>
        <v>35.25</v>
      </c>
    </row>
    <row r="343" spans="1:20" x14ac:dyDescent="0.2">
      <c r="A343">
        <v>367</v>
      </c>
      <c r="B343">
        <v>1</v>
      </c>
      <c r="C343" t="s">
        <v>1513</v>
      </c>
      <c r="D343" t="s">
        <v>1514</v>
      </c>
      <c r="E343" t="s">
        <v>1515</v>
      </c>
      <c r="H343" t="s">
        <v>67</v>
      </c>
      <c r="I343" t="s">
        <v>67</v>
      </c>
      <c r="J343" t="s">
        <v>26</v>
      </c>
      <c r="K343" t="s">
        <v>679</v>
      </c>
      <c r="L343" s="2">
        <v>1149852.2360690541</v>
      </c>
      <c r="M343" s="3">
        <v>8.9265070982558786E-2</v>
      </c>
      <c r="N343" s="3">
        <v>0</v>
      </c>
      <c r="O343" s="3">
        <v>0.20233872870131139</v>
      </c>
      <c r="P343" s="3">
        <v>0.22751008387554739</v>
      </c>
      <c r="Q343" s="3">
        <v>0.48088611644058238</v>
      </c>
      <c r="R343" s="3">
        <v>0.42984881257685881</v>
      </c>
      <c r="S343" t="s">
        <v>125</v>
      </c>
      <c r="T343" s="4">
        <f t="shared" si="5"/>
        <v>117.65</v>
      </c>
    </row>
    <row r="344" spans="1:20" x14ac:dyDescent="0.2">
      <c r="A344">
        <v>368</v>
      </c>
      <c r="B344">
        <v>2</v>
      </c>
      <c r="C344" t="s">
        <v>1516</v>
      </c>
      <c r="D344" t="s">
        <v>1517</v>
      </c>
      <c r="E344" t="s">
        <v>1518</v>
      </c>
      <c r="F344" t="s">
        <v>1519</v>
      </c>
      <c r="G344" t="s">
        <v>1093</v>
      </c>
      <c r="H344" t="s">
        <v>25</v>
      </c>
      <c r="I344" t="s">
        <v>25</v>
      </c>
      <c r="J344" t="s">
        <v>26</v>
      </c>
      <c r="K344" t="s">
        <v>155</v>
      </c>
      <c r="L344" s="2">
        <v>2299704.4721381082</v>
      </c>
      <c r="M344" s="3">
        <v>0.8615893499150995</v>
      </c>
      <c r="N344" s="3">
        <v>0</v>
      </c>
      <c r="O344" s="3">
        <v>0.1040554088347934</v>
      </c>
      <c r="P344" s="3">
        <v>0</v>
      </c>
      <c r="Q344" s="3">
        <v>3.4355241250107138E-2</v>
      </c>
      <c r="R344" s="3">
        <v>0.1040554088347934</v>
      </c>
      <c r="S344" t="s">
        <v>36</v>
      </c>
      <c r="T344" s="4">
        <f t="shared" si="5"/>
        <v>106.97</v>
      </c>
    </row>
    <row r="345" spans="1:20" x14ac:dyDescent="0.2">
      <c r="A345">
        <v>369</v>
      </c>
      <c r="B345">
        <v>1</v>
      </c>
      <c r="C345" t="s">
        <v>1520</v>
      </c>
      <c r="D345" t="s">
        <v>1521</v>
      </c>
      <c r="E345" t="s">
        <v>1518</v>
      </c>
      <c r="F345" t="s">
        <v>55</v>
      </c>
      <c r="H345" t="s">
        <v>25</v>
      </c>
      <c r="I345" t="s">
        <v>25</v>
      </c>
      <c r="J345" t="s">
        <v>26</v>
      </c>
      <c r="K345" t="s">
        <v>1108</v>
      </c>
      <c r="L345" s="2">
        <v>1149852.2360690541</v>
      </c>
      <c r="M345" s="3">
        <v>0.8996080849324064</v>
      </c>
      <c r="N345" s="3">
        <v>0</v>
      </c>
      <c r="O345" s="3">
        <v>9.7691612928774652E-2</v>
      </c>
      <c r="P345" s="3">
        <v>1.1780669344052281E-3</v>
      </c>
      <c r="Q345" s="3">
        <v>1.522235204413747E-3</v>
      </c>
      <c r="R345" s="3">
        <v>9.8869679863179877E-2</v>
      </c>
      <c r="S345" t="s">
        <v>28</v>
      </c>
      <c r="T345" s="4">
        <f t="shared" si="5"/>
        <v>109.85</v>
      </c>
    </row>
    <row r="346" spans="1:20" x14ac:dyDescent="0.2">
      <c r="A346">
        <v>370</v>
      </c>
      <c r="B346">
        <v>1</v>
      </c>
      <c r="C346" t="s">
        <v>1522</v>
      </c>
      <c r="D346" t="s">
        <v>1523</v>
      </c>
      <c r="E346" t="s">
        <v>1518</v>
      </c>
      <c r="F346" t="s">
        <v>1524</v>
      </c>
      <c r="G346" t="s">
        <v>1525</v>
      </c>
      <c r="H346" t="s">
        <v>25</v>
      </c>
      <c r="I346" t="s">
        <v>25</v>
      </c>
      <c r="J346" t="s">
        <v>26</v>
      </c>
      <c r="K346" t="s">
        <v>1108</v>
      </c>
      <c r="L346" s="2">
        <v>1149852.2360690541</v>
      </c>
      <c r="M346" s="3">
        <v>0.80375700401241557</v>
      </c>
      <c r="N346" s="3">
        <v>0</v>
      </c>
      <c r="O346" s="3">
        <v>0.11567121845559319</v>
      </c>
      <c r="P346" s="3">
        <v>1.6939453346926599E-2</v>
      </c>
      <c r="Q346" s="3">
        <v>6.3632324185064704E-2</v>
      </c>
      <c r="R346" s="3">
        <v>0.13261067180251979</v>
      </c>
      <c r="S346" t="s">
        <v>36</v>
      </c>
      <c r="T346" s="4">
        <f t="shared" si="5"/>
        <v>108.59</v>
      </c>
    </row>
    <row r="347" spans="1:20" x14ac:dyDescent="0.2">
      <c r="A347">
        <v>371</v>
      </c>
      <c r="B347">
        <v>1</v>
      </c>
      <c r="C347" t="s">
        <v>1526</v>
      </c>
      <c r="D347" t="s">
        <v>1527</v>
      </c>
      <c r="E347" t="s">
        <v>1518</v>
      </c>
      <c r="F347" t="s">
        <v>1528</v>
      </c>
      <c r="G347" t="s">
        <v>1529</v>
      </c>
      <c r="H347" t="s">
        <v>25</v>
      </c>
      <c r="I347" t="s">
        <v>25</v>
      </c>
      <c r="J347" t="s">
        <v>34</v>
      </c>
      <c r="K347" t="s">
        <v>1108</v>
      </c>
      <c r="L347" s="2">
        <v>1149852.2360690541</v>
      </c>
      <c r="M347" s="3">
        <v>0.83185698741010738</v>
      </c>
      <c r="N347" s="3">
        <v>1.0795280343564639E-2</v>
      </c>
      <c r="O347" s="3">
        <v>0.13027200945316161</v>
      </c>
      <c r="P347" s="3">
        <v>3.1062782342944728E-3</v>
      </c>
      <c r="Q347" s="3">
        <v>2.396944455887207E-2</v>
      </c>
      <c r="R347" s="3">
        <v>0.1333782876874561</v>
      </c>
      <c r="S347" t="s">
        <v>36</v>
      </c>
      <c r="T347" s="4">
        <f t="shared" si="5"/>
        <v>110.17</v>
      </c>
    </row>
    <row r="348" spans="1:20" x14ac:dyDescent="0.2">
      <c r="A348">
        <v>372</v>
      </c>
      <c r="B348">
        <v>1</v>
      </c>
      <c r="C348" t="s">
        <v>1530</v>
      </c>
      <c r="D348" t="s">
        <v>1531</v>
      </c>
      <c r="E348" t="s">
        <v>1518</v>
      </c>
      <c r="F348" t="s">
        <v>1532</v>
      </c>
      <c r="G348" t="s">
        <v>1533</v>
      </c>
      <c r="H348" t="s">
        <v>25</v>
      </c>
      <c r="I348" t="s">
        <v>25</v>
      </c>
      <c r="J348" t="s">
        <v>26</v>
      </c>
      <c r="K348" t="s">
        <v>1108</v>
      </c>
      <c r="L348" s="2">
        <v>1149852.2360690541</v>
      </c>
      <c r="M348" s="3">
        <v>0.72224644230395429</v>
      </c>
      <c r="N348" s="3">
        <v>0</v>
      </c>
      <c r="O348" s="3">
        <v>0.16143171631990291</v>
      </c>
      <c r="P348" s="3">
        <v>5.0725673399977238E-2</v>
      </c>
      <c r="Q348" s="3">
        <v>6.5596167976165631E-2</v>
      </c>
      <c r="R348" s="3">
        <v>0.21215738971988021</v>
      </c>
      <c r="S348" t="s">
        <v>69</v>
      </c>
      <c r="T348" s="4">
        <f t="shared" si="5"/>
        <v>119.73</v>
      </c>
    </row>
    <row r="349" spans="1:20" x14ac:dyDescent="0.2">
      <c r="A349">
        <v>373</v>
      </c>
      <c r="B349">
        <v>2</v>
      </c>
      <c r="C349" t="s">
        <v>1534</v>
      </c>
      <c r="D349" t="s">
        <v>1535</v>
      </c>
      <c r="E349" t="s">
        <v>1536</v>
      </c>
      <c r="F349" t="s">
        <v>1537</v>
      </c>
      <c r="G349" t="s">
        <v>1538</v>
      </c>
      <c r="H349" t="s">
        <v>67</v>
      </c>
      <c r="I349" t="s">
        <v>67</v>
      </c>
      <c r="J349" t="s">
        <v>34</v>
      </c>
      <c r="K349" t="s">
        <v>585</v>
      </c>
      <c r="L349" s="2">
        <v>2299704.4721381082</v>
      </c>
      <c r="M349" s="3">
        <v>0.2845558344494058</v>
      </c>
      <c r="N349" s="3">
        <v>0</v>
      </c>
      <c r="O349" s="3">
        <v>0.12828540345731609</v>
      </c>
      <c r="P349" s="3">
        <v>0.1225485370029608</v>
      </c>
      <c r="Q349" s="3">
        <v>0.46461022509031719</v>
      </c>
      <c r="R349" s="3">
        <v>0.25083394046027679</v>
      </c>
      <c r="S349" t="s">
        <v>69</v>
      </c>
      <c r="T349" s="4">
        <f t="shared" si="5"/>
        <v>90.88</v>
      </c>
    </row>
    <row r="350" spans="1:20" x14ac:dyDescent="0.2">
      <c r="A350">
        <v>374</v>
      </c>
      <c r="B350">
        <v>2</v>
      </c>
      <c r="C350" t="s">
        <v>1539</v>
      </c>
      <c r="D350" t="s">
        <v>1540</v>
      </c>
      <c r="E350" t="s">
        <v>1541</v>
      </c>
      <c r="F350" t="s">
        <v>1542</v>
      </c>
      <c r="G350" t="s">
        <v>1543</v>
      </c>
      <c r="H350" t="s">
        <v>25</v>
      </c>
      <c r="I350" t="s">
        <v>25</v>
      </c>
      <c r="J350" t="s">
        <v>34</v>
      </c>
      <c r="K350" t="s">
        <v>161</v>
      </c>
      <c r="L350" s="2">
        <v>2299704.4721381082</v>
      </c>
      <c r="M350" s="3">
        <v>0.67990580043923665</v>
      </c>
      <c r="N350" s="3">
        <v>0</v>
      </c>
      <c r="O350" s="3">
        <v>0.19717032162743101</v>
      </c>
      <c r="P350" s="3">
        <v>7.0914448358443474E-2</v>
      </c>
      <c r="Q350" s="3">
        <v>5.2009429574888848E-2</v>
      </c>
      <c r="R350" s="3">
        <v>0.26808476998587449</v>
      </c>
      <c r="S350" t="s">
        <v>69</v>
      </c>
      <c r="T350" s="4">
        <f t="shared" si="5"/>
        <v>128.69999999999999</v>
      </c>
    </row>
    <row r="351" spans="1:20" x14ac:dyDescent="0.2">
      <c r="A351">
        <v>375</v>
      </c>
      <c r="B351">
        <v>1</v>
      </c>
      <c r="C351" t="s">
        <v>1544</v>
      </c>
      <c r="D351" t="s">
        <v>1545</v>
      </c>
      <c r="E351" t="s">
        <v>1078</v>
      </c>
      <c r="F351" t="s">
        <v>1546</v>
      </c>
      <c r="G351" t="s">
        <v>1547</v>
      </c>
      <c r="H351" t="s">
        <v>67</v>
      </c>
      <c r="I351" t="s">
        <v>67</v>
      </c>
      <c r="J351" t="s">
        <v>34</v>
      </c>
      <c r="K351" t="s">
        <v>230</v>
      </c>
      <c r="L351" s="2">
        <v>1149852.2360690541</v>
      </c>
      <c r="M351" s="3">
        <v>0.33943238221440031</v>
      </c>
      <c r="N351" s="3">
        <v>0</v>
      </c>
      <c r="O351" s="3">
        <v>0.22225652004633989</v>
      </c>
      <c r="P351" s="3">
        <v>0.27754808069463749</v>
      </c>
      <c r="Q351" s="3">
        <v>0.1607630170446224</v>
      </c>
      <c r="R351" s="3">
        <v>0.49980460074097738</v>
      </c>
      <c r="S351" t="s">
        <v>125</v>
      </c>
      <c r="T351" s="4">
        <f t="shared" si="5"/>
        <v>161.66</v>
      </c>
    </row>
    <row r="352" spans="1:20" x14ac:dyDescent="0.2">
      <c r="A352">
        <v>376</v>
      </c>
      <c r="B352">
        <v>1</v>
      </c>
      <c r="C352" t="s">
        <v>1548</v>
      </c>
      <c r="D352" t="s">
        <v>1549</v>
      </c>
      <c r="E352" t="s">
        <v>1550</v>
      </c>
      <c r="H352" t="s">
        <v>25</v>
      </c>
      <c r="I352" t="s">
        <v>25</v>
      </c>
      <c r="J352" t="s">
        <v>34</v>
      </c>
      <c r="K352" t="s">
        <v>1108</v>
      </c>
      <c r="L352" s="2">
        <v>1149852.2360690541</v>
      </c>
      <c r="M352" s="3">
        <v>0.61486791866076662</v>
      </c>
      <c r="N352" s="3">
        <v>0</v>
      </c>
      <c r="O352" s="3">
        <v>0.20455573118954071</v>
      </c>
      <c r="P352" s="3">
        <v>2.1998225191401578E-2</v>
      </c>
      <c r="Q352" s="3">
        <v>0.15857812495829099</v>
      </c>
      <c r="R352" s="3">
        <v>0.22655395638094231</v>
      </c>
      <c r="S352" t="s">
        <v>69</v>
      </c>
      <c r="T352" s="4">
        <f t="shared" si="5"/>
        <v>109</v>
      </c>
    </row>
    <row r="353" spans="1:20" x14ac:dyDescent="0.2">
      <c r="A353">
        <v>377</v>
      </c>
      <c r="B353">
        <v>1</v>
      </c>
      <c r="C353" t="s">
        <v>1551</v>
      </c>
      <c r="D353" t="s">
        <v>1552</v>
      </c>
      <c r="E353" t="s">
        <v>1553</v>
      </c>
      <c r="F353" t="s">
        <v>1554</v>
      </c>
      <c r="G353" t="s">
        <v>1555</v>
      </c>
      <c r="H353" t="s">
        <v>25</v>
      </c>
      <c r="I353" t="s">
        <v>25</v>
      </c>
      <c r="J353" t="s">
        <v>26</v>
      </c>
      <c r="K353" t="s">
        <v>62</v>
      </c>
      <c r="L353" s="2">
        <v>1149852.2360690541</v>
      </c>
      <c r="M353" s="3">
        <v>0.90595060812678596</v>
      </c>
      <c r="N353" s="3">
        <v>0</v>
      </c>
      <c r="O353" s="3">
        <v>8.6599419032141717E-2</v>
      </c>
      <c r="P353" s="3">
        <v>2.5907363356719189E-4</v>
      </c>
      <c r="Q353" s="3">
        <v>7.1908992075051534E-3</v>
      </c>
      <c r="R353" s="3">
        <v>8.6858492665708914E-2</v>
      </c>
      <c r="S353" t="s">
        <v>28</v>
      </c>
      <c r="T353" s="4">
        <f t="shared" si="5"/>
        <v>107.99</v>
      </c>
    </row>
    <row r="354" spans="1:20" x14ac:dyDescent="0.2">
      <c r="A354">
        <v>378</v>
      </c>
      <c r="B354">
        <v>2</v>
      </c>
      <c r="C354" t="s">
        <v>1556</v>
      </c>
      <c r="D354" t="s">
        <v>1557</v>
      </c>
      <c r="E354" t="s">
        <v>1558</v>
      </c>
      <c r="F354" t="s">
        <v>1559</v>
      </c>
      <c r="G354" t="s">
        <v>1560</v>
      </c>
      <c r="H354" t="s">
        <v>25</v>
      </c>
      <c r="I354" t="s">
        <v>25</v>
      </c>
      <c r="J354" t="s">
        <v>26</v>
      </c>
      <c r="K354" t="s">
        <v>43</v>
      </c>
      <c r="L354" s="2">
        <v>2299704.4721381082</v>
      </c>
      <c r="M354" s="3">
        <v>0.84669057370277279</v>
      </c>
      <c r="N354" s="3">
        <v>0</v>
      </c>
      <c r="O354" s="3">
        <v>0.1127057334628624</v>
      </c>
      <c r="P354" s="3">
        <v>8.4345402387776391E-3</v>
      </c>
      <c r="Q354" s="3">
        <v>3.2169152595587169E-2</v>
      </c>
      <c r="R354" s="3">
        <v>0.12114027370164</v>
      </c>
      <c r="S354" t="s">
        <v>36</v>
      </c>
      <c r="T354" s="4">
        <f t="shared" si="5"/>
        <v>109.74</v>
      </c>
    </row>
    <row r="355" spans="1:20" x14ac:dyDescent="0.2">
      <c r="A355">
        <v>379</v>
      </c>
      <c r="B355">
        <v>1</v>
      </c>
      <c r="C355" t="s">
        <v>1561</v>
      </c>
      <c r="D355" t="s">
        <v>1562</v>
      </c>
      <c r="E355" t="s">
        <v>1563</v>
      </c>
      <c r="H355" t="s">
        <v>25</v>
      </c>
      <c r="I355" t="s">
        <v>25</v>
      </c>
      <c r="J355" t="s">
        <v>34</v>
      </c>
      <c r="K355" t="s">
        <v>705</v>
      </c>
      <c r="L355" s="2">
        <v>1149852.2360690541</v>
      </c>
      <c r="M355" s="3">
        <v>0.11371542920365769</v>
      </c>
      <c r="N355" s="3">
        <v>0</v>
      </c>
      <c r="O355" s="3">
        <v>0.17673551135544871</v>
      </c>
      <c r="P355" s="3">
        <v>3.8356938667431117E-2</v>
      </c>
      <c r="Q355" s="3">
        <v>0.67119212077346246</v>
      </c>
      <c r="R355" s="3">
        <v>0.2150924500228798</v>
      </c>
      <c r="S355" t="s">
        <v>69</v>
      </c>
      <c r="T355" s="4">
        <f t="shared" si="5"/>
        <v>58.23</v>
      </c>
    </row>
    <row r="356" spans="1:20" x14ac:dyDescent="0.2">
      <c r="A356">
        <v>380</v>
      </c>
      <c r="B356">
        <v>1</v>
      </c>
      <c r="C356" t="s">
        <v>1564</v>
      </c>
      <c r="D356" t="s">
        <v>1565</v>
      </c>
      <c r="E356" t="s">
        <v>1566</v>
      </c>
      <c r="H356" t="s">
        <v>25</v>
      </c>
      <c r="I356" t="s">
        <v>25</v>
      </c>
      <c r="J356" t="s">
        <v>34</v>
      </c>
      <c r="K356" t="s">
        <v>621</v>
      </c>
      <c r="L356" s="2">
        <v>1149852.2360690541</v>
      </c>
      <c r="M356" s="3">
        <v>5.0993079695552328E-2</v>
      </c>
      <c r="N356" s="3">
        <v>0</v>
      </c>
      <c r="O356" s="3">
        <v>0.1819603025918643</v>
      </c>
      <c r="P356" s="3">
        <v>8.3919693585844557E-2</v>
      </c>
      <c r="Q356" s="3">
        <v>0.68312692412673881</v>
      </c>
      <c r="R356" s="3">
        <v>0.26587999617770891</v>
      </c>
      <c r="S356" t="s">
        <v>69</v>
      </c>
      <c r="T356" s="4">
        <f t="shared" si="5"/>
        <v>66.67</v>
      </c>
    </row>
    <row r="357" spans="1:20" x14ac:dyDescent="0.2">
      <c r="A357">
        <v>381</v>
      </c>
      <c r="B357">
        <v>1</v>
      </c>
      <c r="C357" t="s">
        <v>1567</v>
      </c>
      <c r="D357" t="s">
        <v>1568</v>
      </c>
      <c r="E357" t="s">
        <v>1569</v>
      </c>
      <c r="F357" t="s">
        <v>1570</v>
      </c>
      <c r="G357" t="s">
        <v>1571</v>
      </c>
      <c r="H357" t="s">
        <v>67</v>
      </c>
      <c r="I357" t="s">
        <v>67</v>
      </c>
      <c r="J357" t="s">
        <v>26</v>
      </c>
      <c r="K357" t="s">
        <v>187</v>
      </c>
      <c r="L357" s="2">
        <v>1149852.2360690541</v>
      </c>
      <c r="M357" s="3">
        <v>5.4952375177274443E-2</v>
      </c>
      <c r="N357" s="3">
        <v>0</v>
      </c>
      <c r="O357" s="3">
        <v>0.20188170787554191</v>
      </c>
      <c r="P357" s="3">
        <v>9.3606996783309929E-2</v>
      </c>
      <c r="Q357" s="3">
        <v>0.64955892016387384</v>
      </c>
      <c r="R357" s="3">
        <v>0.29548870465885191</v>
      </c>
      <c r="S357" t="s">
        <v>69</v>
      </c>
      <c r="T357" s="4">
        <f t="shared" si="5"/>
        <v>73.95</v>
      </c>
    </row>
    <row r="358" spans="1:20" x14ac:dyDescent="0.2">
      <c r="A358">
        <v>382</v>
      </c>
      <c r="B358">
        <v>6</v>
      </c>
      <c r="C358" t="s">
        <v>1572</v>
      </c>
      <c r="D358" t="s">
        <v>1573</v>
      </c>
      <c r="E358" t="s">
        <v>474</v>
      </c>
      <c r="F358" t="s">
        <v>1011</v>
      </c>
      <c r="G358" t="s">
        <v>1012</v>
      </c>
      <c r="H358" t="s">
        <v>25</v>
      </c>
      <c r="I358" t="s">
        <v>25</v>
      </c>
      <c r="J358" t="s">
        <v>92</v>
      </c>
      <c r="K358" t="s">
        <v>621</v>
      </c>
      <c r="L358" s="2">
        <v>6899113.4164143251</v>
      </c>
      <c r="M358" s="3">
        <v>0.31078530927878972</v>
      </c>
      <c r="N358" s="3">
        <v>0</v>
      </c>
      <c r="O358" s="3">
        <v>0.1690601206119807</v>
      </c>
      <c r="P358" s="3">
        <v>7.1224679975078933E-2</v>
      </c>
      <c r="Q358" s="3">
        <v>0.44892989013415052</v>
      </c>
      <c r="R358" s="3">
        <v>0.24028480058705959</v>
      </c>
      <c r="S358" t="s">
        <v>69</v>
      </c>
      <c r="T358" s="4">
        <f t="shared" si="5"/>
        <v>86.26</v>
      </c>
    </row>
    <row r="359" spans="1:20" x14ac:dyDescent="0.2">
      <c r="A359">
        <v>383</v>
      </c>
      <c r="B359">
        <v>1</v>
      </c>
      <c r="C359" t="s">
        <v>1574</v>
      </c>
      <c r="D359" t="s">
        <v>1575</v>
      </c>
      <c r="E359" t="s">
        <v>1576</v>
      </c>
      <c r="H359" t="s">
        <v>25</v>
      </c>
      <c r="I359" t="s">
        <v>25</v>
      </c>
      <c r="J359" t="s">
        <v>34</v>
      </c>
      <c r="K359" t="s">
        <v>878</v>
      </c>
      <c r="L359" s="2">
        <v>1149852.2360690541</v>
      </c>
      <c r="M359" s="3">
        <v>0.2180425957441347</v>
      </c>
      <c r="N359" s="3">
        <v>0</v>
      </c>
      <c r="O359" s="3">
        <v>0.22061373848071791</v>
      </c>
      <c r="P359" s="3">
        <v>0.10289486647845621</v>
      </c>
      <c r="Q359" s="3">
        <v>0.45844879929669119</v>
      </c>
      <c r="R359" s="3">
        <v>0.32350860495917411</v>
      </c>
      <c r="S359" t="s">
        <v>69</v>
      </c>
      <c r="T359" s="4">
        <f t="shared" si="5"/>
        <v>96.8</v>
      </c>
    </row>
    <row r="360" spans="1:20" x14ac:dyDescent="0.2">
      <c r="A360">
        <v>384</v>
      </c>
      <c r="B360">
        <v>1</v>
      </c>
      <c r="C360" t="s">
        <v>1577</v>
      </c>
      <c r="D360" t="s">
        <v>1578</v>
      </c>
      <c r="E360" t="s">
        <v>1579</v>
      </c>
      <c r="F360" t="s">
        <v>1580</v>
      </c>
      <c r="G360" t="s">
        <v>1581</v>
      </c>
      <c r="H360" t="s">
        <v>80</v>
      </c>
      <c r="I360" t="s">
        <v>296</v>
      </c>
      <c r="J360" t="s">
        <v>1582</v>
      </c>
      <c r="K360" t="s">
        <v>118</v>
      </c>
      <c r="L360" s="2">
        <v>1149852.2360690541</v>
      </c>
      <c r="M360" s="3">
        <v>0.99202638946800303</v>
      </c>
      <c r="N360" s="3">
        <v>0</v>
      </c>
      <c r="O360" s="3">
        <v>7.9736105319944718E-3</v>
      </c>
      <c r="P360" s="3">
        <v>0</v>
      </c>
      <c r="Q360" s="3">
        <v>2.442490654175344E-15</v>
      </c>
      <c r="R360" s="3">
        <v>7.9736105319944718E-3</v>
      </c>
      <c r="S360" t="s">
        <v>28</v>
      </c>
      <c r="T360" s="4">
        <f t="shared" si="5"/>
        <v>100.8</v>
      </c>
    </row>
    <row r="361" spans="1:20" x14ac:dyDescent="0.2">
      <c r="A361">
        <v>385</v>
      </c>
      <c r="B361">
        <v>1</v>
      </c>
      <c r="C361" t="s">
        <v>1583</v>
      </c>
      <c r="D361" t="s">
        <v>1584</v>
      </c>
      <c r="E361" t="s">
        <v>547</v>
      </c>
      <c r="F361" t="s">
        <v>1585</v>
      </c>
      <c r="G361" t="s">
        <v>1586</v>
      </c>
      <c r="H361" t="s">
        <v>25</v>
      </c>
      <c r="I361" t="s">
        <v>25</v>
      </c>
      <c r="J361" t="s">
        <v>26</v>
      </c>
      <c r="K361" t="s">
        <v>86</v>
      </c>
      <c r="L361" s="2">
        <v>1149852.2360690541</v>
      </c>
      <c r="M361" s="3">
        <v>6.2206132915190837E-2</v>
      </c>
      <c r="N361" s="3">
        <v>0</v>
      </c>
      <c r="O361" s="3">
        <v>0.26822355324596892</v>
      </c>
      <c r="P361" s="3">
        <v>0.21212114338631441</v>
      </c>
      <c r="Q361" s="3">
        <v>0.45744917045252592</v>
      </c>
      <c r="R361" s="3">
        <v>0.4803446966322833</v>
      </c>
      <c r="S361" t="s">
        <v>125</v>
      </c>
      <c r="T361" s="4">
        <f t="shared" si="5"/>
        <v>123.5</v>
      </c>
    </row>
    <row r="362" spans="1:20" x14ac:dyDescent="0.2">
      <c r="A362">
        <v>386</v>
      </c>
      <c r="B362">
        <v>1</v>
      </c>
      <c r="C362" t="s">
        <v>1587</v>
      </c>
      <c r="D362" t="s">
        <v>1588</v>
      </c>
      <c r="E362" t="s">
        <v>547</v>
      </c>
      <c r="H362" t="s">
        <v>25</v>
      </c>
      <c r="I362" t="s">
        <v>25</v>
      </c>
      <c r="J362" t="s">
        <v>26</v>
      </c>
      <c r="K362" t="s">
        <v>86</v>
      </c>
      <c r="L362" s="2">
        <v>1149852.2360690541</v>
      </c>
      <c r="M362" s="3">
        <v>3.9393453455591754E-3</v>
      </c>
      <c r="N362" s="3">
        <v>0</v>
      </c>
      <c r="O362" s="3">
        <v>0.29146855950715173</v>
      </c>
      <c r="P362" s="3">
        <v>0.55107140205348337</v>
      </c>
      <c r="Q362" s="3">
        <v>0.15352069309380581</v>
      </c>
      <c r="R362" s="3">
        <v>0.84253996156063504</v>
      </c>
      <c r="S362" t="s">
        <v>44</v>
      </c>
      <c r="T362" s="4">
        <f t="shared" si="5"/>
        <v>224.01</v>
      </c>
    </row>
    <row r="363" spans="1:20" x14ac:dyDescent="0.2">
      <c r="A363">
        <v>387</v>
      </c>
      <c r="B363">
        <v>1</v>
      </c>
      <c r="C363" t="s">
        <v>1589</v>
      </c>
      <c r="D363" t="s">
        <v>1590</v>
      </c>
      <c r="E363" t="s">
        <v>1591</v>
      </c>
      <c r="H363" t="s">
        <v>67</v>
      </c>
      <c r="I363" t="s">
        <v>67</v>
      </c>
      <c r="J363" t="s">
        <v>26</v>
      </c>
      <c r="K363" t="s">
        <v>667</v>
      </c>
      <c r="L363" s="2">
        <v>1149852.2360690541</v>
      </c>
      <c r="M363" s="3">
        <v>3.6672574166084368E-2</v>
      </c>
      <c r="N363" s="3">
        <v>0</v>
      </c>
      <c r="O363" s="3">
        <v>0.1657119892787495</v>
      </c>
      <c r="P363" s="3">
        <v>2.580758009842506E-2</v>
      </c>
      <c r="Q363" s="3">
        <v>0.77180785645674099</v>
      </c>
      <c r="R363" s="3">
        <v>0.1915195693771746</v>
      </c>
      <c r="S363" t="s">
        <v>36</v>
      </c>
      <c r="T363" s="4">
        <f t="shared" si="5"/>
        <v>44.55</v>
      </c>
    </row>
    <row r="364" spans="1:20" x14ac:dyDescent="0.2">
      <c r="A364">
        <v>388</v>
      </c>
      <c r="B364">
        <v>1</v>
      </c>
      <c r="C364" t="s">
        <v>1592</v>
      </c>
      <c r="D364" t="s">
        <v>1593</v>
      </c>
      <c r="E364" t="s">
        <v>1265</v>
      </c>
      <c r="F364" t="s">
        <v>1594</v>
      </c>
      <c r="G364" t="s">
        <v>1595</v>
      </c>
      <c r="H364" t="s">
        <v>25</v>
      </c>
      <c r="I364" t="s">
        <v>25</v>
      </c>
      <c r="J364" t="s">
        <v>26</v>
      </c>
      <c r="K364" t="s">
        <v>43</v>
      </c>
      <c r="L364" s="2">
        <v>1149852.2360690541</v>
      </c>
      <c r="M364" s="3">
        <v>0.91885856077010175</v>
      </c>
      <c r="N364" s="3">
        <v>0</v>
      </c>
      <c r="O364" s="3">
        <v>7.9742564967308083E-2</v>
      </c>
      <c r="P364" s="3">
        <v>1.3988742626009759E-3</v>
      </c>
      <c r="Q364" s="3">
        <v>0</v>
      </c>
      <c r="R364" s="3">
        <v>8.114143922990906E-2</v>
      </c>
      <c r="S364" t="s">
        <v>28</v>
      </c>
      <c r="T364" s="4">
        <f t="shared" si="5"/>
        <v>108.25</v>
      </c>
    </row>
    <row r="365" spans="1:20" x14ac:dyDescent="0.2">
      <c r="A365">
        <v>389</v>
      </c>
      <c r="B365">
        <v>1</v>
      </c>
      <c r="C365" t="s">
        <v>1596</v>
      </c>
      <c r="D365" t="s">
        <v>1597</v>
      </c>
      <c r="E365" t="s">
        <v>924</v>
      </c>
      <c r="H365" t="s">
        <v>260</v>
      </c>
      <c r="I365" t="s">
        <v>260</v>
      </c>
      <c r="J365" t="s">
        <v>92</v>
      </c>
      <c r="K365" t="s">
        <v>1598</v>
      </c>
      <c r="L365" s="2">
        <v>1149852.2360690541</v>
      </c>
      <c r="M365" s="3">
        <v>0.10525835772355149</v>
      </c>
      <c r="N365" s="3">
        <v>0</v>
      </c>
      <c r="O365" s="3">
        <v>3.050829999394836E-2</v>
      </c>
      <c r="P365" s="3">
        <v>0</v>
      </c>
      <c r="Q365" s="3">
        <v>0.86423334228250015</v>
      </c>
      <c r="R365" s="3">
        <v>3.050829999394836E-2</v>
      </c>
      <c r="S365" t="s">
        <v>28</v>
      </c>
      <c r="T365" s="4">
        <f t="shared" si="5"/>
        <v>16.63</v>
      </c>
    </row>
    <row r="366" spans="1:20" x14ac:dyDescent="0.2">
      <c r="A366">
        <v>390</v>
      </c>
      <c r="B366">
        <v>44</v>
      </c>
      <c r="C366" t="s">
        <v>1599</v>
      </c>
      <c r="D366" t="s">
        <v>1600</v>
      </c>
      <c r="E366" t="s">
        <v>441</v>
      </c>
      <c r="F366" t="s">
        <v>1601</v>
      </c>
      <c r="H366" t="s">
        <v>336</v>
      </c>
      <c r="I366" t="s">
        <v>336</v>
      </c>
      <c r="J366" t="s">
        <v>92</v>
      </c>
      <c r="K366" t="s">
        <v>1602</v>
      </c>
      <c r="L366" s="2">
        <v>50593498.38703838</v>
      </c>
      <c r="M366" s="3">
        <v>0.40970788233471861</v>
      </c>
      <c r="N366" s="3">
        <v>0.1085462845210131</v>
      </c>
      <c r="O366" s="3">
        <v>0.1433893626178063</v>
      </c>
      <c r="P366" s="3">
        <v>1.1927862322091299E-3</v>
      </c>
      <c r="Q366" s="3">
        <v>0.33716368429425281</v>
      </c>
      <c r="R366" s="3">
        <v>0.14458214885001541</v>
      </c>
      <c r="S366" t="s">
        <v>36</v>
      </c>
      <c r="T366" s="4">
        <f t="shared" si="5"/>
        <v>70.010000000000005</v>
      </c>
    </row>
    <row r="367" spans="1:20" x14ac:dyDescent="0.2">
      <c r="A367">
        <v>392</v>
      </c>
      <c r="B367">
        <v>1</v>
      </c>
      <c r="C367" t="s">
        <v>1603</v>
      </c>
      <c r="D367" t="s">
        <v>1604</v>
      </c>
      <c r="E367" t="s">
        <v>1436</v>
      </c>
      <c r="H367" t="s">
        <v>67</v>
      </c>
      <c r="I367" t="s">
        <v>67</v>
      </c>
      <c r="J367" t="s">
        <v>34</v>
      </c>
      <c r="K367" t="s">
        <v>1605</v>
      </c>
      <c r="L367" s="2">
        <v>1149852.2360690541</v>
      </c>
      <c r="M367" s="3">
        <v>2.444788440639456E-2</v>
      </c>
      <c r="N367" s="3">
        <v>0</v>
      </c>
      <c r="O367" s="3">
        <v>0.36767369534115663</v>
      </c>
      <c r="P367" s="3">
        <v>0.3329547296257277</v>
      </c>
      <c r="Q367" s="3">
        <v>0.27492369062672117</v>
      </c>
      <c r="R367" s="3">
        <v>0.70062842496688438</v>
      </c>
      <c r="S367" t="s">
        <v>44</v>
      </c>
      <c r="T367" s="4">
        <f t="shared" si="5"/>
        <v>175.87</v>
      </c>
    </row>
    <row r="368" spans="1:20" x14ac:dyDescent="0.2">
      <c r="A368">
        <v>393</v>
      </c>
      <c r="B368">
        <v>1</v>
      </c>
      <c r="C368" t="s">
        <v>1606</v>
      </c>
      <c r="D368" t="s">
        <v>1607</v>
      </c>
      <c r="E368" t="s">
        <v>1608</v>
      </c>
      <c r="F368" t="s">
        <v>1609</v>
      </c>
      <c r="G368" t="s">
        <v>1610</v>
      </c>
      <c r="H368" t="s">
        <v>25</v>
      </c>
      <c r="I368" t="s">
        <v>25</v>
      </c>
      <c r="J368" t="s">
        <v>92</v>
      </c>
      <c r="K368" t="s">
        <v>1108</v>
      </c>
      <c r="L368" s="2">
        <v>1149852.2360690541</v>
      </c>
      <c r="M368" s="3">
        <v>0.65394260440061636</v>
      </c>
      <c r="N368" s="3">
        <v>0</v>
      </c>
      <c r="O368" s="3">
        <v>0.1760922060624002</v>
      </c>
      <c r="P368" s="3">
        <v>0.1548774492078917</v>
      </c>
      <c r="Q368" s="3">
        <v>1.508774032909177E-2</v>
      </c>
      <c r="R368" s="3">
        <v>0.33096965527029187</v>
      </c>
      <c r="S368" t="s">
        <v>69</v>
      </c>
      <c r="T368" s="4">
        <f t="shared" si="5"/>
        <v>147.08000000000001</v>
      </c>
    </row>
    <row r="369" spans="1:20" x14ac:dyDescent="0.2">
      <c r="A369">
        <v>394</v>
      </c>
      <c r="B369">
        <v>19</v>
      </c>
      <c r="C369" t="s">
        <v>1611</v>
      </c>
      <c r="D369" t="s">
        <v>1612</v>
      </c>
      <c r="E369" t="s">
        <v>1613</v>
      </c>
      <c r="F369" t="s">
        <v>1614</v>
      </c>
      <c r="G369" t="s">
        <v>1615</v>
      </c>
      <c r="H369" t="s">
        <v>67</v>
      </c>
      <c r="I369" t="s">
        <v>67</v>
      </c>
      <c r="J369" t="s">
        <v>92</v>
      </c>
      <c r="K369" t="s">
        <v>56</v>
      </c>
      <c r="L369" s="2">
        <v>21847192.48531203</v>
      </c>
      <c r="M369" s="3">
        <v>8.982669442246867E-2</v>
      </c>
      <c r="N369" s="3">
        <v>0</v>
      </c>
      <c r="O369" s="3">
        <v>0.15349002145624899</v>
      </c>
      <c r="P369" s="3">
        <v>8.1839161256041904E-2</v>
      </c>
      <c r="Q369" s="3">
        <v>0.67484412286524043</v>
      </c>
      <c r="R369" s="3">
        <v>0.23532918271229089</v>
      </c>
      <c r="S369" t="s">
        <v>69</v>
      </c>
      <c r="T369" s="4">
        <f t="shared" si="5"/>
        <v>64.23</v>
      </c>
    </row>
    <row r="370" spans="1:20" x14ac:dyDescent="0.2">
      <c r="A370">
        <v>396</v>
      </c>
      <c r="B370">
        <v>14</v>
      </c>
      <c r="C370" t="s">
        <v>1616</v>
      </c>
      <c r="D370" t="s">
        <v>1617</v>
      </c>
      <c r="E370" t="s">
        <v>1618</v>
      </c>
      <c r="H370" t="s">
        <v>25</v>
      </c>
      <c r="I370" t="s">
        <v>25</v>
      </c>
      <c r="J370" t="s">
        <v>26</v>
      </c>
      <c r="K370" t="s">
        <v>1619</v>
      </c>
      <c r="L370" s="2">
        <v>14948079.068897059</v>
      </c>
      <c r="M370" s="3">
        <v>1.3001198932673061E-2</v>
      </c>
      <c r="N370" s="3">
        <v>3.0877383492369851E-2</v>
      </c>
      <c r="O370" s="3">
        <v>0.24251119088002659</v>
      </c>
      <c r="P370" s="3">
        <v>0.26754160427295948</v>
      </c>
      <c r="Q370" s="3">
        <v>0.44606862242197087</v>
      </c>
      <c r="R370" s="3">
        <v>0.51005279515298607</v>
      </c>
      <c r="S370" t="s">
        <v>125</v>
      </c>
      <c r="T370" s="4">
        <f t="shared" si="5"/>
        <v>130.06</v>
      </c>
    </row>
    <row r="371" spans="1:20" x14ac:dyDescent="0.2">
      <c r="A371">
        <v>398</v>
      </c>
      <c r="B371">
        <v>8</v>
      </c>
      <c r="C371" t="s">
        <v>1620</v>
      </c>
      <c r="D371" t="s">
        <v>1621</v>
      </c>
      <c r="E371" t="s">
        <v>1622</v>
      </c>
      <c r="H371" t="s">
        <v>25</v>
      </c>
      <c r="I371" t="s">
        <v>25</v>
      </c>
      <c r="J371" t="s">
        <v>92</v>
      </c>
      <c r="K371" t="s">
        <v>1605</v>
      </c>
      <c r="L371" s="2">
        <v>9198817.8885524329</v>
      </c>
      <c r="M371" s="3">
        <v>2.4062153576253392E-2</v>
      </c>
      <c r="N371" s="3">
        <v>0</v>
      </c>
      <c r="O371" s="3">
        <v>0.15580747333065109</v>
      </c>
      <c r="P371" s="3">
        <v>0.1177462461996322</v>
      </c>
      <c r="Q371" s="3">
        <v>0.70238412689346319</v>
      </c>
      <c r="R371" s="3">
        <v>0.27355371953028329</v>
      </c>
      <c r="S371" t="s">
        <v>69</v>
      </c>
      <c r="T371" s="4">
        <f t="shared" si="5"/>
        <v>68.89</v>
      </c>
    </row>
    <row r="372" spans="1:20" x14ac:dyDescent="0.2">
      <c r="A372">
        <v>399</v>
      </c>
      <c r="B372">
        <v>1</v>
      </c>
      <c r="C372" t="s">
        <v>1623</v>
      </c>
      <c r="D372" t="s">
        <v>1624</v>
      </c>
      <c r="E372" t="s">
        <v>1625</v>
      </c>
      <c r="F372" t="s">
        <v>1626</v>
      </c>
      <c r="G372" t="s">
        <v>1627</v>
      </c>
      <c r="H372" t="s">
        <v>25</v>
      </c>
      <c r="I372" t="s">
        <v>25</v>
      </c>
      <c r="J372" t="s">
        <v>92</v>
      </c>
      <c r="K372" t="s">
        <v>750</v>
      </c>
      <c r="L372" s="2">
        <v>1149852.236069005</v>
      </c>
      <c r="M372" s="3">
        <v>4.4635403579602592E-2</v>
      </c>
      <c r="N372" s="3">
        <v>0</v>
      </c>
      <c r="O372" s="3">
        <v>0.21697503319871919</v>
      </c>
      <c r="P372" s="3">
        <v>0.18638331877015221</v>
      </c>
      <c r="Q372" s="3">
        <v>0.55200624445152602</v>
      </c>
      <c r="R372" s="3">
        <v>0.40335835196887138</v>
      </c>
      <c r="S372" t="s">
        <v>125</v>
      </c>
      <c r="T372" s="4">
        <f t="shared" si="5"/>
        <v>103.77</v>
      </c>
    </row>
    <row r="373" spans="1:20" x14ac:dyDescent="0.2">
      <c r="A373">
        <v>400</v>
      </c>
      <c r="B373">
        <v>1</v>
      </c>
      <c r="C373" t="s">
        <v>1628</v>
      </c>
      <c r="D373" t="s">
        <v>1629</v>
      </c>
      <c r="E373" t="s">
        <v>1625</v>
      </c>
      <c r="F373" t="s">
        <v>1630</v>
      </c>
      <c r="G373" t="s">
        <v>1631</v>
      </c>
      <c r="H373" t="s">
        <v>25</v>
      </c>
      <c r="I373" t="s">
        <v>25</v>
      </c>
      <c r="J373" t="s">
        <v>34</v>
      </c>
      <c r="K373" t="s">
        <v>750</v>
      </c>
      <c r="L373" s="2">
        <v>1149852.236069005</v>
      </c>
      <c r="M373" s="3">
        <v>0.1100117799480721</v>
      </c>
      <c r="N373" s="3">
        <v>0</v>
      </c>
      <c r="O373" s="3">
        <v>8.3992204909669521E-2</v>
      </c>
      <c r="P373" s="3">
        <v>4.7642951055094614E-3</v>
      </c>
      <c r="Q373" s="3">
        <v>0.80123172003674892</v>
      </c>
      <c r="R373" s="3">
        <v>8.8756500015178985E-2</v>
      </c>
      <c r="S373" t="s">
        <v>28</v>
      </c>
      <c r="T373" s="4">
        <f t="shared" si="5"/>
        <v>29.23</v>
      </c>
    </row>
    <row r="374" spans="1:20" x14ac:dyDescent="0.2">
      <c r="A374">
        <v>401</v>
      </c>
      <c r="B374">
        <v>1</v>
      </c>
      <c r="C374" t="s">
        <v>1632</v>
      </c>
      <c r="D374" t="s">
        <v>1633</v>
      </c>
      <c r="E374" t="s">
        <v>1634</v>
      </c>
      <c r="F374" t="s">
        <v>1635</v>
      </c>
      <c r="G374" t="s">
        <v>551</v>
      </c>
      <c r="H374" t="s">
        <v>25</v>
      </c>
      <c r="I374" t="s">
        <v>25</v>
      </c>
      <c r="J374" t="s">
        <v>26</v>
      </c>
      <c r="K374" t="s">
        <v>130</v>
      </c>
      <c r="L374" s="2">
        <v>1149852.236069005</v>
      </c>
      <c r="M374" s="3">
        <v>0</v>
      </c>
      <c r="N374" s="3">
        <v>0</v>
      </c>
      <c r="O374" s="3">
        <v>9.6633534601267099E-2</v>
      </c>
      <c r="P374" s="3">
        <v>0</v>
      </c>
      <c r="Q374" s="3">
        <v>0.90336646539873289</v>
      </c>
      <c r="R374" s="3">
        <v>9.6633534601267099E-2</v>
      </c>
      <c r="S374" t="s">
        <v>28</v>
      </c>
      <c r="T374" s="4">
        <f t="shared" si="5"/>
        <v>19.329999999999998</v>
      </c>
    </row>
    <row r="375" spans="1:20" x14ac:dyDescent="0.2">
      <c r="A375">
        <v>402</v>
      </c>
      <c r="B375">
        <v>19</v>
      </c>
      <c r="C375" t="s">
        <v>1636</v>
      </c>
      <c r="D375" t="s">
        <v>1637</v>
      </c>
      <c r="E375" t="s">
        <v>1625</v>
      </c>
      <c r="F375" t="s">
        <v>1638</v>
      </c>
      <c r="G375" t="s">
        <v>1639</v>
      </c>
      <c r="H375" t="s">
        <v>67</v>
      </c>
      <c r="I375" t="s">
        <v>67</v>
      </c>
      <c r="J375" t="s">
        <v>92</v>
      </c>
      <c r="K375" t="s">
        <v>266</v>
      </c>
      <c r="L375" s="2">
        <v>21847192.485311091</v>
      </c>
      <c r="M375" s="3">
        <v>0.1169497065540045</v>
      </c>
      <c r="N375" s="3">
        <v>0</v>
      </c>
      <c r="O375" s="3">
        <v>0.13479929637753771</v>
      </c>
      <c r="P375" s="3">
        <v>7.0524025351323622E-3</v>
      </c>
      <c r="Q375" s="3">
        <v>0.74119859453332548</v>
      </c>
      <c r="R375" s="3">
        <v>0.14185169891266999</v>
      </c>
      <c r="S375" t="s">
        <v>36</v>
      </c>
      <c r="T375" s="4">
        <f t="shared" si="5"/>
        <v>40.770000000000003</v>
      </c>
    </row>
    <row r="376" spans="1:20" x14ac:dyDescent="0.2">
      <c r="A376">
        <v>405</v>
      </c>
      <c r="B376">
        <v>1</v>
      </c>
      <c r="C376" t="s">
        <v>1640</v>
      </c>
      <c r="D376" t="s">
        <v>1641</v>
      </c>
      <c r="E376" t="s">
        <v>937</v>
      </c>
      <c r="F376" t="s">
        <v>1642</v>
      </c>
      <c r="G376" t="s">
        <v>1643</v>
      </c>
      <c r="H376" t="s">
        <v>25</v>
      </c>
      <c r="I376" t="s">
        <v>25</v>
      </c>
      <c r="J376" t="s">
        <v>26</v>
      </c>
      <c r="K376" t="s">
        <v>27</v>
      </c>
      <c r="L376" s="2">
        <v>1149852.236069005</v>
      </c>
      <c r="M376" s="3">
        <v>0.89072578822562576</v>
      </c>
      <c r="N376" s="3">
        <v>0</v>
      </c>
      <c r="O376" s="3">
        <v>6.5150684344132667E-2</v>
      </c>
      <c r="P376" s="3">
        <v>0</v>
      </c>
      <c r="Q376" s="3">
        <v>4.4123527430241623E-2</v>
      </c>
      <c r="R376" s="3">
        <v>6.5150684344132667E-2</v>
      </c>
      <c r="S376" t="s">
        <v>28</v>
      </c>
      <c r="T376" s="4">
        <f t="shared" si="5"/>
        <v>102.1</v>
      </c>
    </row>
    <row r="377" spans="1:20" x14ac:dyDescent="0.2">
      <c r="A377">
        <v>406</v>
      </c>
      <c r="B377">
        <v>1</v>
      </c>
      <c r="C377" t="s">
        <v>1644</v>
      </c>
      <c r="D377" t="s">
        <v>1645</v>
      </c>
      <c r="E377" t="s">
        <v>1646</v>
      </c>
      <c r="F377" t="s">
        <v>1647</v>
      </c>
      <c r="G377" t="s">
        <v>1648</v>
      </c>
      <c r="H377" t="s">
        <v>25</v>
      </c>
      <c r="I377" t="s">
        <v>25</v>
      </c>
      <c r="J377" t="s">
        <v>34</v>
      </c>
      <c r="K377" t="s">
        <v>210</v>
      </c>
      <c r="L377" s="2">
        <v>1149852.236069005</v>
      </c>
      <c r="M377" s="3">
        <v>0.91530264518747606</v>
      </c>
      <c r="N377" s="3">
        <v>0</v>
      </c>
      <c r="O377" s="3">
        <v>8.46973548125078E-2</v>
      </c>
      <c r="P377" s="3">
        <v>0</v>
      </c>
      <c r="Q377" s="3">
        <v>1.609823385706477E-14</v>
      </c>
      <c r="R377" s="3">
        <v>8.46973548125078E-2</v>
      </c>
      <c r="S377" t="s">
        <v>28</v>
      </c>
      <c r="T377" s="4">
        <f t="shared" si="5"/>
        <v>108.47</v>
      </c>
    </row>
    <row r="378" spans="1:20" x14ac:dyDescent="0.2">
      <c r="A378">
        <v>407</v>
      </c>
      <c r="B378">
        <v>1</v>
      </c>
      <c r="C378" t="s">
        <v>1649</v>
      </c>
      <c r="D378" t="s">
        <v>1650</v>
      </c>
      <c r="E378" t="s">
        <v>1400</v>
      </c>
      <c r="F378" t="s">
        <v>1651</v>
      </c>
      <c r="G378" t="s">
        <v>1652</v>
      </c>
      <c r="H378" t="s">
        <v>25</v>
      </c>
      <c r="I378" t="s">
        <v>25</v>
      </c>
      <c r="J378" t="s">
        <v>92</v>
      </c>
      <c r="K378" t="s">
        <v>167</v>
      </c>
      <c r="L378" s="2">
        <v>1149852.236069005</v>
      </c>
      <c r="M378" s="3">
        <v>0.44560197350448172</v>
      </c>
      <c r="N378" s="3">
        <v>0</v>
      </c>
      <c r="O378" s="3">
        <v>0.1127122253768424</v>
      </c>
      <c r="P378" s="3">
        <v>2.6007712525479699E-3</v>
      </c>
      <c r="Q378" s="3">
        <v>0.43908502986612802</v>
      </c>
      <c r="R378" s="3">
        <v>0.1153129966293904</v>
      </c>
      <c r="S378" t="s">
        <v>36</v>
      </c>
      <c r="T378" s="4">
        <f t="shared" si="5"/>
        <v>67.88</v>
      </c>
    </row>
    <row r="379" spans="1:20" x14ac:dyDescent="0.2">
      <c r="A379">
        <v>408</v>
      </c>
      <c r="B379">
        <v>1</v>
      </c>
      <c r="C379" t="s">
        <v>1653</v>
      </c>
      <c r="D379" t="s">
        <v>1654</v>
      </c>
      <c r="E379" t="s">
        <v>953</v>
      </c>
      <c r="F379" t="s">
        <v>991</v>
      </c>
      <c r="G379" t="s">
        <v>1655</v>
      </c>
      <c r="H379" t="s">
        <v>67</v>
      </c>
      <c r="I379" t="s">
        <v>67</v>
      </c>
      <c r="J379" t="s">
        <v>34</v>
      </c>
      <c r="K379" t="s">
        <v>210</v>
      </c>
      <c r="L379" s="2">
        <v>1149852.236069005</v>
      </c>
      <c r="M379" s="3">
        <v>0</v>
      </c>
      <c r="N379" s="3">
        <v>0</v>
      </c>
      <c r="O379" s="3">
        <v>0.10120558905521761</v>
      </c>
      <c r="P379" s="3">
        <v>6.7341747457980872E-3</v>
      </c>
      <c r="Q379" s="3">
        <v>0.89206023619898434</v>
      </c>
      <c r="R379" s="3">
        <v>0.10793976380101571</v>
      </c>
      <c r="S379" t="s">
        <v>36</v>
      </c>
      <c r="T379" s="4">
        <f t="shared" si="5"/>
        <v>22.26</v>
      </c>
    </row>
    <row r="380" spans="1:20" x14ac:dyDescent="0.2">
      <c r="A380">
        <v>409</v>
      </c>
      <c r="B380">
        <v>1</v>
      </c>
      <c r="C380" t="s">
        <v>1656</v>
      </c>
      <c r="D380" t="s">
        <v>1657</v>
      </c>
      <c r="E380" t="s">
        <v>984</v>
      </c>
      <c r="F380" t="s">
        <v>1658</v>
      </c>
      <c r="G380" t="s">
        <v>1659</v>
      </c>
      <c r="H380" t="s">
        <v>67</v>
      </c>
      <c r="I380" t="s">
        <v>67</v>
      </c>
      <c r="J380" t="s">
        <v>26</v>
      </c>
      <c r="K380" t="s">
        <v>193</v>
      </c>
      <c r="L380" s="2">
        <v>1149852.236069005</v>
      </c>
      <c r="M380" s="3">
        <v>0.16464621541110691</v>
      </c>
      <c r="N380" s="3">
        <v>0</v>
      </c>
      <c r="O380" s="3">
        <v>9.9029969495460779E-2</v>
      </c>
      <c r="P380" s="3">
        <v>9.3666210501377786E-2</v>
      </c>
      <c r="Q380" s="3">
        <v>0.64265760459205445</v>
      </c>
      <c r="R380" s="3">
        <v>0.19269617999683861</v>
      </c>
      <c r="S380" t="s">
        <v>36</v>
      </c>
      <c r="T380" s="4">
        <f t="shared" si="5"/>
        <v>64.37</v>
      </c>
    </row>
    <row r="381" spans="1:20" x14ac:dyDescent="0.2">
      <c r="A381">
        <v>410</v>
      </c>
      <c r="B381">
        <v>1</v>
      </c>
      <c r="C381" t="s">
        <v>1660</v>
      </c>
      <c r="D381" t="s">
        <v>1661</v>
      </c>
      <c r="E381" t="s">
        <v>1662</v>
      </c>
      <c r="F381" t="s">
        <v>1663</v>
      </c>
      <c r="G381" t="s">
        <v>1664</v>
      </c>
      <c r="H381" t="s">
        <v>25</v>
      </c>
      <c r="I381" t="s">
        <v>25</v>
      </c>
      <c r="J381" t="s">
        <v>34</v>
      </c>
      <c r="K381" t="s">
        <v>1665</v>
      </c>
      <c r="L381" s="2">
        <v>1149852.236069005</v>
      </c>
      <c r="M381" s="3">
        <v>0.3119361068861955</v>
      </c>
      <c r="N381" s="3">
        <v>0</v>
      </c>
      <c r="O381" s="3">
        <v>0.30041072516748102</v>
      </c>
      <c r="P381" s="3">
        <v>0.15062026476511131</v>
      </c>
      <c r="Q381" s="3">
        <v>0.23703290318121231</v>
      </c>
      <c r="R381" s="3">
        <v>0.45103098993259227</v>
      </c>
      <c r="S381" t="s">
        <v>125</v>
      </c>
      <c r="T381" s="4">
        <f t="shared" si="5"/>
        <v>136.46</v>
      </c>
    </row>
    <row r="382" spans="1:20" x14ac:dyDescent="0.2">
      <c r="A382">
        <v>412</v>
      </c>
      <c r="B382">
        <v>1</v>
      </c>
      <c r="C382" t="s">
        <v>1666</v>
      </c>
      <c r="D382" t="s">
        <v>1667</v>
      </c>
      <c r="E382" t="s">
        <v>1288</v>
      </c>
      <c r="F382" t="s">
        <v>1668</v>
      </c>
      <c r="G382" t="s">
        <v>1669</v>
      </c>
      <c r="H382" t="s">
        <v>25</v>
      </c>
      <c r="I382" t="s">
        <v>25</v>
      </c>
      <c r="J382" t="s">
        <v>26</v>
      </c>
      <c r="K382" t="s">
        <v>650</v>
      </c>
      <c r="L382" s="2">
        <v>1149852.2360690541</v>
      </c>
      <c r="M382" s="3">
        <v>0.17270476917800601</v>
      </c>
      <c r="N382" s="3">
        <v>0</v>
      </c>
      <c r="O382" s="3">
        <v>0.18188153531360579</v>
      </c>
      <c r="P382" s="3">
        <v>0.64541369550838246</v>
      </c>
      <c r="Q382" s="3">
        <v>5.773159728050814E-15</v>
      </c>
      <c r="R382" s="3">
        <v>0.8272952308219883</v>
      </c>
      <c r="S382" t="s">
        <v>44</v>
      </c>
      <c r="T382" s="4">
        <f t="shared" si="5"/>
        <v>247.27</v>
      </c>
    </row>
    <row r="383" spans="1:20" x14ac:dyDescent="0.2">
      <c r="A383">
        <v>413</v>
      </c>
      <c r="B383">
        <v>4</v>
      </c>
      <c r="C383" t="s">
        <v>1670</v>
      </c>
      <c r="D383" t="s">
        <v>1671</v>
      </c>
      <c r="E383" t="s">
        <v>1672</v>
      </c>
      <c r="F383" t="s">
        <v>1673</v>
      </c>
      <c r="G383" t="s">
        <v>1674</v>
      </c>
      <c r="H383" t="s">
        <v>67</v>
      </c>
      <c r="I383" t="s">
        <v>67</v>
      </c>
      <c r="J383" t="s">
        <v>34</v>
      </c>
      <c r="K383" t="s">
        <v>1362</v>
      </c>
      <c r="L383" s="2">
        <v>4599408.9442762164</v>
      </c>
      <c r="M383" s="3">
        <v>0.37943810880435258</v>
      </c>
      <c r="N383" s="3">
        <v>0</v>
      </c>
      <c r="O383" s="3">
        <v>0.1894131378474761</v>
      </c>
      <c r="P383" s="3">
        <v>0.27046178172955321</v>
      </c>
      <c r="Q383" s="3">
        <v>0.16068697161861811</v>
      </c>
      <c r="R383" s="3">
        <v>0.45987491957702931</v>
      </c>
      <c r="S383" t="s">
        <v>125</v>
      </c>
      <c r="T383" s="4">
        <f t="shared" si="5"/>
        <v>156.96</v>
      </c>
    </row>
    <row r="384" spans="1:20" x14ac:dyDescent="0.2">
      <c r="A384">
        <v>416</v>
      </c>
      <c r="B384">
        <v>4</v>
      </c>
      <c r="C384" t="s">
        <v>1675</v>
      </c>
      <c r="D384" t="s">
        <v>1676</v>
      </c>
      <c r="E384" t="s">
        <v>39</v>
      </c>
      <c r="F384" t="s">
        <v>1677</v>
      </c>
      <c r="G384" t="s">
        <v>1678</v>
      </c>
      <c r="H384" t="s">
        <v>67</v>
      </c>
      <c r="I384" t="s">
        <v>67</v>
      </c>
      <c r="J384" t="s">
        <v>26</v>
      </c>
      <c r="K384" t="s">
        <v>1679</v>
      </c>
      <c r="L384" s="2">
        <v>4599408.9442760199</v>
      </c>
      <c r="M384" s="3">
        <v>3.8298501118173463E-2</v>
      </c>
      <c r="N384" s="3">
        <v>0</v>
      </c>
      <c r="O384" s="3">
        <v>0.427687834678046</v>
      </c>
      <c r="P384" s="3">
        <v>0.53343777702757911</v>
      </c>
      <c r="Q384" s="3">
        <v>5.7588717620138397E-4</v>
      </c>
      <c r="R384" s="3">
        <v>0.96112561170562505</v>
      </c>
      <c r="S384" t="s">
        <v>44</v>
      </c>
      <c r="T384" s="4">
        <f t="shared" si="5"/>
        <v>249.4</v>
      </c>
    </row>
    <row r="385" spans="1:20" x14ac:dyDescent="0.2">
      <c r="A385">
        <v>417</v>
      </c>
      <c r="B385">
        <v>1</v>
      </c>
      <c r="C385" t="s">
        <v>1680</v>
      </c>
      <c r="D385" t="s">
        <v>1681</v>
      </c>
      <c r="E385" t="s">
        <v>39</v>
      </c>
      <c r="H385" t="s">
        <v>67</v>
      </c>
      <c r="I385" t="s">
        <v>67</v>
      </c>
      <c r="J385" t="s">
        <v>26</v>
      </c>
      <c r="K385" t="s">
        <v>363</v>
      </c>
      <c r="L385" s="2">
        <v>1149852.236069005</v>
      </c>
      <c r="M385" s="3">
        <v>0.13198418747555099</v>
      </c>
      <c r="N385" s="3">
        <v>0</v>
      </c>
      <c r="O385" s="3">
        <v>0.3041181840085343</v>
      </c>
      <c r="P385" s="3">
        <v>0.35941283564177451</v>
      </c>
      <c r="Q385" s="3">
        <v>0.2044847928741402</v>
      </c>
      <c r="R385" s="3">
        <v>0.66353101965030881</v>
      </c>
      <c r="S385" t="s">
        <v>44</v>
      </c>
      <c r="T385" s="4">
        <f t="shared" si="5"/>
        <v>181.85</v>
      </c>
    </row>
    <row r="386" spans="1:20" x14ac:dyDescent="0.2">
      <c r="A386">
        <v>418</v>
      </c>
      <c r="B386">
        <v>1</v>
      </c>
      <c r="C386" t="s">
        <v>1682</v>
      </c>
      <c r="D386" t="s">
        <v>1683</v>
      </c>
      <c r="E386" t="s">
        <v>47</v>
      </c>
      <c r="F386" t="s">
        <v>171</v>
      </c>
      <c r="G386" t="s">
        <v>172</v>
      </c>
      <c r="H386" t="s">
        <v>80</v>
      </c>
      <c r="I386" t="s">
        <v>80</v>
      </c>
      <c r="J386" t="s">
        <v>26</v>
      </c>
      <c r="K386" t="s">
        <v>155</v>
      </c>
      <c r="L386" s="2">
        <v>1149852.236069005</v>
      </c>
      <c r="M386" s="3">
        <v>8.0304894524416859E-2</v>
      </c>
      <c r="N386" s="3">
        <v>0</v>
      </c>
      <c r="O386" s="3">
        <v>8.6158151637020855E-2</v>
      </c>
      <c r="P386" s="3">
        <v>6.2168714043170552E-3</v>
      </c>
      <c r="Q386" s="3">
        <v>0.82732008243424526</v>
      </c>
      <c r="R386" s="3">
        <v>9.2375023041337906E-2</v>
      </c>
      <c r="S386" t="s">
        <v>28</v>
      </c>
      <c r="T386" s="4">
        <f t="shared" ref="T386:T440" si="6">ROUND((M386*100*1)+(O386*100*2)+(P386*100*3),2)</f>
        <v>27.13</v>
      </c>
    </row>
    <row r="387" spans="1:20" x14ac:dyDescent="0.2">
      <c r="A387">
        <v>419</v>
      </c>
      <c r="B387">
        <v>13</v>
      </c>
      <c r="C387" t="s">
        <v>1684</v>
      </c>
      <c r="D387" t="s">
        <v>1685</v>
      </c>
      <c r="E387" t="s">
        <v>1686</v>
      </c>
      <c r="H387" t="s">
        <v>67</v>
      </c>
      <c r="I387" t="s">
        <v>67</v>
      </c>
      <c r="J387" t="s">
        <v>34</v>
      </c>
      <c r="K387" t="s">
        <v>204</v>
      </c>
      <c r="L387" s="2">
        <v>14948079.068897059</v>
      </c>
      <c r="M387" s="3">
        <v>8.0304894524416831E-2</v>
      </c>
      <c r="N387" s="3">
        <v>0</v>
      </c>
      <c r="O387" s="3">
        <v>8.6158151637020855E-2</v>
      </c>
      <c r="P387" s="3">
        <v>6.2168714043170543E-3</v>
      </c>
      <c r="Q387" s="3">
        <v>0.82732008243424515</v>
      </c>
      <c r="R387" s="3">
        <v>9.2375023041337906E-2</v>
      </c>
      <c r="S387" t="s">
        <v>28</v>
      </c>
      <c r="T387" s="4">
        <f t="shared" si="6"/>
        <v>27.13</v>
      </c>
    </row>
    <row r="388" spans="1:20" x14ac:dyDescent="0.2">
      <c r="A388">
        <v>420</v>
      </c>
      <c r="B388">
        <v>6</v>
      </c>
      <c r="C388" t="s">
        <v>1687</v>
      </c>
      <c r="D388" t="s">
        <v>1688</v>
      </c>
      <c r="E388" t="s">
        <v>1686</v>
      </c>
      <c r="H388" t="s">
        <v>67</v>
      </c>
      <c r="I388" t="s">
        <v>67</v>
      </c>
      <c r="J388" t="s">
        <v>34</v>
      </c>
      <c r="K388" t="s">
        <v>86</v>
      </c>
      <c r="L388" s="2">
        <v>6899113.4164143251</v>
      </c>
      <c r="M388" s="3">
        <v>0.13809688237778531</v>
      </c>
      <c r="N388" s="3">
        <v>0</v>
      </c>
      <c r="O388" s="3">
        <v>0.27253615044744223</v>
      </c>
      <c r="P388" s="3">
        <v>8.3917498351665079E-2</v>
      </c>
      <c r="Q388" s="3">
        <v>0.50544946882310748</v>
      </c>
      <c r="R388" s="3">
        <v>0.35645364879910718</v>
      </c>
      <c r="S388" t="s">
        <v>69</v>
      </c>
      <c r="T388" s="4">
        <f t="shared" si="6"/>
        <v>93.49</v>
      </c>
    </row>
    <row r="389" spans="1:20" x14ac:dyDescent="0.2">
      <c r="A389">
        <v>421</v>
      </c>
      <c r="B389">
        <v>2</v>
      </c>
      <c r="C389" t="s">
        <v>1689</v>
      </c>
      <c r="D389" t="s">
        <v>1690</v>
      </c>
      <c r="E389" t="s">
        <v>1451</v>
      </c>
      <c r="F389" t="s">
        <v>186</v>
      </c>
      <c r="G389" t="s">
        <v>160</v>
      </c>
      <c r="H389" t="s">
        <v>67</v>
      </c>
      <c r="I389" t="s">
        <v>67</v>
      </c>
      <c r="J389" t="s">
        <v>26</v>
      </c>
      <c r="K389" t="s">
        <v>626</v>
      </c>
      <c r="L389" s="2">
        <v>2299704.4721381082</v>
      </c>
      <c r="M389" s="3">
        <v>0.79778454515005048</v>
      </c>
      <c r="N389" s="3">
        <v>0</v>
      </c>
      <c r="O389" s="3">
        <v>2.6345073754376461E-2</v>
      </c>
      <c r="P389" s="3">
        <v>2.215579599383702E-3</v>
      </c>
      <c r="Q389" s="3">
        <v>0.17365480149618939</v>
      </c>
      <c r="R389" s="3">
        <v>2.8560653353760158E-2</v>
      </c>
      <c r="S389" t="s">
        <v>28</v>
      </c>
      <c r="T389" s="4">
        <f t="shared" si="6"/>
        <v>85.71</v>
      </c>
    </row>
    <row r="390" spans="1:20" x14ac:dyDescent="0.2">
      <c r="A390">
        <v>422</v>
      </c>
      <c r="B390">
        <v>1</v>
      </c>
      <c r="C390" t="s">
        <v>1691</v>
      </c>
      <c r="D390" t="s">
        <v>1692</v>
      </c>
      <c r="E390" t="s">
        <v>801</v>
      </c>
      <c r="F390" t="s">
        <v>1693</v>
      </c>
      <c r="G390" t="s">
        <v>1694</v>
      </c>
      <c r="H390" t="s">
        <v>25</v>
      </c>
      <c r="I390" t="s">
        <v>25</v>
      </c>
      <c r="J390" t="s">
        <v>92</v>
      </c>
      <c r="K390" t="s">
        <v>86</v>
      </c>
      <c r="L390" s="2">
        <v>1149852.2360690541</v>
      </c>
      <c r="M390" s="3">
        <v>7.7644536940113418E-2</v>
      </c>
      <c r="N390" s="3">
        <v>0</v>
      </c>
      <c r="O390" s="3">
        <v>0.20816143596820891</v>
      </c>
      <c r="P390" s="3">
        <v>1.5397035226340609E-2</v>
      </c>
      <c r="Q390" s="3">
        <v>0.69879699186533717</v>
      </c>
      <c r="R390" s="3">
        <v>0.2235584711945495</v>
      </c>
      <c r="S390" t="s">
        <v>69</v>
      </c>
      <c r="T390" s="4">
        <f t="shared" si="6"/>
        <v>54.02</v>
      </c>
    </row>
    <row r="391" spans="1:20" x14ac:dyDescent="0.2">
      <c r="A391">
        <v>423</v>
      </c>
      <c r="B391">
        <v>1</v>
      </c>
      <c r="C391" t="s">
        <v>1695</v>
      </c>
      <c r="D391" t="s">
        <v>1696</v>
      </c>
      <c r="E391" t="s">
        <v>801</v>
      </c>
      <c r="F391" t="s">
        <v>1697</v>
      </c>
      <c r="G391" t="s">
        <v>1698</v>
      </c>
      <c r="H391" t="s">
        <v>25</v>
      </c>
      <c r="I391" t="s">
        <v>25</v>
      </c>
      <c r="J391" t="s">
        <v>34</v>
      </c>
      <c r="K391" t="s">
        <v>86</v>
      </c>
      <c r="L391" s="2">
        <v>1149852.2360690541</v>
      </c>
      <c r="M391" s="3">
        <v>5.6488685816853942E-2</v>
      </c>
      <c r="N391" s="3">
        <v>0</v>
      </c>
      <c r="O391" s="3">
        <v>0.22396676978438651</v>
      </c>
      <c r="P391" s="3">
        <v>0.1509258038168064</v>
      </c>
      <c r="Q391" s="3">
        <v>0.56861874058195316</v>
      </c>
      <c r="R391" s="3">
        <v>0.37489257360119288</v>
      </c>
      <c r="S391" t="s">
        <v>69</v>
      </c>
      <c r="T391" s="4">
        <f t="shared" si="6"/>
        <v>95.72</v>
      </c>
    </row>
    <row r="392" spans="1:20" x14ac:dyDescent="0.2">
      <c r="A392">
        <v>424</v>
      </c>
      <c r="B392">
        <v>1</v>
      </c>
      <c r="C392" t="s">
        <v>1699</v>
      </c>
      <c r="D392" t="s">
        <v>1700</v>
      </c>
      <c r="E392" t="s">
        <v>158</v>
      </c>
      <c r="F392" t="s">
        <v>1701</v>
      </c>
      <c r="G392" t="s">
        <v>1702</v>
      </c>
      <c r="H392" t="s">
        <v>25</v>
      </c>
      <c r="I392" t="s">
        <v>25</v>
      </c>
      <c r="J392" t="s">
        <v>34</v>
      </c>
      <c r="K392" t="s">
        <v>161</v>
      </c>
      <c r="L392" s="2">
        <v>1149852.2360690541</v>
      </c>
      <c r="M392" s="3">
        <v>0.456769485728242</v>
      </c>
      <c r="N392" s="3">
        <v>0</v>
      </c>
      <c r="O392" s="3">
        <v>0.12160441228365559</v>
      </c>
      <c r="P392" s="3">
        <v>2.5008485457681799E-2</v>
      </c>
      <c r="Q392" s="3">
        <v>0.3966176165304206</v>
      </c>
      <c r="R392" s="3">
        <v>0.1466128977413374</v>
      </c>
      <c r="S392" t="s">
        <v>36</v>
      </c>
      <c r="T392" s="4">
        <f t="shared" si="6"/>
        <v>77.5</v>
      </c>
    </row>
    <row r="393" spans="1:20" x14ac:dyDescent="0.2">
      <c r="A393">
        <v>425</v>
      </c>
      <c r="B393">
        <v>14</v>
      </c>
      <c r="C393" t="s">
        <v>1703</v>
      </c>
      <c r="D393" t="s">
        <v>1704</v>
      </c>
      <c r="E393" t="s">
        <v>1705</v>
      </c>
      <c r="F393" t="s">
        <v>1706</v>
      </c>
      <c r="H393" t="s">
        <v>67</v>
      </c>
      <c r="I393" t="s">
        <v>67</v>
      </c>
      <c r="J393" t="s">
        <v>26</v>
      </c>
      <c r="K393" t="s">
        <v>266</v>
      </c>
      <c r="L393" s="2">
        <v>16097931.30496675</v>
      </c>
      <c r="M393" s="3">
        <v>5.776180879540029E-3</v>
      </c>
      <c r="N393" s="3">
        <v>0.21543715422601831</v>
      </c>
      <c r="O393" s="3">
        <v>0.21623233876598591</v>
      </c>
      <c r="P393" s="3">
        <v>0.22398906066853469</v>
      </c>
      <c r="Q393" s="3">
        <v>0.33856526545992149</v>
      </c>
      <c r="R393" s="3">
        <v>0.44022139943452071</v>
      </c>
      <c r="S393" t="s">
        <v>125</v>
      </c>
      <c r="T393" s="4">
        <f t="shared" si="6"/>
        <v>111.02</v>
      </c>
    </row>
    <row r="394" spans="1:20" x14ac:dyDescent="0.2">
      <c r="A394">
        <v>426</v>
      </c>
      <c r="B394">
        <v>61</v>
      </c>
      <c r="C394" t="s">
        <v>1707</v>
      </c>
      <c r="D394" t="s">
        <v>1708</v>
      </c>
      <c r="E394" t="s">
        <v>1705</v>
      </c>
      <c r="F394" t="s">
        <v>1709</v>
      </c>
      <c r="G394" t="s">
        <v>1710</v>
      </c>
      <c r="H394" t="s">
        <v>67</v>
      </c>
      <c r="I394" t="s">
        <v>67</v>
      </c>
      <c r="J394" t="s">
        <v>92</v>
      </c>
      <c r="K394" t="s">
        <v>240</v>
      </c>
      <c r="L394" s="2">
        <v>70140986.400212303</v>
      </c>
      <c r="M394" s="3">
        <v>2.5270222131934787E-7</v>
      </c>
      <c r="N394" s="3">
        <v>7.0809150541100716E-3</v>
      </c>
      <c r="O394" s="3">
        <v>0.30189186369844379</v>
      </c>
      <c r="P394" s="3">
        <v>0.28101037499531961</v>
      </c>
      <c r="Q394" s="3">
        <v>0.41001659354990527</v>
      </c>
      <c r="R394" s="3">
        <v>0.58290223869376345</v>
      </c>
      <c r="S394" t="s">
        <v>125</v>
      </c>
      <c r="T394" s="4">
        <f t="shared" si="6"/>
        <v>144.68</v>
      </c>
    </row>
    <row r="395" spans="1:20" x14ac:dyDescent="0.2">
      <c r="A395">
        <v>427</v>
      </c>
      <c r="B395">
        <v>2</v>
      </c>
      <c r="C395" t="s">
        <v>1711</v>
      </c>
      <c r="D395" t="s">
        <v>1712</v>
      </c>
      <c r="E395" t="s">
        <v>612</v>
      </c>
      <c r="F395" t="s">
        <v>1713</v>
      </c>
      <c r="G395" t="s">
        <v>1714</v>
      </c>
      <c r="H395" t="s">
        <v>67</v>
      </c>
      <c r="I395" t="s">
        <v>67</v>
      </c>
      <c r="J395" t="s">
        <v>92</v>
      </c>
      <c r="K395" t="s">
        <v>56</v>
      </c>
      <c r="L395" s="2">
        <v>2299704.47213801</v>
      </c>
      <c r="M395" s="3">
        <v>4.1759581089645698E-2</v>
      </c>
      <c r="N395" s="3">
        <v>0</v>
      </c>
      <c r="O395" s="3">
        <v>0.42860220719527192</v>
      </c>
      <c r="P395" s="3">
        <v>0.2247278404306178</v>
      </c>
      <c r="Q395" s="3">
        <v>0.30491037128446458</v>
      </c>
      <c r="R395" s="3">
        <v>0.65333004762588975</v>
      </c>
      <c r="S395" t="s">
        <v>44</v>
      </c>
      <c r="T395" s="4">
        <f t="shared" si="6"/>
        <v>157.31</v>
      </c>
    </row>
    <row r="396" spans="1:20" x14ac:dyDescent="0.2">
      <c r="A396">
        <v>428</v>
      </c>
      <c r="B396">
        <v>1</v>
      </c>
      <c r="C396" t="s">
        <v>1715</v>
      </c>
      <c r="D396" t="s">
        <v>1716</v>
      </c>
      <c r="E396" t="s">
        <v>612</v>
      </c>
      <c r="H396" t="s">
        <v>67</v>
      </c>
      <c r="I396" t="s">
        <v>67</v>
      </c>
      <c r="J396" t="s">
        <v>34</v>
      </c>
      <c r="K396" t="s">
        <v>635</v>
      </c>
      <c r="L396" s="2">
        <v>1149852.236069005</v>
      </c>
      <c r="M396" s="3">
        <v>7.5844852427030263E-2</v>
      </c>
      <c r="N396" s="3">
        <v>0</v>
      </c>
      <c r="O396" s="3">
        <v>0.38055519444878377</v>
      </c>
      <c r="P396" s="3">
        <v>0.19785474511996909</v>
      </c>
      <c r="Q396" s="3">
        <v>0.34574520800421671</v>
      </c>
      <c r="R396" s="3">
        <v>0.57840993956875286</v>
      </c>
      <c r="S396" t="s">
        <v>125</v>
      </c>
      <c r="T396" s="4">
        <f t="shared" si="6"/>
        <v>143.05000000000001</v>
      </c>
    </row>
    <row r="397" spans="1:20" x14ac:dyDescent="0.2">
      <c r="A397">
        <v>429</v>
      </c>
      <c r="B397">
        <v>1</v>
      </c>
      <c r="C397" t="s">
        <v>1717</v>
      </c>
      <c r="D397" t="s">
        <v>1718</v>
      </c>
      <c r="E397" t="s">
        <v>291</v>
      </c>
      <c r="F397" t="s">
        <v>1719</v>
      </c>
      <c r="G397" t="s">
        <v>1720</v>
      </c>
      <c r="H397" t="s">
        <v>67</v>
      </c>
      <c r="I397" t="s">
        <v>67</v>
      </c>
      <c r="J397" t="s">
        <v>92</v>
      </c>
      <c r="K397" t="s">
        <v>187</v>
      </c>
      <c r="L397" s="2">
        <v>1149852.236069005</v>
      </c>
      <c r="M397" s="3">
        <v>0.19332787758165379</v>
      </c>
      <c r="N397" s="3">
        <v>0</v>
      </c>
      <c r="O397" s="3">
        <v>0.1842152260741588</v>
      </c>
      <c r="P397" s="3">
        <v>0.3554873372525571</v>
      </c>
      <c r="Q397" s="3">
        <v>0.26696955909163028</v>
      </c>
      <c r="R397" s="3">
        <v>0.53970256332671585</v>
      </c>
      <c r="S397" t="s">
        <v>125</v>
      </c>
      <c r="T397" s="4">
        <f t="shared" si="6"/>
        <v>162.82</v>
      </c>
    </row>
    <row r="398" spans="1:20" x14ac:dyDescent="0.2">
      <c r="A398">
        <v>430</v>
      </c>
      <c r="B398">
        <v>2</v>
      </c>
      <c r="C398" t="s">
        <v>1721</v>
      </c>
      <c r="D398" t="s">
        <v>1722</v>
      </c>
      <c r="E398" t="s">
        <v>1723</v>
      </c>
      <c r="F398" t="s">
        <v>1724</v>
      </c>
      <c r="G398" t="s">
        <v>1725</v>
      </c>
      <c r="H398" t="s">
        <v>67</v>
      </c>
      <c r="I398" t="s">
        <v>67</v>
      </c>
      <c r="J398" t="s">
        <v>92</v>
      </c>
      <c r="K398" t="s">
        <v>130</v>
      </c>
      <c r="L398" s="2">
        <v>2299704.47213801</v>
      </c>
      <c r="M398" s="3">
        <v>0.5458895180054214</v>
      </c>
      <c r="N398" s="3">
        <v>0</v>
      </c>
      <c r="O398" s="3">
        <v>0.13957561428545101</v>
      </c>
      <c r="P398" s="3">
        <v>0.11740042158767081</v>
      </c>
      <c r="Q398" s="3">
        <v>0.19713444612145681</v>
      </c>
      <c r="R398" s="3">
        <v>0.25697603587312179</v>
      </c>
      <c r="S398" t="s">
        <v>69</v>
      </c>
      <c r="T398" s="4">
        <f t="shared" si="6"/>
        <v>117.72</v>
      </c>
    </row>
    <row r="399" spans="1:20" x14ac:dyDescent="0.2">
      <c r="A399">
        <v>431</v>
      </c>
      <c r="B399">
        <v>2</v>
      </c>
      <c r="C399" t="s">
        <v>1726</v>
      </c>
      <c r="D399" t="s">
        <v>1727</v>
      </c>
      <c r="E399" t="s">
        <v>1728</v>
      </c>
      <c r="F399" t="s">
        <v>1729</v>
      </c>
      <c r="G399" t="s">
        <v>1730</v>
      </c>
      <c r="H399" t="s">
        <v>67</v>
      </c>
      <c r="I399" t="s">
        <v>67</v>
      </c>
      <c r="J399" t="s">
        <v>92</v>
      </c>
      <c r="K399" t="s">
        <v>1731</v>
      </c>
      <c r="L399" s="2">
        <v>2299704.47213801</v>
      </c>
      <c r="M399" s="3">
        <v>0.89547117153793387</v>
      </c>
      <c r="N399" s="3">
        <v>0</v>
      </c>
      <c r="O399" s="3">
        <v>2.5420638293586741E-2</v>
      </c>
      <c r="P399" s="3">
        <v>1.0266932178955871E-4</v>
      </c>
      <c r="Q399" s="3">
        <v>7.900552084668977E-2</v>
      </c>
      <c r="R399" s="3">
        <v>2.5523307615376301E-2</v>
      </c>
      <c r="S399" t="s">
        <v>28</v>
      </c>
      <c r="T399" s="4">
        <f t="shared" si="6"/>
        <v>94.66</v>
      </c>
    </row>
    <row r="400" spans="1:20" x14ac:dyDescent="0.2">
      <c r="A400">
        <v>432</v>
      </c>
      <c r="B400">
        <v>1</v>
      </c>
      <c r="C400" t="s">
        <v>1732</v>
      </c>
      <c r="D400" t="s">
        <v>1733</v>
      </c>
      <c r="E400" t="s">
        <v>1625</v>
      </c>
      <c r="F400" t="s">
        <v>1734</v>
      </c>
      <c r="G400" t="s">
        <v>1735</v>
      </c>
      <c r="H400" t="s">
        <v>25</v>
      </c>
      <c r="I400" t="s">
        <v>25</v>
      </c>
      <c r="J400" t="s">
        <v>92</v>
      </c>
      <c r="K400" t="s">
        <v>750</v>
      </c>
      <c r="L400" s="2">
        <v>1149852.236069005</v>
      </c>
      <c r="M400" s="3">
        <v>0.31046192675024947</v>
      </c>
      <c r="N400" s="3">
        <v>0</v>
      </c>
      <c r="O400" s="3">
        <v>0.31960008325956007</v>
      </c>
      <c r="P400" s="3">
        <v>3.1244997481437289E-2</v>
      </c>
      <c r="Q400" s="3">
        <v>0.33869299250875318</v>
      </c>
      <c r="R400" s="3">
        <v>0.35084508074099741</v>
      </c>
      <c r="S400" t="s">
        <v>69</v>
      </c>
      <c r="T400" s="4">
        <f t="shared" si="6"/>
        <v>104.34</v>
      </c>
    </row>
    <row r="401" spans="1:20" x14ac:dyDescent="0.2">
      <c r="A401">
        <v>433</v>
      </c>
      <c r="B401">
        <v>1</v>
      </c>
      <c r="C401" t="s">
        <v>1736</v>
      </c>
      <c r="D401" t="s">
        <v>1737</v>
      </c>
      <c r="E401" t="s">
        <v>1625</v>
      </c>
      <c r="F401" t="s">
        <v>1738</v>
      </c>
      <c r="G401" t="s">
        <v>1739</v>
      </c>
      <c r="H401" t="s">
        <v>67</v>
      </c>
      <c r="I401" t="s">
        <v>67</v>
      </c>
      <c r="J401" t="s">
        <v>92</v>
      </c>
      <c r="K401" t="s">
        <v>283</v>
      </c>
      <c r="L401" s="2">
        <v>1149852.236069005</v>
      </c>
      <c r="M401" s="3">
        <v>2.8937050915265199E-2</v>
      </c>
      <c r="N401" s="3">
        <v>0</v>
      </c>
      <c r="O401" s="3">
        <v>0.21189568452081009</v>
      </c>
      <c r="P401" s="3">
        <v>6.3802015982817664E-3</v>
      </c>
      <c r="Q401" s="3">
        <v>0.75278706296564291</v>
      </c>
      <c r="R401" s="3">
        <v>0.21827588611909179</v>
      </c>
      <c r="S401" t="s">
        <v>69</v>
      </c>
      <c r="T401" s="4">
        <f t="shared" si="6"/>
        <v>47.19</v>
      </c>
    </row>
    <row r="402" spans="1:20" x14ac:dyDescent="0.2">
      <c r="A402">
        <v>434</v>
      </c>
      <c r="B402">
        <v>1</v>
      </c>
      <c r="C402" t="s">
        <v>1740</v>
      </c>
      <c r="D402" t="s">
        <v>1741</v>
      </c>
      <c r="E402" t="s">
        <v>1625</v>
      </c>
      <c r="F402" t="s">
        <v>1742</v>
      </c>
      <c r="G402" t="s">
        <v>1743</v>
      </c>
      <c r="H402" t="s">
        <v>67</v>
      </c>
      <c r="I402" t="s">
        <v>67</v>
      </c>
      <c r="J402" t="s">
        <v>34</v>
      </c>
      <c r="K402" t="s">
        <v>750</v>
      </c>
      <c r="L402" s="2">
        <v>1149852.236069005</v>
      </c>
      <c r="M402" s="3">
        <v>9.5300519842545811E-2</v>
      </c>
      <c r="N402" s="3">
        <v>0</v>
      </c>
      <c r="O402" s="3">
        <v>0.14544069702853429</v>
      </c>
      <c r="P402" s="3">
        <v>3.1626784612199699E-2</v>
      </c>
      <c r="Q402" s="3">
        <v>0.72763199851672022</v>
      </c>
      <c r="R402" s="3">
        <v>0.17706748164073399</v>
      </c>
      <c r="S402" t="s">
        <v>36</v>
      </c>
      <c r="T402" s="4">
        <f t="shared" si="6"/>
        <v>48.11</v>
      </c>
    </row>
    <row r="403" spans="1:20" x14ac:dyDescent="0.2">
      <c r="A403">
        <v>435</v>
      </c>
      <c r="B403">
        <v>1</v>
      </c>
      <c r="C403" t="s">
        <v>1744</v>
      </c>
      <c r="D403" t="s">
        <v>1745</v>
      </c>
      <c r="E403" t="s">
        <v>928</v>
      </c>
      <c r="F403" t="s">
        <v>1746</v>
      </c>
      <c r="G403" t="s">
        <v>1747</v>
      </c>
      <c r="H403" t="s">
        <v>25</v>
      </c>
      <c r="I403" t="s">
        <v>25</v>
      </c>
      <c r="J403" t="s">
        <v>26</v>
      </c>
      <c r="K403" t="s">
        <v>904</v>
      </c>
      <c r="L403" s="2">
        <v>1149852.236069005</v>
      </c>
      <c r="M403" s="3">
        <v>0.26725373957470638</v>
      </c>
      <c r="N403" s="3">
        <v>0</v>
      </c>
      <c r="O403" s="3">
        <v>2.1158905193298182E-2</v>
      </c>
      <c r="P403" s="3">
        <v>0</v>
      </c>
      <c r="Q403" s="3">
        <v>0.71158735523199546</v>
      </c>
      <c r="R403" s="3">
        <v>2.1158905193298182E-2</v>
      </c>
      <c r="S403" t="s">
        <v>28</v>
      </c>
      <c r="T403" s="4">
        <f t="shared" si="6"/>
        <v>30.96</v>
      </c>
    </row>
    <row r="404" spans="1:20" x14ac:dyDescent="0.2">
      <c r="A404">
        <v>436</v>
      </c>
      <c r="B404">
        <v>1</v>
      </c>
      <c r="C404" t="s">
        <v>1748</v>
      </c>
      <c r="D404" t="s">
        <v>1749</v>
      </c>
      <c r="E404" t="s">
        <v>109</v>
      </c>
      <c r="F404" t="s">
        <v>1750</v>
      </c>
      <c r="G404" t="s">
        <v>1751</v>
      </c>
      <c r="H404" t="s">
        <v>25</v>
      </c>
      <c r="I404" t="s">
        <v>1752</v>
      </c>
      <c r="J404" t="s">
        <v>26</v>
      </c>
      <c r="K404" t="s">
        <v>27</v>
      </c>
      <c r="L404" s="2">
        <v>1149852.236069005</v>
      </c>
      <c r="M404" s="3">
        <v>0.5724144649617231</v>
      </c>
      <c r="N404" s="3">
        <v>0</v>
      </c>
      <c r="O404" s="3">
        <v>1.9115454827679189E-3</v>
      </c>
      <c r="P404" s="3">
        <v>0</v>
      </c>
      <c r="Q404" s="3">
        <v>0.42567398955550889</v>
      </c>
      <c r="R404" s="3">
        <v>1.9115454827679189E-3</v>
      </c>
      <c r="S404" t="s">
        <v>28</v>
      </c>
      <c r="T404" s="4">
        <f t="shared" si="6"/>
        <v>57.62</v>
      </c>
    </row>
    <row r="405" spans="1:20" x14ac:dyDescent="0.2">
      <c r="A405">
        <v>437</v>
      </c>
      <c r="B405">
        <v>6</v>
      </c>
      <c r="C405" t="s">
        <v>1753</v>
      </c>
      <c r="D405" t="s">
        <v>1754</v>
      </c>
      <c r="E405" t="s">
        <v>1054</v>
      </c>
      <c r="F405" t="s">
        <v>1755</v>
      </c>
      <c r="G405" t="s">
        <v>1756</v>
      </c>
      <c r="H405" t="s">
        <v>67</v>
      </c>
      <c r="I405" t="s">
        <v>67</v>
      </c>
      <c r="J405" t="s">
        <v>26</v>
      </c>
      <c r="K405" t="s">
        <v>1057</v>
      </c>
      <c r="L405" s="2">
        <v>6899113.4164140299</v>
      </c>
      <c r="M405" s="3">
        <v>0.58747092709407833</v>
      </c>
      <c r="N405" s="3">
        <v>0</v>
      </c>
      <c r="O405" s="3">
        <v>7.8689005351950045E-2</v>
      </c>
      <c r="P405" s="3">
        <v>1.5335426811708479E-2</v>
      </c>
      <c r="Q405" s="3">
        <v>0.31850464074226309</v>
      </c>
      <c r="R405" s="3">
        <v>9.4024432163658522E-2</v>
      </c>
      <c r="S405" t="s">
        <v>28</v>
      </c>
      <c r="T405" s="4">
        <f t="shared" si="6"/>
        <v>79.09</v>
      </c>
    </row>
    <row r="406" spans="1:20" x14ac:dyDescent="0.2">
      <c r="A406">
        <v>438</v>
      </c>
      <c r="B406">
        <v>1</v>
      </c>
      <c r="C406" t="s">
        <v>1757</v>
      </c>
      <c r="D406" t="s">
        <v>1758</v>
      </c>
      <c r="E406" t="s">
        <v>1054</v>
      </c>
      <c r="F406" t="s">
        <v>1759</v>
      </c>
      <c r="G406" t="s">
        <v>1760</v>
      </c>
      <c r="H406" t="s">
        <v>25</v>
      </c>
      <c r="I406" t="s">
        <v>25</v>
      </c>
      <c r="J406" t="s">
        <v>92</v>
      </c>
      <c r="K406" t="s">
        <v>43</v>
      </c>
      <c r="L406" s="2">
        <v>1149852.236069005</v>
      </c>
      <c r="M406" s="3">
        <v>0.7984947620465247</v>
      </c>
      <c r="N406" s="3">
        <v>0</v>
      </c>
      <c r="O406" s="3">
        <v>3.957378912539939E-2</v>
      </c>
      <c r="P406" s="3">
        <v>0</v>
      </c>
      <c r="Q406" s="3">
        <v>0.16193144882807589</v>
      </c>
      <c r="R406" s="3">
        <v>3.957378912539939E-2</v>
      </c>
      <c r="S406" t="s">
        <v>28</v>
      </c>
      <c r="T406" s="4">
        <f t="shared" si="6"/>
        <v>87.76</v>
      </c>
    </row>
    <row r="407" spans="1:20" x14ac:dyDescent="0.2">
      <c r="A407">
        <v>439</v>
      </c>
      <c r="B407">
        <v>1</v>
      </c>
      <c r="C407" t="s">
        <v>1761</v>
      </c>
      <c r="D407" t="s">
        <v>1762</v>
      </c>
      <c r="E407" t="s">
        <v>77</v>
      </c>
      <c r="F407" t="s">
        <v>1763</v>
      </c>
      <c r="G407" t="s">
        <v>1764</v>
      </c>
      <c r="H407" t="s">
        <v>80</v>
      </c>
      <c r="I407" t="s">
        <v>1765</v>
      </c>
      <c r="J407" t="s">
        <v>92</v>
      </c>
      <c r="K407" t="s">
        <v>118</v>
      </c>
      <c r="L407" s="2">
        <v>1149852.236069005</v>
      </c>
      <c r="M407" s="3">
        <v>0.66197293034353888</v>
      </c>
      <c r="N407" s="3">
        <v>0</v>
      </c>
      <c r="O407" s="3">
        <v>0.16544011509551931</v>
      </c>
      <c r="P407" s="3">
        <v>1.0656269177937289E-2</v>
      </c>
      <c r="Q407" s="3">
        <v>0.16193068538300451</v>
      </c>
      <c r="R407" s="3">
        <v>0.17609638427345661</v>
      </c>
      <c r="S407" t="s">
        <v>36</v>
      </c>
      <c r="T407" s="4">
        <f t="shared" si="6"/>
        <v>102.48</v>
      </c>
    </row>
    <row r="408" spans="1:20" x14ac:dyDescent="0.2">
      <c r="A408">
        <v>440</v>
      </c>
      <c r="B408">
        <v>1</v>
      </c>
      <c r="C408" t="s">
        <v>1766</v>
      </c>
      <c r="D408" t="s">
        <v>1767</v>
      </c>
      <c r="E408" t="s">
        <v>39</v>
      </c>
      <c r="H408" t="s">
        <v>67</v>
      </c>
      <c r="I408" t="s">
        <v>67</v>
      </c>
      <c r="J408" t="s">
        <v>26</v>
      </c>
      <c r="K408" t="s">
        <v>1768</v>
      </c>
      <c r="L408" s="2">
        <v>1149852.236069005</v>
      </c>
      <c r="M408" s="3">
        <v>0</v>
      </c>
      <c r="N408" s="3">
        <v>7.0054217822435407E-4</v>
      </c>
      <c r="O408" s="3">
        <v>0.39552093856121501</v>
      </c>
      <c r="P408" s="3">
        <v>0.60377851926060455</v>
      </c>
      <c r="Q408" s="3">
        <v>0</v>
      </c>
      <c r="R408" s="3">
        <v>0.9992994578218195</v>
      </c>
      <c r="S408" t="s">
        <v>44</v>
      </c>
      <c r="T408" s="4">
        <f t="shared" si="6"/>
        <v>260.24</v>
      </c>
    </row>
    <row r="409" spans="1:20" x14ac:dyDescent="0.2">
      <c r="A409">
        <v>441</v>
      </c>
      <c r="B409">
        <v>1</v>
      </c>
      <c r="C409" t="s">
        <v>1769</v>
      </c>
      <c r="D409" t="s">
        <v>1770</v>
      </c>
      <c r="E409" t="s">
        <v>39</v>
      </c>
      <c r="H409" t="s">
        <v>67</v>
      </c>
      <c r="I409" t="s">
        <v>67</v>
      </c>
      <c r="J409" t="s">
        <v>34</v>
      </c>
      <c r="K409" t="s">
        <v>1108</v>
      </c>
      <c r="L409" s="2">
        <v>1149852.236069005</v>
      </c>
      <c r="M409" s="3">
        <v>0</v>
      </c>
      <c r="N409" s="3">
        <v>0</v>
      </c>
      <c r="O409" s="3">
        <v>0.40736649863901159</v>
      </c>
      <c r="P409" s="3">
        <v>0.58969112791555556</v>
      </c>
      <c r="Q409" s="3">
        <v>2.9423734454327999E-3</v>
      </c>
      <c r="R409" s="3">
        <v>0.9970576265545672</v>
      </c>
      <c r="S409" t="s">
        <v>44</v>
      </c>
      <c r="T409" s="4">
        <f t="shared" si="6"/>
        <v>258.38</v>
      </c>
    </row>
    <row r="410" spans="1:20" x14ac:dyDescent="0.2">
      <c r="A410">
        <v>442</v>
      </c>
      <c r="B410">
        <v>5</v>
      </c>
      <c r="C410" t="s">
        <v>1771</v>
      </c>
      <c r="D410" t="s">
        <v>1772</v>
      </c>
      <c r="E410" t="s">
        <v>39</v>
      </c>
      <c r="H410" t="s">
        <v>67</v>
      </c>
      <c r="I410" t="s">
        <v>67</v>
      </c>
      <c r="J410" t="s">
        <v>26</v>
      </c>
      <c r="K410" t="s">
        <v>1108</v>
      </c>
      <c r="L410" s="2">
        <v>5749261.1803450249</v>
      </c>
      <c r="M410" s="3">
        <v>1.103529176647788E-2</v>
      </c>
      <c r="N410" s="3">
        <v>0</v>
      </c>
      <c r="O410" s="3">
        <v>0.41880791351583768</v>
      </c>
      <c r="P410" s="3">
        <v>0.53783540819144149</v>
      </c>
      <c r="Q410" s="3">
        <v>3.2321386526242953E-2</v>
      </c>
      <c r="R410" s="3">
        <v>0.95664332170727917</v>
      </c>
      <c r="S410" t="s">
        <v>44</v>
      </c>
      <c r="T410" s="4">
        <f t="shared" si="6"/>
        <v>246.22</v>
      </c>
    </row>
    <row r="411" spans="1:20" x14ac:dyDescent="0.2">
      <c r="A411">
        <v>443</v>
      </c>
      <c r="B411">
        <v>4</v>
      </c>
      <c r="C411" t="s">
        <v>1773</v>
      </c>
      <c r="D411" t="s">
        <v>1774</v>
      </c>
      <c r="E411" t="s">
        <v>39</v>
      </c>
      <c r="H411" t="s">
        <v>67</v>
      </c>
      <c r="I411" t="s">
        <v>67</v>
      </c>
      <c r="J411" t="s">
        <v>26</v>
      </c>
      <c r="K411" t="s">
        <v>1775</v>
      </c>
      <c r="L411" s="2">
        <v>4599408.9442760199</v>
      </c>
      <c r="M411" s="3">
        <v>0</v>
      </c>
      <c r="N411" s="3">
        <v>0</v>
      </c>
      <c r="O411" s="3">
        <v>0.40091901780511391</v>
      </c>
      <c r="P411" s="3">
        <v>0.599080982194931</v>
      </c>
      <c r="Q411" s="3">
        <v>0</v>
      </c>
      <c r="R411" s="3">
        <v>1.0000000000000451</v>
      </c>
      <c r="S411" t="s">
        <v>44</v>
      </c>
      <c r="T411" s="4">
        <f t="shared" si="6"/>
        <v>259.91000000000003</v>
      </c>
    </row>
    <row r="412" spans="1:20" x14ac:dyDescent="0.2">
      <c r="A412">
        <v>444</v>
      </c>
      <c r="B412">
        <v>1</v>
      </c>
      <c r="C412" t="s">
        <v>1776</v>
      </c>
      <c r="D412" t="s">
        <v>1777</v>
      </c>
      <c r="E412" t="s">
        <v>39</v>
      </c>
      <c r="H412" t="s">
        <v>80</v>
      </c>
      <c r="I412" t="s">
        <v>793</v>
      </c>
      <c r="J412" t="s">
        <v>26</v>
      </c>
      <c r="K412" t="s">
        <v>635</v>
      </c>
      <c r="L412" s="2">
        <v>1149852.236069005</v>
      </c>
      <c r="M412" s="3">
        <v>0</v>
      </c>
      <c r="N412" s="3">
        <v>0</v>
      </c>
      <c r="O412" s="3">
        <v>0.40304794660487292</v>
      </c>
      <c r="P412" s="3">
        <v>0.59695205339510371</v>
      </c>
      <c r="Q412" s="3">
        <v>2.34257058195908E-14</v>
      </c>
      <c r="R412" s="3">
        <v>0.99999999999997669</v>
      </c>
      <c r="S412" t="s">
        <v>44</v>
      </c>
      <c r="T412" s="4">
        <f t="shared" si="6"/>
        <v>259.7</v>
      </c>
    </row>
    <row r="413" spans="1:20" x14ac:dyDescent="0.2">
      <c r="A413">
        <v>445</v>
      </c>
      <c r="B413">
        <v>6</v>
      </c>
      <c r="C413" t="s">
        <v>1778</v>
      </c>
      <c r="D413" t="s">
        <v>1779</v>
      </c>
      <c r="E413" t="s">
        <v>39</v>
      </c>
      <c r="H413" t="s">
        <v>67</v>
      </c>
      <c r="I413" t="s">
        <v>67</v>
      </c>
      <c r="J413" t="s">
        <v>26</v>
      </c>
      <c r="K413" t="s">
        <v>635</v>
      </c>
      <c r="L413" s="2">
        <v>6899113.4164140299</v>
      </c>
      <c r="M413" s="3">
        <v>0</v>
      </c>
      <c r="N413" s="3">
        <v>0</v>
      </c>
      <c r="O413" s="3">
        <v>0.41186892841595218</v>
      </c>
      <c r="P413" s="3">
        <v>0.5881310715840703</v>
      </c>
      <c r="Q413" s="3">
        <v>0</v>
      </c>
      <c r="R413" s="3">
        <v>1.0000000000000231</v>
      </c>
      <c r="S413" t="s">
        <v>44</v>
      </c>
      <c r="T413" s="4">
        <f t="shared" si="6"/>
        <v>258.81</v>
      </c>
    </row>
    <row r="414" spans="1:20" x14ac:dyDescent="0.2">
      <c r="A414">
        <v>446</v>
      </c>
      <c r="B414">
        <v>1</v>
      </c>
      <c r="C414" t="s">
        <v>1780</v>
      </c>
      <c r="D414" t="s">
        <v>1781</v>
      </c>
      <c r="E414" t="s">
        <v>39</v>
      </c>
      <c r="H414" t="s">
        <v>67</v>
      </c>
      <c r="I414" t="s">
        <v>67</v>
      </c>
      <c r="J414" t="s">
        <v>34</v>
      </c>
      <c r="K414" t="s">
        <v>187</v>
      </c>
      <c r="L414" s="2">
        <v>1149852.236069005</v>
      </c>
      <c r="M414" s="3">
        <v>0</v>
      </c>
      <c r="N414" s="3">
        <v>0</v>
      </c>
      <c r="O414" s="3">
        <v>0.42564876339607249</v>
      </c>
      <c r="P414" s="3">
        <v>0.57435123660393705</v>
      </c>
      <c r="Q414" s="3">
        <v>0</v>
      </c>
      <c r="R414" s="3">
        <v>1.00000000000001</v>
      </c>
      <c r="S414" t="s">
        <v>44</v>
      </c>
      <c r="T414" s="4">
        <f t="shared" si="6"/>
        <v>257.44</v>
      </c>
    </row>
    <row r="415" spans="1:20" x14ac:dyDescent="0.2">
      <c r="A415">
        <v>447</v>
      </c>
      <c r="B415">
        <v>1</v>
      </c>
      <c r="C415" t="s">
        <v>1782</v>
      </c>
      <c r="D415" t="s">
        <v>1783</v>
      </c>
      <c r="E415" t="s">
        <v>1686</v>
      </c>
      <c r="F415" t="s">
        <v>1784</v>
      </c>
      <c r="G415" t="s">
        <v>1785</v>
      </c>
      <c r="H415" t="s">
        <v>80</v>
      </c>
      <c r="I415" t="s">
        <v>296</v>
      </c>
      <c r="J415" t="s">
        <v>34</v>
      </c>
      <c r="K415" t="s">
        <v>27</v>
      </c>
      <c r="L415" s="2">
        <v>1149852.2360690541</v>
      </c>
      <c r="M415" s="3">
        <v>0.44516248969393107</v>
      </c>
      <c r="N415" s="3">
        <v>0</v>
      </c>
      <c r="O415" s="3">
        <v>0.19939562064631289</v>
      </c>
      <c r="P415" s="3">
        <v>0.12533193762686889</v>
      </c>
      <c r="Q415" s="3">
        <v>0.23010995203288709</v>
      </c>
      <c r="R415" s="3">
        <v>0.32472755827318178</v>
      </c>
      <c r="S415" t="s">
        <v>69</v>
      </c>
      <c r="T415" s="4">
        <f t="shared" si="6"/>
        <v>121.99</v>
      </c>
    </row>
    <row r="416" spans="1:20" x14ac:dyDescent="0.2">
      <c r="A416">
        <v>448</v>
      </c>
      <c r="B416">
        <v>1</v>
      </c>
      <c r="C416" t="s">
        <v>1786</v>
      </c>
      <c r="D416" t="s">
        <v>1787</v>
      </c>
      <c r="E416" t="s">
        <v>1788</v>
      </c>
      <c r="F416" t="s">
        <v>1789</v>
      </c>
      <c r="G416" t="s">
        <v>1790</v>
      </c>
      <c r="H416" t="s">
        <v>80</v>
      </c>
      <c r="I416" t="s">
        <v>80</v>
      </c>
      <c r="J416" t="s">
        <v>34</v>
      </c>
      <c r="K416" t="s">
        <v>561</v>
      </c>
      <c r="L416" s="2">
        <v>1149852.2360690541</v>
      </c>
      <c r="M416" s="3">
        <v>6.342359367479429E-2</v>
      </c>
      <c r="N416" s="3">
        <v>0</v>
      </c>
      <c r="O416" s="3">
        <v>0.33518978382890008</v>
      </c>
      <c r="P416" s="3">
        <v>0.52270343752899329</v>
      </c>
      <c r="Q416" s="3">
        <v>7.8683184967312303E-2</v>
      </c>
      <c r="R416" s="3">
        <v>0.85789322135789337</v>
      </c>
      <c r="S416" t="s">
        <v>44</v>
      </c>
      <c r="T416" s="4">
        <f t="shared" si="6"/>
        <v>230.19</v>
      </c>
    </row>
    <row r="417" spans="1:20" x14ac:dyDescent="0.2">
      <c r="A417">
        <v>449</v>
      </c>
      <c r="B417">
        <v>1</v>
      </c>
      <c r="C417" t="s">
        <v>1791</v>
      </c>
      <c r="D417" t="s">
        <v>1792</v>
      </c>
      <c r="E417" t="s">
        <v>801</v>
      </c>
      <c r="F417" t="s">
        <v>1793</v>
      </c>
      <c r="G417" t="s">
        <v>1794</v>
      </c>
      <c r="H417" t="s">
        <v>25</v>
      </c>
      <c r="I417" t="s">
        <v>25</v>
      </c>
      <c r="J417" t="s">
        <v>92</v>
      </c>
      <c r="K417" t="s">
        <v>86</v>
      </c>
      <c r="L417" s="2">
        <v>1149852.2360690541</v>
      </c>
      <c r="M417" s="3">
        <v>3.1220245924821661E-2</v>
      </c>
      <c r="N417" s="3">
        <v>0</v>
      </c>
      <c r="O417" s="3">
        <v>0.23828340830037359</v>
      </c>
      <c r="P417" s="3">
        <v>9.8395492822843544E-2</v>
      </c>
      <c r="Q417" s="3">
        <v>0.63210085295196117</v>
      </c>
      <c r="R417" s="3">
        <v>0.33667890112321708</v>
      </c>
      <c r="S417" t="s">
        <v>69</v>
      </c>
      <c r="T417" s="4">
        <f t="shared" si="6"/>
        <v>80.3</v>
      </c>
    </row>
    <row r="418" spans="1:20" x14ac:dyDescent="0.2">
      <c r="A418">
        <v>450</v>
      </c>
      <c r="B418">
        <v>1</v>
      </c>
      <c r="C418" t="s">
        <v>1795</v>
      </c>
      <c r="D418" t="s">
        <v>1796</v>
      </c>
      <c r="E418" t="s">
        <v>801</v>
      </c>
      <c r="F418" t="s">
        <v>1797</v>
      </c>
      <c r="G418" t="s">
        <v>1798</v>
      </c>
      <c r="H418" t="s">
        <v>336</v>
      </c>
      <c r="I418" t="s">
        <v>336</v>
      </c>
      <c r="J418" t="s">
        <v>92</v>
      </c>
      <c r="K418" t="s">
        <v>891</v>
      </c>
      <c r="L418" s="2">
        <v>1149852.2360690541</v>
      </c>
      <c r="M418" s="3">
        <v>2.0108691444407752E-2</v>
      </c>
      <c r="N418" s="3">
        <v>0</v>
      </c>
      <c r="O418" s="3">
        <v>0.24815658343008359</v>
      </c>
      <c r="P418" s="3">
        <v>0.17435199798200299</v>
      </c>
      <c r="Q418" s="3">
        <v>0.55738272714350567</v>
      </c>
      <c r="R418" s="3">
        <v>0.42250858141208658</v>
      </c>
      <c r="S418" t="s">
        <v>125</v>
      </c>
      <c r="T418" s="4">
        <f t="shared" si="6"/>
        <v>103.95</v>
      </c>
    </row>
    <row r="419" spans="1:20" x14ac:dyDescent="0.2">
      <c r="A419">
        <v>451</v>
      </c>
      <c r="B419">
        <v>5</v>
      </c>
      <c r="C419" t="s">
        <v>1799</v>
      </c>
      <c r="D419" t="s">
        <v>1800</v>
      </c>
      <c r="E419" t="s">
        <v>830</v>
      </c>
      <c r="F419" t="s">
        <v>1801</v>
      </c>
      <c r="G419" t="s">
        <v>1802</v>
      </c>
      <c r="H419" t="s">
        <v>67</v>
      </c>
      <c r="I419" t="s">
        <v>67</v>
      </c>
      <c r="J419" t="s">
        <v>34</v>
      </c>
      <c r="K419" t="s">
        <v>43</v>
      </c>
      <c r="L419" s="2">
        <v>5749261.1803452708</v>
      </c>
      <c r="M419" s="3">
        <v>0.3324962388333193</v>
      </c>
      <c r="N419" s="3">
        <v>5.711782173945143E-2</v>
      </c>
      <c r="O419" s="3">
        <v>0.22564761609212419</v>
      </c>
      <c r="P419" s="3">
        <v>0.1447312800637241</v>
      </c>
      <c r="Q419" s="3">
        <v>0.24000704327138089</v>
      </c>
      <c r="R419" s="3">
        <v>0.37037889615584829</v>
      </c>
      <c r="S419" t="s">
        <v>69</v>
      </c>
      <c r="T419" s="4">
        <f t="shared" si="6"/>
        <v>121.8</v>
      </c>
    </row>
    <row r="420" spans="1:20" x14ac:dyDescent="0.2">
      <c r="A420">
        <v>452</v>
      </c>
      <c r="B420">
        <v>1</v>
      </c>
      <c r="C420" t="s">
        <v>1803</v>
      </c>
      <c r="D420" t="s">
        <v>1804</v>
      </c>
      <c r="E420" t="s">
        <v>830</v>
      </c>
      <c r="F420" t="s">
        <v>1805</v>
      </c>
      <c r="G420" t="s">
        <v>1806</v>
      </c>
      <c r="H420" t="s">
        <v>67</v>
      </c>
      <c r="I420" t="s">
        <v>67</v>
      </c>
      <c r="J420" t="s">
        <v>26</v>
      </c>
      <c r="K420" t="s">
        <v>667</v>
      </c>
      <c r="L420" s="2">
        <v>1149852.2360690541</v>
      </c>
      <c r="M420" s="3">
        <v>0.3414039720789272</v>
      </c>
      <c r="N420" s="3">
        <v>5.7117821739451437E-2</v>
      </c>
      <c r="O420" s="3">
        <v>0.20551957587813971</v>
      </c>
      <c r="P420" s="3">
        <v>0.1069614188033928</v>
      </c>
      <c r="Q420" s="3">
        <v>0.28899721150008878</v>
      </c>
      <c r="R420" s="3">
        <v>0.31248099468153251</v>
      </c>
      <c r="S420" t="s">
        <v>69</v>
      </c>
      <c r="T420" s="4">
        <f t="shared" si="6"/>
        <v>107.33</v>
      </c>
    </row>
    <row r="421" spans="1:20" x14ac:dyDescent="0.2">
      <c r="A421">
        <v>455</v>
      </c>
      <c r="B421">
        <v>1</v>
      </c>
      <c r="C421" t="s">
        <v>1807</v>
      </c>
      <c r="D421" t="s">
        <v>1808</v>
      </c>
      <c r="E421" t="s">
        <v>1358</v>
      </c>
      <c r="H421" t="s">
        <v>67</v>
      </c>
      <c r="I421" t="s">
        <v>67</v>
      </c>
      <c r="J421" t="s">
        <v>26</v>
      </c>
      <c r="K421" t="s">
        <v>621</v>
      </c>
      <c r="L421" s="2">
        <v>1149852.236069005</v>
      </c>
      <c r="M421" s="3">
        <v>0.7317875676879515</v>
      </c>
      <c r="N421" s="3">
        <v>0</v>
      </c>
      <c r="O421" s="3">
        <v>0.12478185408936129</v>
      </c>
      <c r="P421" s="3">
        <v>0.1233040335095402</v>
      </c>
      <c r="Q421" s="3">
        <v>2.0126544713147121E-2</v>
      </c>
      <c r="R421" s="3">
        <v>0.24808588759890149</v>
      </c>
      <c r="S421" t="s">
        <v>69</v>
      </c>
      <c r="T421" s="4">
        <f t="shared" si="6"/>
        <v>135.13</v>
      </c>
    </row>
    <row r="422" spans="1:20" x14ac:dyDescent="0.2">
      <c r="A422">
        <v>456</v>
      </c>
      <c r="B422">
        <v>1</v>
      </c>
      <c r="C422" t="s">
        <v>1809</v>
      </c>
      <c r="D422" t="s">
        <v>1810</v>
      </c>
      <c r="E422" t="s">
        <v>109</v>
      </c>
      <c r="F422" t="s">
        <v>1811</v>
      </c>
      <c r="G422" t="s">
        <v>1812</v>
      </c>
      <c r="H422" t="s">
        <v>25</v>
      </c>
      <c r="I422" t="s">
        <v>25</v>
      </c>
      <c r="J422" t="s">
        <v>26</v>
      </c>
      <c r="K422" t="s">
        <v>187</v>
      </c>
      <c r="L422" s="2">
        <v>1149852.236069005</v>
      </c>
      <c r="M422" s="3">
        <v>0.52661272829075267</v>
      </c>
      <c r="N422" s="3">
        <v>0</v>
      </c>
      <c r="O422" s="3">
        <v>0</v>
      </c>
      <c r="P422" s="3">
        <v>0</v>
      </c>
      <c r="Q422" s="3">
        <v>0.47338727170924738</v>
      </c>
      <c r="R422" s="3">
        <v>0</v>
      </c>
      <c r="S422" t="s">
        <v>28</v>
      </c>
      <c r="T422" s="4">
        <f t="shared" si="6"/>
        <v>52.66</v>
      </c>
    </row>
    <row r="423" spans="1:20" x14ac:dyDescent="0.2">
      <c r="A423">
        <v>457</v>
      </c>
      <c r="B423">
        <v>15</v>
      </c>
      <c r="C423" t="s">
        <v>1813</v>
      </c>
      <c r="D423" t="s">
        <v>1814</v>
      </c>
      <c r="E423" t="s">
        <v>1365</v>
      </c>
      <c r="F423" t="s">
        <v>1815</v>
      </c>
      <c r="G423" t="s">
        <v>1816</v>
      </c>
      <c r="H423" t="s">
        <v>67</v>
      </c>
      <c r="I423" t="s">
        <v>67</v>
      </c>
      <c r="J423" t="s">
        <v>26</v>
      </c>
      <c r="K423" t="s">
        <v>1817</v>
      </c>
      <c r="L423" s="2">
        <v>17247783.541035071</v>
      </c>
      <c r="M423" s="3">
        <v>0.76816300058183673</v>
      </c>
      <c r="N423" s="3">
        <v>0</v>
      </c>
      <c r="O423" s="3">
        <v>4.0276163950820149E-2</v>
      </c>
      <c r="P423" s="3">
        <v>0</v>
      </c>
      <c r="Q423" s="3">
        <v>0.19156083546734301</v>
      </c>
      <c r="R423" s="3">
        <v>4.0276163950820149E-2</v>
      </c>
      <c r="S423" t="s">
        <v>28</v>
      </c>
      <c r="T423" s="4">
        <f t="shared" si="6"/>
        <v>84.87</v>
      </c>
    </row>
    <row r="424" spans="1:20" x14ac:dyDescent="0.2">
      <c r="A424">
        <v>458</v>
      </c>
      <c r="B424">
        <v>1</v>
      </c>
      <c r="C424" t="s">
        <v>1818</v>
      </c>
      <c r="D424" t="s">
        <v>1819</v>
      </c>
      <c r="E424" t="s">
        <v>1820</v>
      </c>
      <c r="H424" t="s">
        <v>25</v>
      </c>
      <c r="I424" t="s">
        <v>25</v>
      </c>
      <c r="J424" t="s">
        <v>92</v>
      </c>
      <c r="K424" t="s">
        <v>561</v>
      </c>
      <c r="L424" s="2">
        <v>1149852.236069005</v>
      </c>
      <c r="M424" s="3">
        <v>8.7711078513179249E-5</v>
      </c>
      <c r="N424" s="3">
        <v>0</v>
      </c>
      <c r="O424" s="3">
        <v>0.20758281884228211</v>
      </c>
      <c r="P424" s="3">
        <v>0.18226514656582229</v>
      </c>
      <c r="Q424" s="3">
        <v>0.61006432351338247</v>
      </c>
      <c r="R424" s="3">
        <v>0.3898479654081044</v>
      </c>
      <c r="S424" t="s">
        <v>69</v>
      </c>
      <c r="T424" s="4">
        <f t="shared" si="6"/>
        <v>96.2</v>
      </c>
    </row>
    <row r="425" spans="1:20" x14ac:dyDescent="0.2">
      <c r="A425">
        <v>459</v>
      </c>
      <c r="B425">
        <v>1</v>
      </c>
      <c r="C425" t="s">
        <v>1821</v>
      </c>
      <c r="D425" t="s">
        <v>1822</v>
      </c>
      <c r="E425" t="s">
        <v>22</v>
      </c>
      <c r="H425" t="s">
        <v>67</v>
      </c>
      <c r="I425" t="s">
        <v>67</v>
      </c>
      <c r="J425" t="s">
        <v>26</v>
      </c>
      <c r="K425" t="s">
        <v>771</v>
      </c>
      <c r="L425" s="2">
        <v>1149852.236069005</v>
      </c>
      <c r="M425" s="3">
        <v>1.732851161753024E-2</v>
      </c>
      <c r="N425" s="3">
        <v>0</v>
      </c>
      <c r="O425" s="3">
        <v>0.20759131145798371</v>
      </c>
      <c r="P425" s="3">
        <v>0.29746013454372822</v>
      </c>
      <c r="Q425" s="3">
        <v>0.47762004238075778</v>
      </c>
      <c r="R425" s="3">
        <v>0.50505144600171192</v>
      </c>
      <c r="S425" t="s">
        <v>125</v>
      </c>
      <c r="T425" s="4">
        <f t="shared" si="6"/>
        <v>132.49</v>
      </c>
    </row>
    <row r="426" spans="1:20" x14ac:dyDescent="0.2">
      <c r="A426">
        <v>460</v>
      </c>
      <c r="B426">
        <v>1</v>
      </c>
      <c r="C426" t="s">
        <v>1823</v>
      </c>
      <c r="D426" t="s">
        <v>1824</v>
      </c>
      <c r="E426" t="s">
        <v>1019</v>
      </c>
      <c r="F426" t="s">
        <v>1825</v>
      </c>
      <c r="G426" t="s">
        <v>1826</v>
      </c>
      <c r="H426" t="s">
        <v>25</v>
      </c>
      <c r="I426" t="s">
        <v>25</v>
      </c>
      <c r="J426" t="s">
        <v>92</v>
      </c>
      <c r="K426" t="s">
        <v>210</v>
      </c>
      <c r="L426" s="2">
        <v>1149852.236069005</v>
      </c>
      <c r="M426" s="3">
        <v>0.9654788956417979</v>
      </c>
      <c r="N426" s="3">
        <v>0</v>
      </c>
      <c r="O426" s="3">
        <v>3.4290647552839761E-2</v>
      </c>
      <c r="P426" s="3">
        <v>0</v>
      </c>
      <c r="Q426" s="3">
        <v>2.304568053622669E-4</v>
      </c>
      <c r="R426" s="3">
        <v>3.4290647552839761E-2</v>
      </c>
      <c r="S426" t="s">
        <v>28</v>
      </c>
      <c r="T426" s="4">
        <f t="shared" si="6"/>
        <v>103.41</v>
      </c>
    </row>
    <row r="427" spans="1:20" x14ac:dyDescent="0.2">
      <c r="A427">
        <v>461</v>
      </c>
      <c r="B427">
        <v>1</v>
      </c>
      <c r="C427" t="s">
        <v>1827</v>
      </c>
      <c r="D427" t="s">
        <v>1828</v>
      </c>
      <c r="E427" t="s">
        <v>39</v>
      </c>
      <c r="H427" t="s">
        <v>67</v>
      </c>
      <c r="I427" t="s">
        <v>67</v>
      </c>
      <c r="J427" t="s">
        <v>34</v>
      </c>
      <c r="K427" t="s">
        <v>1829</v>
      </c>
      <c r="L427" s="2">
        <v>1149852.236069005</v>
      </c>
      <c r="M427" s="3">
        <v>0</v>
      </c>
      <c r="N427" s="3">
        <v>3.9499053692149867E-6</v>
      </c>
      <c r="O427" s="3">
        <v>0.43384740066549499</v>
      </c>
      <c r="P427" s="3">
        <v>0.56614864942913001</v>
      </c>
      <c r="Q427" s="3">
        <v>5.773159728050814E-15</v>
      </c>
      <c r="R427" s="3">
        <v>0.999996050094625</v>
      </c>
      <c r="S427" t="s">
        <v>44</v>
      </c>
      <c r="T427" s="4">
        <f t="shared" si="6"/>
        <v>256.61</v>
      </c>
    </row>
    <row r="428" spans="1:20" x14ac:dyDescent="0.2">
      <c r="A428">
        <v>462</v>
      </c>
      <c r="B428">
        <v>1</v>
      </c>
      <c r="C428" t="s">
        <v>1830</v>
      </c>
      <c r="D428" t="s">
        <v>1831</v>
      </c>
      <c r="E428" t="s">
        <v>333</v>
      </c>
      <c r="H428" t="s">
        <v>67</v>
      </c>
      <c r="I428" t="s">
        <v>67</v>
      </c>
      <c r="J428" t="s">
        <v>92</v>
      </c>
      <c r="K428" t="s">
        <v>621</v>
      </c>
      <c r="L428" s="2">
        <v>1149852.2360690541</v>
      </c>
      <c r="M428" s="3">
        <v>8.9223291161082026E-3</v>
      </c>
      <c r="N428" s="3">
        <v>0</v>
      </c>
      <c r="O428" s="3">
        <v>0.20358664144313479</v>
      </c>
      <c r="P428" s="3">
        <v>0.2148273860091871</v>
      </c>
      <c r="Q428" s="3">
        <v>0.57266364343156995</v>
      </c>
      <c r="R428" s="3">
        <v>0.41841402745232192</v>
      </c>
      <c r="S428" t="s">
        <v>125</v>
      </c>
      <c r="T428" s="4">
        <f t="shared" si="6"/>
        <v>106.06</v>
      </c>
    </row>
    <row r="429" spans="1:20" x14ac:dyDescent="0.2">
      <c r="A429">
        <v>463</v>
      </c>
      <c r="B429">
        <v>2</v>
      </c>
      <c r="C429" t="s">
        <v>1832</v>
      </c>
      <c r="D429" t="s">
        <v>1833</v>
      </c>
      <c r="E429" t="s">
        <v>291</v>
      </c>
      <c r="H429" t="s">
        <v>67</v>
      </c>
      <c r="I429" t="s">
        <v>67</v>
      </c>
      <c r="J429" t="s">
        <v>26</v>
      </c>
      <c r="K429" t="s">
        <v>1817</v>
      </c>
      <c r="L429" s="2">
        <v>2299704.47213801</v>
      </c>
      <c r="M429" s="3">
        <v>5.1962331434333708E-2</v>
      </c>
      <c r="N429" s="3">
        <v>0</v>
      </c>
      <c r="O429" s="3">
        <v>0.26205406093655798</v>
      </c>
      <c r="P429" s="3">
        <v>0.47155935968817941</v>
      </c>
      <c r="Q429" s="3">
        <v>0.21442424794092879</v>
      </c>
      <c r="R429" s="3">
        <v>0.73361342062473733</v>
      </c>
      <c r="S429" t="s">
        <v>44</v>
      </c>
      <c r="T429" s="4">
        <f t="shared" si="6"/>
        <v>199.07</v>
      </c>
    </row>
    <row r="430" spans="1:20" x14ac:dyDescent="0.2">
      <c r="A430">
        <v>464</v>
      </c>
      <c r="B430">
        <v>1</v>
      </c>
      <c r="C430" t="s">
        <v>1834</v>
      </c>
      <c r="D430" t="s">
        <v>1835</v>
      </c>
      <c r="E430" t="s">
        <v>1476</v>
      </c>
      <c r="H430" t="s">
        <v>25</v>
      </c>
      <c r="I430" t="s">
        <v>25</v>
      </c>
      <c r="J430" t="s">
        <v>92</v>
      </c>
      <c r="K430" t="s">
        <v>775</v>
      </c>
      <c r="L430" s="2">
        <v>1149852.2360690541</v>
      </c>
      <c r="M430" s="3">
        <v>0.2444370202041373</v>
      </c>
      <c r="N430" s="3">
        <v>0</v>
      </c>
      <c r="O430" s="3">
        <v>0.1177884627950178</v>
      </c>
      <c r="P430" s="3">
        <v>5.2153525519525117E-2</v>
      </c>
      <c r="Q430" s="3">
        <v>0.58562099148131974</v>
      </c>
      <c r="R430" s="3">
        <v>0.16994198831454291</v>
      </c>
      <c r="S430" t="s">
        <v>36</v>
      </c>
      <c r="T430" s="4">
        <f t="shared" si="6"/>
        <v>63.65</v>
      </c>
    </row>
    <row r="431" spans="1:20" x14ac:dyDescent="0.2">
      <c r="A431">
        <v>465</v>
      </c>
      <c r="B431">
        <v>1</v>
      </c>
      <c r="C431" t="s">
        <v>1836</v>
      </c>
      <c r="D431" t="s">
        <v>1837</v>
      </c>
      <c r="E431" t="s">
        <v>474</v>
      </c>
      <c r="F431" t="s">
        <v>1838</v>
      </c>
      <c r="G431" t="s">
        <v>1839</v>
      </c>
      <c r="H431" t="s">
        <v>260</v>
      </c>
      <c r="I431" t="s">
        <v>260</v>
      </c>
      <c r="J431" t="s">
        <v>92</v>
      </c>
      <c r="K431" t="s">
        <v>621</v>
      </c>
      <c r="L431" s="2">
        <v>1149852.2360690541</v>
      </c>
      <c r="M431" s="3">
        <v>0.15248581397993979</v>
      </c>
      <c r="N431" s="3">
        <v>0</v>
      </c>
      <c r="O431" s="3">
        <v>0.1254384820403536</v>
      </c>
      <c r="P431" s="3">
        <v>1.434659157110919E-2</v>
      </c>
      <c r="Q431" s="3">
        <v>0.70772911240859737</v>
      </c>
      <c r="R431" s="3">
        <v>0.13978507361146281</v>
      </c>
      <c r="S431" t="s">
        <v>36</v>
      </c>
      <c r="T431" s="4">
        <f t="shared" si="6"/>
        <v>44.64</v>
      </c>
    </row>
    <row r="432" spans="1:20" x14ac:dyDescent="0.2">
      <c r="A432">
        <v>466</v>
      </c>
      <c r="B432">
        <v>1</v>
      </c>
      <c r="C432" t="s">
        <v>1840</v>
      </c>
      <c r="D432" t="s">
        <v>1841</v>
      </c>
      <c r="E432" t="s">
        <v>474</v>
      </c>
      <c r="F432" t="s">
        <v>1842</v>
      </c>
      <c r="G432" t="s">
        <v>1843</v>
      </c>
      <c r="H432" t="s">
        <v>67</v>
      </c>
      <c r="I432" t="s">
        <v>67</v>
      </c>
      <c r="J432" t="s">
        <v>26</v>
      </c>
      <c r="K432" t="s">
        <v>1844</v>
      </c>
      <c r="L432" s="2">
        <v>1149852.2360690541</v>
      </c>
      <c r="M432" s="3">
        <v>0.2125519891760182</v>
      </c>
      <c r="N432" s="3">
        <v>0</v>
      </c>
      <c r="O432" s="3">
        <v>0.13575565495106301</v>
      </c>
      <c r="P432" s="3">
        <v>1.13520045467537E-2</v>
      </c>
      <c r="Q432" s="3">
        <v>0.64034035132616496</v>
      </c>
      <c r="R432" s="3">
        <v>0.14710765949781671</v>
      </c>
      <c r="S432" t="s">
        <v>36</v>
      </c>
      <c r="T432" s="4">
        <f t="shared" si="6"/>
        <v>51.81</v>
      </c>
    </row>
    <row r="433" spans="1:20" x14ac:dyDescent="0.2">
      <c r="A433">
        <v>467</v>
      </c>
      <c r="B433">
        <v>1</v>
      </c>
      <c r="C433" t="s">
        <v>1845</v>
      </c>
      <c r="D433" t="s">
        <v>1846</v>
      </c>
      <c r="E433" t="s">
        <v>1847</v>
      </c>
      <c r="F433" t="s">
        <v>1563</v>
      </c>
      <c r="G433" t="s">
        <v>1848</v>
      </c>
      <c r="H433" t="s">
        <v>67</v>
      </c>
      <c r="I433" t="s">
        <v>67</v>
      </c>
      <c r="J433" t="s">
        <v>26</v>
      </c>
      <c r="K433" t="s">
        <v>585</v>
      </c>
      <c r="L433" s="2">
        <v>1149852.236069005</v>
      </c>
      <c r="M433" s="3">
        <v>0.2059363736240947</v>
      </c>
      <c r="N433" s="3">
        <v>0</v>
      </c>
      <c r="O433" s="3">
        <v>0.37652993847172023</v>
      </c>
      <c r="P433" s="3">
        <v>0.32385979475002591</v>
      </c>
      <c r="Q433" s="3">
        <v>9.3673893154159193E-2</v>
      </c>
      <c r="R433" s="3">
        <v>0.70038973322174614</v>
      </c>
      <c r="S433" t="s">
        <v>44</v>
      </c>
      <c r="T433" s="4">
        <f t="shared" si="6"/>
        <v>193.06</v>
      </c>
    </row>
    <row r="434" spans="1:20" x14ac:dyDescent="0.2">
      <c r="A434">
        <v>468</v>
      </c>
      <c r="B434">
        <v>3</v>
      </c>
      <c r="C434" t="s">
        <v>1849</v>
      </c>
      <c r="D434" t="s">
        <v>1850</v>
      </c>
      <c r="E434" t="s">
        <v>1618</v>
      </c>
      <c r="H434" t="s">
        <v>67</v>
      </c>
      <c r="I434" t="s">
        <v>67</v>
      </c>
      <c r="J434" t="s">
        <v>34</v>
      </c>
      <c r="K434" t="s">
        <v>1372</v>
      </c>
      <c r="L434" s="2">
        <v>3449556.7082070149</v>
      </c>
      <c r="M434" s="3">
        <v>1.748775812285365E-3</v>
      </c>
      <c r="N434" s="3">
        <v>2.095912655252483E-2</v>
      </c>
      <c r="O434" s="3">
        <v>0.2357479107729879</v>
      </c>
      <c r="P434" s="3">
        <v>0.2615755079127331</v>
      </c>
      <c r="Q434" s="3">
        <v>0.47996867894946887</v>
      </c>
      <c r="R434" s="3">
        <v>0.497323418685721</v>
      </c>
      <c r="S434" t="s">
        <v>125</v>
      </c>
      <c r="T434" s="4">
        <f t="shared" si="6"/>
        <v>125.8</v>
      </c>
    </row>
    <row r="435" spans="1:20" x14ac:dyDescent="0.2">
      <c r="A435">
        <v>469</v>
      </c>
      <c r="B435">
        <v>5</v>
      </c>
      <c r="C435" t="s">
        <v>1851</v>
      </c>
      <c r="D435" t="s">
        <v>1852</v>
      </c>
      <c r="E435" t="s">
        <v>1853</v>
      </c>
      <c r="F435" t="s">
        <v>1854</v>
      </c>
      <c r="G435" t="s">
        <v>1855</v>
      </c>
      <c r="H435" t="s">
        <v>25</v>
      </c>
      <c r="I435" t="s">
        <v>25</v>
      </c>
      <c r="J435" t="s">
        <v>92</v>
      </c>
      <c r="K435" t="s">
        <v>1856</v>
      </c>
      <c r="L435" s="2">
        <v>5749261.1803452708</v>
      </c>
      <c r="M435" s="3">
        <v>0.23716592221121471</v>
      </c>
      <c r="N435" s="3">
        <v>0</v>
      </c>
      <c r="O435" s="3">
        <v>9.357897382152916E-2</v>
      </c>
      <c r="P435" s="3">
        <v>0.18425403868180029</v>
      </c>
      <c r="Q435" s="3">
        <v>0.48500106528545572</v>
      </c>
      <c r="R435" s="3">
        <v>0.27783301250332942</v>
      </c>
      <c r="S435" t="s">
        <v>69</v>
      </c>
      <c r="T435" s="4">
        <f t="shared" si="6"/>
        <v>97.71</v>
      </c>
    </row>
    <row r="436" spans="1:20" x14ac:dyDescent="0.2">
      <c r="A436">
        <v>470</v>
      </c>
      <c r="B436">
        <v>1</v>
      </c>
      <c r="C436" t="s">
        <v>1857</v>
      </c>
      <c r="D436" t="s">
        <v>1858</v>
      </c>
      <c r="E436" t="s">
        <v>1859</v>
      </c>
      <c r="F436" t="s">
        <v>1860</v>
      </c>
      <c r="H436" t="s">
        <v>25</v>
      </c>
      <c r="I436" t="s">
        <v>25</v>
      </c>
      <c r="J436" t="s">
        <v>26</v>
      </c>
      <c r="K436" t="s">
        <v>43</v>
      </c>
      <c r="L436" s="2">
        <v>1149852.2360690541</v>
      </c>
      <c r="M436" s="3">
        <v>0.80418888337574534</v>
      </c>
      <c r="N436" s="3">
        <v>0</v>
      </c>
      <c r="O436" s="3">
        <v>7.911366501317979E-2</v>
      </c>
      <c r="P436" s="3">
        <v>4.9138828648178312E-2</v>
      </c>
      <c r="Q436" s="3">
        <v>6.7558622962896497E-2</v>
      </c>
      <c r="R436" s="3">
        <v>0.1282524936613581</v>
      </c>
      <c r="S436" t="s">
        <v>36</v>
      </c>
      <c r="T436" s="4">
        <f t="shared" si="6"/>
        <v>110.98</v>
      </c>
    </row>
    <row r="437" spans="1:20" x14ac:dyDescent="0.2">
      <c r="A437">
        <v>471</v>
      </c>
      <c r="B437">
        <v>1</v>
      </c>
      <c r="C437" t="s">
        <v>1861</v>
      </c>
      <c r="D437" t="s">
        <v>1862</v>
      </c>
      <c r="E437" t="s">
        <v>638</v>
      </c>
      <c r="F437" t="s">
        <v>1863</v>
      </c>
      <c r="G437" t="s">
        <v>1864</v>
      </c>
      <c r="H437" t="s">
        <v>67</v>
      </c>
      <c r="I437" t="s">
        <v>67</v>
      </c>
      <c r="J437" t="s">
        <v>26</v>
      </c>
      <c r="K437" t="s">
        <v>277</v>
      </c>
      <c r="L437" s="2">
        <v>1149852.2360690541</v>
      </c>
      <c r="M437" s="3">
        <v>6.1163933029837643E-2</v>
      </c>
      <c r="N437" s="3">
        <v>0</v>
      </c>
      <c r="O437" s="3">
        <v>0.13241634656523621</v>
      </c>
      <c r="P437" s="3">
        <v>3.1557391035301051E-2</v>
      </c>
      <c r="Q437" s="3">
        <v>0.77486232936962507</v>
      </c>
      <c r="R437" s="3">
        <v>0.16397373760053729</v>
      </c>
      <c r="S437" t="s">
        <v>36</v>
      </c>
      <c r="T437" s="4">
        <f t="shared" si="6"/>
        <v>42.07</v>
      </c>
    </row>
    <row r="438" spans="1:20" x14ac:dyDescent="0.2">
      <c r="A438">
        <v>472</v>
      </c>
      <c r="B438">
        <v>1</v>
      </c>
      <c r="C438" t="s">
        <v>1865</v>
      </c>
      <c r="D438" t="s">
        <v>1866</v>
      </c>
      <c r="E438" t="s">
        <v>612</v>
      </c>
      <c r="H438" t="s">
        <v>67</v>
      </c>
      <c r="I438" t="s">
        <v>67</v>
      </c>
      <c r="J438" t="s">
        <v>26</v>
      </c>
      <c r="K438" t="s">
        <v>56</v>
      </c>
      <c r="L438" s="2">
        <v>1149852.236069005</v>
      </c>
      <c r="M438" s="3">
        <v>0.1430160149976209</v>
      </c>
      <c r="N438" s="3">
        <v>0</v>
      </c>
      <c r="O438" s="3">
        <v>0.42613182523169463</v>
      </c>
      <c r="P438" s="3">
        <v>0.1265825353563515</v>
      </c>
      <c r="Q438" s="3">
        <v>0.30426962441433292</v>
      </c>
      <c r="R438" s="3">
        <v>0.55271436058804613</v>
      </c>
      <c r="S438" t="s">
        <v>125</v>
      </c>
      <c r="T438" s="4">
        <f t="shared" si="6"/>
        <v>137.5</v>
      </c>
    </row>
    <row r="439" spans="1:20" x14ac:dyDescent="0.2">
      <c r="A439">
        <v>473</v>
      </c>
      <c r="B439">
        <v>1</v>
      </c>
      <c r="C439" t="s">
        <v>1867</v>
      </c>
      <c r="D439" t="s">
        <v>1868</v>
      </c>
      <c r="E439" t="s">
        <v>1869</v>
      </c>
      <c r="F439" t="s">
        <v>1870</v>
      </c>
      <c r="G439" t="s">
        <v>1871</v>
      </c>
      <c r="H439" t="s">
        <v>25</v>
      </c>
      <c r="I439" t="s">
        <v>25</v>
      </c>
      <c r="J439" t="s">
        <v>92</v>
      </c>
      <c r="K439" t="s">
        <v>266</v>
      </c>
      <c r="L439" s="2">
        <v>1149852.2360690541</v>
      </c>
      <c r="M439" s="3">
        <v>0.8968776517531365</v>
      </c>
      <c r="N439" s="3">
        <v>0</v>
      </c>
      <c r="O439" s="3">
        <v>0.10135421306293869</v>
      </c>
      <c r="P439" s="3">
        <v>1.7681351839399951E-3</v>
      </c>
      <c r="Q439" s="3">
        <v>0</v>
      </c>
      <c r="R439" s="3">
        <v>0.1031223482468787</v>
      </c>
      <c r="S439" t="s">
        <v>36</v>
      </c>
      <c r="T439" s="4">
        <f t="shared" si="6"/>
        <v>110.49</v>
      </c>
    </row>
    <row r="440" spans="1:20" x14ac:dyDescent="0.2">
      <c r="A440">
        <v>474</v>
      </c>
      <c r="B440">
        <v>1</v>
      </c>
      <c r="C440" t="s">
        <v>1872</v>
      </c>
      <c r="D440" t="s">
        <v>1873</v>
      </c>
      <c r="E440" t="s">
        <v>513</v>
      </c>
      <c r="H440" t="s">
        <v>25</v>
      </c>
      <c r="I440" t="s">
        <v>25</v>
      </c>
      <c r="J440" t="s">
        <v>26</v>
      </c>
      <c r="K440" t="s">
        <v>705</v>
      </c>
      <c r="L440" s="2">
        <v>1149852.2360690541</v>
      </c>
      <c r="M440" s="3">
        <v>0.13300910124142751</v>
      </c>
      <c r="N440" s="3">
        <v>0</v>
      </c>
      <c r="O440" s="3">
        <v>6.043289317480454E-2</v>
      </c>
      <c r="P440" s="3">
        <v>3.7511054443183702E-4</v>
      </c>
      <c r="Q440" s="3">
        <v>0.80618289503933616</v>
      </c>
      <c r="R440" s="3">
        <v>6.0808003719236378E-2</v>
      </c>
      <c r="S440" t="s">
        <v>28</v>
      </c>
      <c r="T440" s="4">
        <f t="shared" si="6"/>
        <v>25.5</v>
      </c>
    </row>
  </sheetData>
  <autoFilter ref="A1:S440" xr:uid="{00000000-0009-0000-0000-000005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40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10" customWidth="1"/>
    <col min="2" max="2" width="10.5" customWidth="1"/>
    <col min="3" max="3" width="38" customWidth="1"/>
    <col min="4" max="4" width="12" customWidth="1"/>
    <col min="5" max="7" width="18" customWidth="1"/>
    <col min="8" max="8" width="8" customWidth="1"/>
    <col min="9" max="9" width="12" customWidth="1"/>
    <col min="10" max="10" width="12.33203125" customWidth="1"/>
    <col min="11" max="11" width="10" customWidth="1"/>
    <col min="12" max="12" width="18" customWidth="1"/>
    <col min="13" max="14" width="21" customWidth="1"/>
    <col min="15" max="15" width="16" customWidth="1"/>
    <col min="16" max="16" width="21" customWidth="1"/>
    <col min="17" max="17" width="16" customWidth="1"/>
    <col min="18" max="18" width="18" customWidth="1"/>
    <col min="19" max="20" width="21" customWidth="1"/>
    <col min="21" max="21" width="16" customWidth="1"/>
    <col min="22" max="22" width="21" customWidth="1"/>
    <col min="23" max="23" width="16" customWidth="1"/>
    <col min="24" max="24" width="18" customWidth="1"/>
    <col min="25" max="26" width="21" customWidth="1"/>
    <col min="27" max="27" width="16" customWidth="1"/>
    <col min="28" max="28" width="21" customWidth="1"/>
    <col min="29" max="30" width="16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1874</v>
      </c>
      <c r="M1" t="s">
        <v>1875</v>
      </c>
      <c r="N1" t="s">
        <v>1876</v>
      </c>
      <c r="O1" t="s">
        <v>1877</v>
      </c>
      <c r="P1" t="s">
        <v>1878</v>
      </c>
      <c r="Q1" t="s">
        <v>1879</v>
      </c>
      <c r="R1" t="s">
        <v>1880</v>
      </c>
      <c r="S1" t="s">
        <v>1881</v>
      </c>
      <c r="T1" t="s">
        <v>1882</v>
      </c>
      <c r="U1" t="s">
        <v>1883</v>
      </c>
      <c r="V1" t="s">
        <v>1884</v>
      </c>
      <c r="W1" t="s">
        <v>1885</v>
      </c>
      <c r="X1" t="s">
        <v>1886</v>
      </c>
      <c r="Y1" t="s">
        <v>1887</v>
      </c>
      <c r="Z1" t="s">
        <v>1888</v>
      </c>
      <c r="AA1" t="s">
        <v>1889</v>
      </c>
      <c r="AB1" t="s">
        <v>1890</v>
      </c>
      <c r="AC1" t="s">
        <v>1891</v>
      </c>
      <c r="AD1" t="s">
        <v>1892</v>
      </c>
    </row>
    <row r="2" spans="1:30" x14ac:dyDescent="0.2">
      <c r="A2">
        <v>0</v>
      </c>
      <c r="B2">
        <v>168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4">
        <f>ROUND((L2*100*1)+(N2*100*2)+(O2*100*3),2)</f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4">
        <f>ROUND((R2*100*1)+(T2*100*2)+(U2*100*3),2)</f>
        <v>0</v>
      </c>
      <c r="X2" s="5">
        <v>0</v>
      </c>
      <c r="Y2" s="5">
        <v>0</v>
      </c>
      <c r="Z2" s="5">
        <v>0</v>
      </c>
      <c r="AA2" s="5">
        <v>0</v>
      </c>
      <c r="AB2" s="5">
        <v>1</v>
      </c>
      <c r="AC2" s="4">
        <f>ROUND((X2*100*1)+(Z2*100*2)+(AA2*100*3),2)</f>
        <v>0</v>
      </c>
      <c r="AD2">
        <f>ROUND(AVERAGE(Q2,W2,AC2),2)</f>
        <v>0</v>
      </c>
    </row>
    <row r="3" spans="1:30" x14ac:dyDescent="0.2">
      <c r="A3">
        <v>1</v>
      </c>
      <c r="B3">
        <v>1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25</v>
      </c>
      <c r="I3" t="s">
        <v>25</v>
      </c>
      <c r="J3" t="s">
        <v>34</v>
      </c>
      <c r="K3" t="s">
        <v>35</v>
      </c>
      <c r="L3" s="5">
        <v>0</v>
      </c>
      <c r="M3" s="5">
        <v>0</v>
      </c>
      <c r="N3" s="5">
        <v>0.14494665389105121</v>
      </c>
      <c r="O3" s="5">
        <v>5.3031524701586882E-2</v>
      </c>
      <c r="P3" s="5">
        <v>0.802021821407362</v>
      </c>
      <c r="Q3" s="4">
        <f>ROUND((L3*100*1)+(N3*100*2)+(O3*100*3),2)</f>
        <v>44.9</v>
      </c>
      <c r="R3" s="5">
        <v>8.0930658823294963E-2</v>
      </c>
      <c r="S3" s="5">
        <v>0</v>
      </c>
      <c r="T3" s="5">
        <v>0.2045991742623095</v>
      </c>
      <c r="U3" s="5">
        <v>6.4910581900445657E-2</v>
      </c>
      <c r="V3" s="5">
        <v>0.64955958501394984</v>
      </c>
      <c r="W3" s="4">
        <f>ROUND((R3*100*1)+(T3*100*2)+(U3*100*3),2)</f>
        <v>68.489999999999995</v>
      </c>
      <c r="X3" s="5">
        <v>4.8775852680890207E-2</v>
      </c>
      <c r="Y3" s="5">
        <v>0</v>
      </c>
      <c r="Z3" s="5">
        <v>0.14848370703463271</v>
      </c>
      <c r="AA3" s="5">
        <v>2.6161014639939952E-2</v>
      </c>
      <c r="AB3" s="5">
        <v>0.77657942564453708</v>
      </c>
      <c r="AC3" s="4">
        <f>ROUND((X3*100*1)+(Z3*100*2)+(AA3*100*3),2)</f>
        <v>42.42</v>
      </c>
      <c r="AD3">
        <f>ROUND(AVERAGE(Q3,W3,AC3),2)</f>
        <v>51.94</v>
      </c>
    </row>
    <row r="4" spans="1:30" x14ac:dyDescent="0.2">
      <c r="A4">
        <v>2</v>
      </c>
      <c r="B4">
        <v>1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25</v>
      </c>
      <c r="I4" t="s">
        <v>42</v>
      </c>
      <c r="J4" t="s">
        <v>26</v>
      </c>
      <c r="K4" t="s">
        <v>43</v>
      </c>
      <c r="L4" s="5">
        <v>0</v>
      </c>
      <c r="M4" s="5">
        <v>0</v>
      </c>
      <c r="N4" s="5">
        <v>0.31925075966341038</v>
      </c>
      <c r="O4" s="5">
        <v>0.68074924033663531</v>
      </c>
      <c r="P4" s="5">
        <v>0</v>
      </c>
      <c r="Q4" s="4">
        <f>ROUND((L4*100*1)+(N4*100*2)+(O4*100*3),2)</f>
        <v>268.07</v>
      </c>
      <c r="R4" s="5">
        <v>0</v>
      </c>
      <c r="S4" s="5">
        <v>0</v>
      </c>
      <c r="T4" s="5">
        <v>0.41526003171399661</v>
      </c>
      <c r="U4" s="5">
        <v>0.58473996828608454</v>
      </c>
      <c r="V4" s="5">
        <v>0</v>
      </c>
      <c r="W4" s="4">
        <f>ROUND((R4*100*1)+(T4*100*2)+(U4*100*3),2)</f>
        <v>258.47000000000003</v>
      </c>
      <c r="X4" s="5">
        <v>0</v>
      </c>
      <c r="Y4" s="5">
        <v>0</v>
      </c>
      <c r="Z4" s="5">
        <v>0.41984431827173352</v>
      </c>
      <c r="AA4" s="5">
        <v>0.58015568172827958</v>
      </c>
      <c r="AB4" s="5">
        <v>0</v>
      </c>
      <c r="AC4" s="4">
        <f>ROUND((X4*100*1)+(Z4*100*2)+(AA4*100*3),2)</f>
        <v>258.02</v>
      </c>
      <c r="AD4">
        <f>ROUND(AVERAGE(Q4,W4,AC4),2)</f>
        <v>261.52</v>
      </c>
    </row>
    <row r="5" spans="1:30" x14ac:dyDescent="0.2">
      <c r="A5">
        <v>3</v>
      </c>
      <c r="B5">
        <v>1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25</v>
      </c>
      <c r="I5" t="s">
        <v>25</v>
      </c>
      <c r="J5" t="s">
        <v>26</v>
      </c>
      <c r="K5" t="s">
        <v>50</v>
      </c>
      <c r="L5" s="5">
        <v>0.52602188272070172</v>
      </c>
      <c r="M5" s="5">
        <v>0</v>
      </c>
      <c r="N5" s="5">
        <v>0</v>
      </c>
      <c r="O5" s="5">
        <v>0</v>
      </c>
      <c r="P5" s="5">
        <v>0.47397811727929828</v>
      </c>
      <c r="Q5" s="4">
        <f>ROUND((L5*100*1)+(N5*100*2)+(O5*100*3),2)</f>
        <v>52.6</v>
      </c>
      <c r="R5" s="5">
        <v>0.29672004209085812</v>
      </c>
      <c r="S5" s="5">
        <v>0</v>
      </c>
      <c r="T5" s="5">
        <v>2.2829178013731289E-2</v>
      </c>
      <c r="U5" s="5">
        <v>0</v>
      </c>
      <c r="V5" s="5">
        <v>0.68045077989541058</v>
      </c>
      <c r="W5" s="4">
        <f>ROUND((R5*100*1)+(T5*100*2)+(U5*100*3),2)</f>
        <v>34.24</v>
      </c>
      <c r="X5" s="5">
        <v>0.2131390725234012</v>
      </c>
      <c r="Y5" s="5">
        <v>0</v>
      </c>
      <c r="Z5" s="5">
        <v>3.9717828198315673E-2</v>
      </c>
      <c r="AA5" s="5">
        <v>0</v>
      </c>
      <c r="AB5" s="5">
        <v>0.74714309927828315</v>
      </c>
      <c r="AC5" s="4">
        <f>ROUND((X5*100*1)+(Z5*100*2)+(AA5*100*3),2)</f>
        <v>29.26</v>
      </c>
      <c r="AD5">
        <f>ROUND(AVERAGE(Q5,W5,AC5),2)</f>
        <v>38.700000000000003</v>
      </c>
    </row>
    <row r="6" spans="1:30" x14ac:dyDescent="0.2">
      <c r="A6">
        <v>4</v>
      </c>
      <c r="B6">
        <v>1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25</v>
      </c>
      <c r="J6" t="s">
        <v>26</v>
      </c>
      <c r="K6" t="s">
        <v>56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4">
        <f>ROUND((L6*100*1)+(N6*100*2)+(O6*100*3),2)</f>
        <v>0</v>
      </c>
      <c r="R6" s="5">
        <v>9.6671764251187054E-3</v>
      </c>
      <c r="S6" s="5">
        <v>0</v>
      </c>
      <c r="T6" s="5">
        <v>9.8430588695229471E-2</v>
      </c>
      <c r="U6" s="5">
        <v>0</v>
      </c>
      <c r="V6" s="5">
        <v>0.89190223487965181</v>
      </c>
      <c r="W6" s="4">
        <f>ROUND((R6*100*1)+(T6*100*2)+(U6*100*3),2)</f>
        <v>20.65</v>
      </c>
      <c r="X6" s="5">
        <v>1.063937058382001E-2</v>
      </c>
      <c r="Y6" s="5">
        <v>0</v>
      </c>
      <c r="Z6" s="5">
        <v>9.2408189267544114E-2</v>
      </c>
      <c r="AA6" s="5">
        <v>3.396901973396598E-3</v>
      </c>
      <c r="AB6" s="5">
        <v>0.89355553817523925</v>
      </c>
      <c r="AC6" s="4">
        <f>ROUND((X6*100*1)+(Z6*100*2)+(AA6*100*3),2)</f>
        <v>20.56</v>
      </c>
      <c r="AD6">
        <f>ROUND(AVERAGE(Q6,W6,AC6),2)</f>
        <v>13.74</v>
      </c>
    </row>
    <row r="7" spans="1:30" x14ac:dyDescent="0.2">
      <c r="A7">
        <v>5</v>
      </c>
      <c r="B7">
        <v>1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25</v>
      </c>
      <c r="I7" t="s">
        <v>25</v>
      </c>
      <c r="J7" t="s">
        <v>26</v>
      </c>
      <c r="K7" t="s">
        <v>62</v>
      </c>
      <c r="L7" s="5">
        <v>0.13688343504799491</v>
      </c>
      <c r="M7" s="5">
        <v>0</v>
      </c>
      <c r="N7" s="5">
        <v>0.19558383509438709</v>
      </c>
      <c r="O7" s="5">
        <v>0</v>
      </c>
      <c r="P7" s="5">
        <v>0.66753272985761791</v>
      </c>
      <c r="Q7" s="4">
        <f>ROUND((L7*100*1)+(N7*100*2)+(O7*100*3),2)</f>
        <v>52.81</v>
      </c>
      <c r="R7" s="5">
        <v>0.38284327237869781</v>
      </c>
      <c r="S7" s="5">
        <v>0</v>
      </c>
      <c r="T7" s="5">
        <v>0.16717522837226939</v>
      </c>
      <c r="U7" s="5">
        <v>0.1253864169128725</v>
      </c>
      <c r="V7" s="5">
        <v>0.3245950823361603</v>
      </c>
      <c r="W7" s="4">
        <f>ROUND((R7*100*1)+(T7*100*2)+(U7*100*3),2)</f>
        <v>109.34</v>
      </c>
      <c r="X7" s="5">
        <v>0.43615913322967209</v>
      </c>
      <c r="Y7" s="5">
        <v>0</v>
      </c>
      <c r="Z7" s="5">
        <v>0.1822439059024881</v>
      </c>
      <c r="AA7" s="5">
        <v>0.23469762713638809</v>
      </c>
      <c r="AB7" s="5">
        <v>0.1468993337314517</v>
      </c>
      <c r="AC7" s="4">
        <f>ROUND((X7*100*1)+(Z7*100*2)+(AA7*100*3),2)</f>
        <v>150.47</v>
      </c>
      <c r="AD7">
        <f>ROUND(AVERAGE(Q7,W7,AC7),2)</f>
        <v>104.21</v>
      </c>
    </row>
    <row r="8" spans="1:30" x14ac:dyDescent="0.2">
      <c r="A8">
        <v>6</v>
      </c>
      <c r="B8">
        <v>4</v>
      </c>
      <c r="C8" t="s">
        <v>63</v>
      </c>
      <c r="D8" t="s">
        <v>64</v>
      </c>
      <c r="E8" t="s">
        <v>59</v>
      </c>
      <c r="F8" t="s">
        <v>65</v>
      </c>
      <c r="G8" t="s">
        <v>66</v>
      </c>
      <c r="H8" t="s">
        <v>67</v>
      </c>
      <c r="I8" t="s">
        <v>67</v>
      </c>
      <c r="J8" t="s">
        <v>26</v>
      </c>
      <c r="K8" t="s">
        <v>68</v>
      </c>
      <c r="L8" s="5">
        <v>0.65930717578388165</v>
      </c>
      <c r="M8" s="5">
        <v>0</v>
      </c>
      <c r="N8" s="5">
        <v>0.21775345145602351</v>
      </c>
      <c r="O8" s="5">
        <v>0</v>
      </c>
      <c r="P8" s="5">
        <v>0.1229393727600948</v>
      </c>
      <c r="Q8" s="4">
        <f>ROUND((L8*100*1)+(N8*100*2)+(O8*100*3),2)</f>
        <v>109.48</v>
      </c>
      <c r="R8" s="5">
        <v>0.69733489833964879</v>
      </c>
      <c r="S8" s="5">
        <v>0</v>
      </c>
      <c r="T8" s="5">
        <v>0.1262732314246186</v>
      </c>
      <c r="U8" s="5">
        <v>4.2233497645705692E-2</v>
      </c>
      <c r="V8" s="5">
        <v>0.13415837259002669</v>
      </c>
      <c r="W8" s="4">
        <f>ROUND((R8*100*1)+(T8*100*2)+(U8*100*3),2)</f>
        <v>107.66</v>
      </c>
      <c r="X8" s="5">
        <v>0.73109971058458523</v>
      </c>
      <c r="Y8" s="5">
        <v>0</v>
      </c>
      <c r="Z8" s="5">
        <v>0.1131425047741817</v>
      </c>
      <c r="AA8" s="5">
        <v>3.7794559742276398E-2</v>
      </c>
      <c r="AB8" s="5">
        <v>0.11796322489895671</v>
      </c>
      <c r="AC8" s="4">
        <f>ROUND((X8*100*1)+(Z8*100*2)+(AA8*100*3),2)</f>
        <v>107.08</v>
      </c>
      <c r="AD8">
        <f>ROUND(AVERAGE(Q8,W8,AC8),2)</f>
        <v>108.07</v>
      </c>
    </row>
    <row r="9" spans="1:30" x14ac:dyDescent="0.2">
      <c r="A9">
        <v>7</v>
      </c>
      <c r="B9">
        <v>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  <c r="I9" t="s">
        <v>25</v>
      </c>
      <c r="J9" t="s">
        <v>26</v>
      </c>
      <c r="K9" t="s">
        <v>62</v>
      </c>
      <c r="L9" s="5">
        <v>0.72817356459726779</v>
      </c>
      <c r="M9" s="5">
        <v>0</v>
      </c>
      <c r="N9" s="5">
        <v>9.4861685215030148E-2</v>
      </c>
      <c r="O9" s="5">
        <v>4.9198945948537116E-3</v>
      </c>
      <c r="P9" s="5">
        <v>0.17204485559284829</v>
      </c>
      <c r="Q9" s="4">
        <f>ROUND((L9*100*1)+(N9*100*2)+(O9*100*3),2)</f>
        <v>93.27</v>
      </c>
      <c r="R9" s="5">
        <v>0.56240506546278946</v>
      </c>
      <c r="S9" s="5">
        <v>0</v>
      </c>
      <c r="T9" s="5">
        <v>0.1129617820282293</v>
      </c>
      <c r="U9" s="5">
        <v>2.4936621810320138E-3</v>
      </c>
      <c r="V9" s="5">
        <v>0.32213949032794931</v>
      </c>
      <c r="W9" s="4">
        <f>ROUND((R9*100*1)+(T9*100*2)+(U9*100*3),2)</f>
        <v>79.58</v>
      </c>
      <c r="X9" s="5">
        <v>0.52618551741420383</v>
      </c>
      <c r="Y9" s="5">
        <v>0</v>
      </c>
      <c r="Z9" s="5">
        <v>0.1021308660257161</v>
      </c>
      <c r="AA9" s="5">
        <v>1.2204521892614001E-3</v>
      </c>
      <c r="AB9" s="5">
        <v>0.37046316437081872</v>
      </c>
      <c r="AC9" s="4">
        <f>ROUND((X9*100*1)+(Z9*100*2)+(AA9*100*3),2)</f>
        <v>73.41</v>
      </c>
      <c r="AD9">
        <f>ROUND(AVERAGE(Q9,W9,AC9),2)</f>
        <v>82.09</v>
      </c>
    </row>
    <row r="10" spans="1:30" x14ac:dyDescent="0.2">
      <c r="A10">
        <v>8</v>
      </c>
      <c r="B10">
        <v>1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80</v>
      </c>
      <c r="J10" t="s">
        <v>26</v>
      </c>
      <c r="K10" t="s">
        <v>56</v>
      </c>
      <c r="L10" s="5">
        <v>0.86480542408325245</v>
      </c>
      <c r="M10" s="5">
        <v>0</v>
      </c>
      <c r="N10" s="5">
        <v>0.13519457591689191</v>
      </c>
      <c r="O10" s="5">
        <v>0</v>
      </c>
      <c r="P10" s="5">
        <v>0</v>
      </c>
      <c r="Q10" s="4">
        <f>ROUND((L10*100*1)+(N10*100*2)+(O10*100*3),2)</f>
        <v>113.52</v>
      </c>
      <c r="R10" s="5">
        <v>0.72138095062835494</v>
      </c>
      <c r="S10" s="5">
        <v>0</v>
      </c>
      <c r="T10" s="5">
        <v>0.1995608143821494</v>
      </c>
      <c r="U10" s="5">
        <v>7.4919217214031747E-2</v>
      </c>
      <c r="V10" s="5">
        <v>4.1390177754639934E-3</v>
      </c>
      <c r="W10" s="4">
        <f>ROUND((R10*100*1)+(T10*100*2)+(U10*100*3),2)</f>
        <v>134.53</v>
      </c>
      <c r="X10" s="5">
        <v>0.61487355336195393</v>
      </c>
      <c r="Y10" s="5">
        <v>0</v>
      </c>
      <c r="Z10" s="5">
        <v>0.18953465976380621</v>
      </c>
      <c r="AA10" s="5">
        <v>0.11927641463317459</v>
      </c>
      <c r="AB10" s="5">
        <v>7.6315372241065216E-2</v>
      </c>
      <c r="AC10" s="4">
        <f>ROUND((X10*100*1)+(Z10*100*2)+(AA10*100*3),2)</f>
        <v>135.18</v>
      </c>
      <c r="AD10">
        <f>ROUND(AVERAGE(Q10,W10,AC10),2)</f>
        <v>127.74</v>
      </c>
    </row>
    <row r="11" spans="1:30" x14ac:dyDescent="0.2">
      <c r="A11">
        <v>9</v>
      </c>
      <c r="B11">
        <v>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25</v>
      </c>
      <c r="J11" t="s">
        <v>34</v>
      </c>
      <c r="K11" t="s">
        <v>86</v>
      </c>
      <c r="L11" s="5">
        <v>0</v>
      </c>
      <c r="M11" s="5">
        <v>0</v>
      </c>
      <c r="N11" s="5">
        <v>5.4461441052435333E-2</v>
      </c>
      <c r="O11" s="5">
        <v>0.94553855894755601</v>
      </c>
      <c r="P11" s="5">
        <v>8.659739592076221E-15</v>
      </c>
      <c r="Q11" s="4">
        <f>ROUND((L11*100*1)+(N11*100*2)+(O11*100*3),2)</f>
        <v>294.55</v>
      </c>
      <c r="R11" s="5">
        <v>4.5686288144443248E-2</v>
      </c>
      <c r="S11" s="5">
        <v>0</v>
      </c>
      <c r="T11" s="5">
        <v>6.9310474709411762E-2</v>
      </c>
      <c r="U11" s="5">
        <v>0.75660666887149486</v>
      </c>
      <c r="V11" s="5">
        <v>0.12839656827465001</v>
      </c>
      <c r="W11" s="4">
        <f>ROUND((R11*100*1)+(T11*100*2)+(U11*100*3),2)</f>
        <v>245.41</v>
      </c>
      <c r="X11" s="5">
        <v>0.14171137526140101</v>
      </c>
      <c r="Y11" s="5">
        <v>0</v>
      </c>
      <c r="Z11" s="5">
        <v>6.1932565270165579E-2</v>
      </c>
      <c r="AA11" s="5">
        <v>0.6158550060929453</v>
      </c>
      <c r="AB11" s="5">
        <v>0.18050105337548811</v>
      </c>
      <c r="AC11" s="4">
        <f>ROUND((X11*100*1)+(Z11*100*2)+(AA11*100*3),2)</f>
        <v>211.31</v>
      </c>
      <c r="AD11">
        <f>ROUND(AVERAGE(Q11,W11,AC11),2)</f>
        <v>250.42</v>
      </c>
    </row>
    <row r="12" spans="1:30" x14ac:dyDescent="0.2">
      <c r="A12">
        <v>10</v>
      </c>
      <c r="B12">
        <v>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25</v>
      </c>
      <c r="I12" t="s">
        <v>25</v>
      </c>
      <c r="J12" t="s">
        <v>92</v>
      </c>
      <c r="K12" t="s">
        <v>93</v>
      </c>
      <c r="L12" s="5">
        <v>0.27384996997448158</v>
      </c>
      <c r="M12" s="5">
        <v>0</v>
      </c>
      <c r="N12" s="5">
        <v>0.34524224702204109</v>
      </c>
      <c r="O12" s="5">
        <v>2.6567316576052392E-4</v>
      </c>
      <c r="P12" s="5">
        <v>0.38064210983771668</v>
      </c>
      <c r="Q12" s="4">
        <f>ROUND((L12*100*1)+(N12*100*2)+(O12*100*3),2)</f>
        <v>96.51</v>
      </c>
      <c r="R12" s="5">
        <v>0.40632632416164888</v>
      </c>
      <c r="S12" s="5">
        <v>0</v>
      </c>
      <c r="T12" s="5">
        <v>0.2196779980414543</v>
      </c>
      <c r="U12" s="5">
        <v>0.12480794526418609</v>
      </c>
      <c r="V12" s="5">
        <v>0.24918773253271059</v>
      </c>
      <c r="W12" s="4">
        <f>ROUND((R12*100*1)+(T12*100*2)+(U12*100*3),2)</f>
        <v>122.01</v>
      </c>
      <c r="X12" s="5">
        <v>0.46138530189126309</v>
      </c>
      <c r="Y12" s="5">
        <v>0</v>
      </c>
      <c r="Z12" s="5">
        <v>0.1730908357266866</v>
      </c>
      <c r="AA12" s="5">
        <v>0.13350790169397839</v>
      </c>
      <c r="AB12" s="5">
        <v>0.23201596068807179</v>
      </c>
      <c r="AC12" s="4">
        <f>ROUND((X12*100*1)+(Z12*100*2)+(AA12*100*3),2)</f>
        <v>120.81</v>
      </c>
      <c r="AD12">
        <f>ROUND(AVERAGE(Q12,W12,AC12),2)</f>
        <v>113.11</v>
      </c>
    </row>
    <row r="13" spans="1:30" x14ac:dyDescent="0.2">
      <c r="A13">
        <v>11</v>
      </c>
      <c r="B13">
        <v>1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25</v>
      </c>
      <c r="I13" t="s">
        <v>25</v>
      </c>
      <c r="J13" t="s">
        <v>92</v>
      </c>
      <c r="K13" t="s">
        <v>93</v>
      </c>
      <c r="L13" s="5">
        <v>0.1302681141865259</v>
      </c>
      <c r="M13" s="5">
        <v>0</v>
      </c>
      <c r="N13" s="5">
        <v>0.23623176790961109</v>
      </c>
      <c r="O13" s="5">
        <v>0</v>
      </c>
      <c r="P13" s="5">
        <v>0.63350011790386307</v>
      </c>
      <c r="Q13" s="4">
        <f>ROUND((L13*100*1)+(N13*100*2)+(O13*100*3),2)</f>
        <v>60.27</v>
      </c>
      <c r="R13" s="5">
        <v>0.37580615228095082</v>
      </c>
      <c r="S13" s="5">
        <v>0</v>
      </c>
      <c r="T13" s="5">
        <v>0.102589289764365</v>
      </c>
      <c r="U13" s="5">
        <v>6.950266685758647E-3</v>
      </c>
      <c r="V13" s="5">
        <v>0.51465429126892548</v>
      </c>
      <c r="W13" s="4">
        <f>ROUND((R13*100*1)+(T13*100*2)+(U13*100*3),2)</f>
        <v>60.18</v>
      </c>
      <c r="X13" s="5">
        <v>0.39741236530508689</v>
      </c>
      <c r="Y13" s="5">
        <v>0</v>
      </c>
      <c r="Z13" s="5">
        <v>0.1109826677874893</v>
      </c>
      <c r="AA13" s="5">
        <v>4.3940850713836913E-3</v>
      </c>
      <c r="AB13" s="5">
        <v>0.48721088183604011</v>
      </c>
      <c r="AC13" s="4">
        <f>ROUND((X13*100*1)+(Z13*100*2)+(AA13*100*3),2)</f>
        <v>63.26</v>
      </c>
      <c r="AD13">
        <f>ROUND(AVERAGE(Q13,W13,AC13),2)</f>
        <v>61.24</v>
      </c>
    </row>
    <row r="14" spans="1:30" x14ac:dyDescent="0.2">
      <c r="A14">
        <v>12</v>
      </c>
      <c r="B14">
        <v>1</v>
      </c>
      <c r="C14" t="s">
        <v>99</v>
      </c>
      <c r="D14" t="s">
        <v>100</v>
      </c>
      <c r="E14" t="s">
        <v>96</v>
      </c>
      <c r="F14" t="s">
        <v>101</v>
      </c>
      <c r="G14" t="s">
        <v>102</v>
      </c>
      <c r="H14" t="s">
        <v>25</v>
      </c>
      <c r="I14" t="s">
        <v>25</v>
      </c>
      <c r="J14" t="s">
        <v>34</v>
      </c>
      <c r="K14" t="s">
        <v>93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4">
        <f>ROUND((L14*100*1)+(N14*100*2)+(O14*100*3),2)</f>
        <v>100</v>
      </c>
      <c r="R14" s="5">
        <v>0.63342964429727344</v>
      </c>
      <c r="S14" s="5">
        <v>0</v>
      </c>
      <c r="T14" s="5">
        <v>0</v>
      </c>
      <c r="U14" s="5">
        <v>0</v>
      </c>
      <c r="V14" s="5">
        <v>0.36657035570272661</v>
      </c>
      <c r="W14" s="4">
        <f>ROUND((R14*100*1)+(T14*100*2)+(U14*100*3),2)</f>
        <v>63.34</v>
      </c>
      <c r="X14" s="5">
        <v>0.53953004255199344</v>
      </c>
      <c r="Y14" s="5">
        <v>0</v>
      </c>
      <c r="Z14" s="5">
        <v>5.7149972058803643E-2</v>
      </c>
      <c r="AA14" s="5">
        <v>0</v>
      </c>
      <c r="AB14" s="5">
        <v>0.40331998538920288</v>
      </c>
      <c r="AC14" s="4">
        <f>ROUND((X14*100*1)+(Z14*100*2)+(AA14*100*3),2)</f>
        <v>65.38</v>
      </c>
      <c r="AD14">
        <f>ROUND(AVERAGE(Q14,W14,AC14),2)</f>
        <v>76.239999999999995</v>
      </c>
    </row>
    <row r="15" spans="1:30" x14ac:dyDescent="0.2">
      <c r="A15">
        <v>13</v>
      </c>
      <c r="B15">
        <v>2</v>
      </c>
      <c r="C15" t="s">
        <v>103</v>
      </c>
      <c r="D15" t="s">
        <v>104</v>
      </c>
      <c r="E15" t="s">
        <v>83</v>
      </c>
      <c r="F15" t="s">
        <v>105</v>
      </c>
      <c r="G15" t="s">
        <v>106</v>
      </c>
      <c r="H15" t="s">
        <v>25</v>
      </c>
      <c r="I15" t="s">
        <v>25</v>
      </c>
      <c r="J15" t="s">
        <v>26</v>
      </c>
      <c r="K15" t="s">
        <v>93</v>
      </c>
      <c r="L15" s="5">
        <v>0.64949816773680169</v>
      </c>
      <c r="M15" s="5">
        <v>0</v>
      </c>
      <c r="N15" s="5">
        <v>0</v>
      </c>
      <c r="O15" s="5">
        <v>0</v>
      </c>
      <c r="P15" s="5">
        <v>0.35050183226319831</v>
      </c>
      <c r="Q15" s="4">
        <f>ROUND((L15*100*1)+(N15*100*2)+(O15*100*3),2)</f>
        <v>64.95</v>
      </c>
      <c r="R15" s="5">
        <v>0.59458562226658551</v>
      </c>
      <c r="S15" s="5">
        <v>0</v>
      </c>
      <c r="T15" s="5">
        <v>2.1153350117937519E-2</v>
      </c>
      <c r="U15" s="5">
        <v>8.58737489486683E-4</v>
      </c>
      <c r="V15" s="5">
        <v>0.38340229012599031</v>
      </c>
      <c r="W15" s="4">
        <f>ROUND((R15*100*1)+(T15*100*2)+(U15*100*3),2)</f>
        <v>63.95</v>
      </c>
      <c r="X15" s="5">
        <v>0.55213944640978641</v>
      </c>
      <c r="Y15" s="5">
        <v>0</v>
      </c>
      <c r="Z15" s="5">
        <v>8.2100386502020103E-2</v>
      </c>
      <c r="AA15" s="5">
        <v>1.3051748824772741E-3</v>
      </c>
      <c r="AB15" s="5">
        <v>0.3644549922057162</v>
      </c>
      <c r="AC15" s="4">
        <f>ROUND((X15*100*1)+(Z15*100*2)+(AA15*100*3),2)</f>
        <v>72.03</v>
      </c>
      <c r="AD15">
        <f>ROUND(AVERAGE(Q15,W15,AC15),2)</f>
        <v>66.98</v>
      </c>
    </row>
    <row r="16" spans="1:30" x14ac:dyDescent="0.2">
      <c r="A16">
        <v>14</v>
      </c>
      <c r="B16">
        <v>1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80</v>
      </c>
      <c r="I16" t="s">
        <v>80</v>
      </c>
      <c r="J16" t="s">
        <v>34</v>
      </c>
      <c r="K16" t="s">
        <v>112</v>
      </c>
      <c r="L16" s="5">
        <v>0.40300586048141929</v>
      </c>
      <c r="M16" s="5">
        <v>0</v>
      </c>
      <c r="N16" s="5">
        <v>0</v>
      </c>
      <c r="O16" s="5">
        <v>0</v>
      </c>
      <c r="P16" s="5">
        <v>0.59699413951858071</v>
      </c>
      <c r="Q16" s="4">
        <f>ROUND((L16*100*1)+(N16*100*2)+(O16*100*3),2)</f>
        <v>40.299999999999997</v>
      </c>
      <c r="R16" s="5">
        <v>0.5406637197002554</v>
      </c>
      <c r="S16" s="5">
        <v>0</v>
      </c>
      <c r="T16" s="5">
        <v>4.6244756782208463E-2</v>
      </c>
      <c r="U16" s="5">
        <v>4.7276618092803189E-4</v>
      </c>
      <c r="V16" s="5">
        <v>0.41261875733660802</v>
      </c>
      <c r="W16" s="4">
        <f>ROUND((R16*100*1)+(T16*100*2)+(U16*100*3),2)</f>
        <v>63.46</v>
      </c>
      <c r="X16" s="5">
        <v>0.4286492383007951</v>
      </c>
      <c r="Y16" s="5">
        <v>0</v>
      </c>
      <c r="Z16" s="5">
        <v>6.6589269747336977E-2</v>
      </c>
      <c r="AA16" s="5">
        <v>1.6466137341648011E-4</v>
      </c>
      <c r="AB16" s="5">
        <v>0.50459683057845139</v>
      </c>
      <c r="AC16" s="4">
        <f>ROUND((X16*100*1)+(Z16*100*2)+(AA16*100*3),2)</f>
        <v>56.23</v>
      </c>
      <c r="AD16">
        <f>ROUND(AVERAGE(Q16,W16,AC16),2)</f>
        <v>53.33</v>
      </c>
    </row>
    <row r="17" spans="1:30" x14ac:dyDescent="0.2">
      <c r="A17">
        <v>15</v>
      </c>
      <c r="B17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25</v>
      </c>
      <c r="I17" t="s">
        <v>25</v>
      </c>
      <c r="J17" t="s">
        <v>34</v>
      </c>
      <c r="K17" t="s">
        <v>118</v>
      </c>
      <c r="L17" s="5">
        <v>0.95274926969039242</v>
      </c>
      <c r="M17" s="5">
        <v>0</v>
      </c>
      <c r="N17" s="5">
        <v>0</v>
      </c>
      <c r="O17" s="5">
        <v>0</v>
      </c>
      <c r="P17" s="5">
        <v>4.725073030960758E-2</v>
      </c>
      <c r="Q17" s="4">
        <f>ROUND((L17*100*1)+(N17*100*2)+(O17*100*3),2)</f>
        <v>95.27</v>
      </c>
      <c r="R17" s="5">
        <v>0.86468353751882632</v>
      </c>
      <c r="S17" s="5">
        <v>0</v>
      </c>
      <c r="T17" s="5">
        <v>7.3491026513361174E-2</v>
      </c>
      <c r="U17" s="5">
        <v>8.8824144531537863E-5</v>
      </c>
      <c r="V17" s="5">
        <v>6.1736611823281051E-2</v>
      </c>
      <c r="W17" s="4">
        <f>ROUND((R17*100*1)+(T17*100*2)+(U17*100*3),2)</f>
        <v>101.19</v>
      </c>
      <c r="X17" s="5">
        <v>0.7893468057304045</v>
      </c>
      <c r="Y17" s="5">
        <v>0</v>
      </c>
      <c r="Z17" s="5">
        <v>7.4740969718214506E-2</v>
      </c>
      <c r="AA17" s="5">
        <v>4.7933104463628463E-4</v>
      </c>
      <c r="AB17" s="5">
        <v>0.1354328935067447</v>
      </c>
      <c r="AC17" s="4">
        <f>ROUND((X17*100*1)+(Z17*100*2)+(AA17*100*3),2)</f>
        <v>94.03</v>
      </c>
      <c r="AD17">
        <f>ROUND(AVERAGE(Q17,W17,AC17),2)</f>
        <v>96.83</v>
      </c>
    </row>
    <row r="18" spans="1:30" x14ac:dyDescent="0.2">
      <c r="A18">
        <v>16</v>
      </c>
      <c r="B18">
        <v>1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25</v>
      </c>
      <c r="I18" t="s">
        <v>25</v>
      </c>
      <c r="J18" t="s">
        <v>34</v>
      </c>
      <c r="K18" t="s">
        <v>124</v>
      </c>
      <c r="L18" s="5">
        <v>0</v>
      </c>
      <c r="M18" s="5">
        <v>0</v>
      </c>
      <c r="N18" s="5">
        <v>4.4405359337431199E-2</v>
      </c>
      <c r="O18" s="5">
        <v>0.37578630873053431</v>
      </c>
      <c r="P18" s="5">
        <v>0.57980833193203452</v>
      </c>
      <c r="Q18" s="4">
        <f>ROUND((L18*100*1)+(N18*100*2)+(O18*100*3),2)</f>
        <v>121.62</v>
      </c>
      <c r="R18" s="5">
        <v>0</v>
      </c>
      <c r="S18" s="5">
        <v>0</v>
      </c>
      <c r="T18" s="5">
        <v>0.140355662982944</v>
      </c>
      <c r="U18" s="5">
        <v>0.2634525813580928</v>
      </c>
      <c r="V18" s="5">
        <v>0.59619175565896321</v>
      </c>
      <c r="W18" s="4">
        <f>ROUND((R18*100*1)+(T18*100*2)+(U18*100*3),2)</f>
        <v>107.11</v>
      </c>
      <c r="X18" s="5">
        <v>1.8963649568336381E-2</v>
      </c>
      <c r="Y18" s="5">
        <v>0</v>
      </c>
      <c r="Z18" s="5">
        <v>0.1311406691309607</v>
      </c>
      <c r="AA18" s="5">
        <v>0.23784848075978809</v>
      </c>
      <c r="AB18" s="5">
        <v>0.61204720054091488</v>
      </c>
      <c r="AC18" s="4">
        <f>ROUND((X18*100*1)+(Z18*100*2)+(AA18*100*3),2)</f>
        <v>99.48</v>
      </c>
      <c r="AD18">
        <f>ROUND(AVERAGE(Q18,W18,AC18),2)</f>
        <v>109.4</v>
      </c>
    </row>
    <row r="19" spans="1:30" x14ac:dyDescent="0.2">
      <c r="A19">
        <v>17</v>
      </c>
      <c r="B19">
        <v>1</v>
      </c>
      <c r="C19" t="s">
        <v>126</v>
      </c>
      <c r="D19" t="s">
        <v>127</v>
      </c>
      <c r="E19" t="s">
        <v>77</v>
      </c>
      <c r="F19" t="s">
        <v>128</v>
      </c>
      <c r="G19" t="s">
        <v>129</v>
      </c>
      <c r="H19" t="s">
        <v>67</v>
      </c>
      <c r="I19" t="s">
        <v>67</v>
      </c>
      <c r="J19" t="s">
        <v>92</v>
      </c>
      <c r="K19" t="s">
        <v>130</v>
      </c>
      <c r="L19" s="5">
        <v>0</v>
      </c>
      <c r="M19" s="5">
        <v>0</v>
      </c>
      <c r="N19" s="5">
        <v>0.42014438532655429</v>
      </c>
      <c r="O19" s="5">
        <v>0.57985561467365099</v>
      </c>
      <c r="P19" s="5">
        <v>0</v>
      </c>
      <c r="Q19" s="4">
        <f>ROUND((L19*100*1)+(N19*100*2)+(O19*100*3),2)</f>
        <v>257.99</v>
      </c>
      <c r="R19" s="5">
        <v>8.7374423923220618E-3</v>
      </c>
      <c r="S19" s="5">
        <v>0</v>
      </c>
      <c r="T19" s="5">
        <v>0.34571571872461898</v>
      </c>
      <c r="U19" s="5">
        <v>0.45125785352042469</v>
      </c>
      <c r="V19" s="5">
        <v>0.1942889853626342</v>
      </c>
      <c r="W19" s="4">
        <f>ROUND((R19*100*1)+(T19*100*2)+(U19*100*3),2)</f>
        <v>205.39</v>
      </c>
      <c r="X19" s="5">
        <v>0.10385749604388229</v>
      </c>
      <c r="Y19" s="5">
        <v>0</v>
      </c>
      <c r="Z19" s="5">
        <v>0.30166699475201242</v>
      </c>
      <c r="AA19" s="5">
        <v>0.35452795226619249</v>
      </c>
      <c r="AB19" s="5">
        <v>0.23994755693791281</v>
      </c>
      <c r="AC19" s="4">
        <f>ROUND((X19*100*1)+(Z19*100*2)+(AA19*100*3),2)</f>
        <v>177.08</v>
      </c>
      <c r="AD19">
        <f>ROUND(AVERAGE(Q19,W19,AC19),2)</f>
        <v>213.49</v>
      </c>
    </row>
    <row r="20" spans="1:30" x14ac:dyDescent="0.2">
      <c r="A20">
        <v>18</v>
      </c>
      <c r="B20">
        <v>1</v>
      </c>
      <c r="C20" t="s">
        <v>131</v>
      </c>
      <c r="D20" t="s">
        <v>132</v>
      </c>
      <c r="E20" t="s">
        <v>77</v>
      </c>
      <c r="F20" t="s">
        <v>128</v>
      </c>
      <c r="G20" t="s">
        <v>133</v>
      </c>
      <c r="H20" t="s">
        <v>67</v>
      </c>
      <c r="I20" t="s">
        <v>67</v>
      </c>
      <c r="J20" t="s">
        <v>92</v>
      </c>
      <c r="K20" t="s">
        <v>86</v>
      </c>
      <c r="L20" s="5">
        <v>0</v>
      </c>
      <c r="M20" s="5">
        <v>0</v>
      </c>
      <c r="N20" s="5">
        <v>0.32425994032293642</v>
      </c>
      <c r="O20" s="5">
        <v>0.6757400596772416</v>
      </c>
      <c r="P20" s="5">
        <v>0</v>
      </c>
      <c r="Q20" s="4">
        <f>ROUND((L20*100*1)+(N20*100*2)+(O20*100*3),2)</f>
        <v>267.57</v>
      </c>
      <c r="R20" s="5">
        <v>1.0194814274089069E-3</v>
      </c>
      <c r="S20" s="5">
        <v>0</v>
      </c>
      <c r="T20" s="5">
        <v>0.39498136264104289</v>
      </c>
      <c r="U20" s="5">
        <v>0.53627999693907724</v>
      </c>
      <c r="V20" s="5">
        <v>6.771915899247094E-2</v>
      </c>
      <c r="W20" s="4">
        <f>ROUND((R20*100*1)+(T20*100*2)+(U20*100*3),2)</f>
        <v>239.98</v>
      </c>
      <c r="X20" s="5">
        <v>9.8198383580180783E-4</v>
      </c>
      <c r="Y20" s="5">
        <v>0</v>
      </c>
      <c r="Z20" s="5">
        <v>0.39045260278007338</v>
      </c>
      <c r="AA20" s="5">
        <v>0.51011414513419795</v>
      </c>
      <c r="AB20" s="5">
        <v>9.8451268249926782E-2</v>
      </c>
      <c r="AC20" s="4">
        <f>ROUND((X20*100*1)+(Z20*100*2)+(AA20*100*3),2)</f>
        <v>231.22</v>
      </c>
      <c r="AD20">
        <f>ROUND(AVERAGE(Q20,W20,AC20),2)</f>
        <v>246.26</v>
      </c>
    </row>
    <row r="21" spans="1:30" x14ac:dyDescent="0.2">
      <c r="A21">
        <v>19</v>
      </c>
      <c r="B21">
        <v>1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25</v>
      </c>
      <c r="I21" t="s">
        <v>25</v>
      </c>
      <c r="J21" t="s">
        <v>92</v>
      </c>
      <c r="K21" t="s">
        <v>86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4">
        <f>ROUND((L21*100*1)+(N21*100*2)+(O21*100*3),2)</f>
        <v>100</v>
      </c>
      <c r="R21" s="5">
        <v>0.9594429830448028</v>
      </c>
      <c r="S21" s="5">
        <v>0</v>
      </c>
      <c r="T21" s="5">
        <v>4.0484719894594741E-2</v>
      </c>
      <c r="U21" s="5">
        <v>7.2297060616432706E-5</v>
      </c>
      <c r="V21" s="5">
        <v>0</v>
      </c>
      <c r="W21" s="4">
        <f>ROUND((R21*100*1)+(T21*100*2)+(U21*100*3),2)</f>
        <v>104.06</v>
      </c>
      <c r="X21" s="5">
        <v>0.94157306813384056</v>
      </c>
      <c r="Y21" s="5">
        <v>0</v>
      </c>
      <c r="Z21" s="5">
        <v>5.8329322256651467E-2</v>
      </c>
      <c r="AA21" s="5">
        <v>9.7609609533634998E-5</v>
      </c>
      <c r="AB21" s="5">
        <v>0</v>
      </c>
      <c r="AC21" s="4">
        <f>ROUND((X21*100*1)+(Z21*100*2)+(AA21*100*3),2)</f>
        <v>105.85</v>
      </c>
      <c r="AD21">
        <f>ROUND(AVERAGE(Q21,W21,AC21),2)</f>
        <v>103.3</v>
      </c>
    </row>
    <row r="22" spans="1:30" x14ac:dyDescent="0.2">
      <c r="A22">
        <v>20</v>
      </c>
      <c r="B22">
        <v>1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67</v>
      </c>
      <c r="I22" t="s">
        <v>67</v>
      </c>
      <c r="J22" t="s">
        <v>26</v>
      </c>
      <c r="K22" t="s">
        <v>93</v>
      </c>
      <c r="L22" s="5">
        <v>1.9208681828982371E-4</v>
      </c>
      <c r="M22" s="5">
        <v>0</v>
      </c>
      <c r="N22" s="5">
        <v>0.46454048577009521</v>
      </c>
      <c r="O22" s="5">
        <v>0.53526742741187627</v>
      </c>
      <c r="P22" s="5">
        <v>0</v>
      </c>
      <c r="Q22" s="4">
        <f>ROUND((L22*100*1)+(N22*100*2)+(O22*100*3),2)</f>
        <v>253.51</v>
      </c>
      <c r="R22" s="5">
        <v>0.17311991497159879</v>
      </c>
      <c r="S22" s="5">
        <v>0</v>
      </c>
      <c r="T22" s="5">
        <v>0.30276763812478391</v>
      </c>
      <c r="U22" s="5">
        <v>0.4927688859821977</v>
      </c>
      <c r="V22" s="5">
        <v>3.1343560921419662E-2</v>
      </c>
      <c r="W22" s="4">
        <f>ROUND((R22*100*1)+(T22*100*2)+(U22*100*3),2)</f>
        <v>225.7</v>
      </c>
      <c r="X22" s="5">
        <v>0.29676966361782331</v>
      </c>
      <c r="Y22" s="5">
        <v>0</v>
      </c>
      <c r="Z22" s="5">
        <v>0.2422787884222824</v>
      </c>
      <c r="AA22" s="5">
        <v>0.38942192956506488</v>
      </c>
      <c r="AB22" s="5">
        <v>7.1529618394829408E-2</v>
      </c>
      <c r="AC22" s="4">
        <f>ROUND((X22*100*1)+(Z22*100*2)+(AA22*100*3),2)</f>
        <v>194.96</v>
      </c>
      <c r="AD22">
        <f>ROUND(AVERAGE(Q22,W22,AC22),2)</f>
        <v>224.72</v>
      </c>
    </row>
    <row r="23" spans="1:30" x14ac:dyDescent="0.2">
      <c r="A23">
        <v>21</v>
      </c>
      <c r="B23">
        <v>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67</v>
      </c>
      <c r="I23" t="s">
        <v>67</v>
      </c>
      <c r="J23" t="s">
        <v>34</v>
      </c>
      <c r="K23" t="s">
        <v>149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4">
        <f>ROUND((L23*100*1)+(N23*100*2)+(O23*100*3),2)</f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4">
        <f>ROUND((R23*100*1)+(T23*100*2)+(U23*100*3),2)</f>
        <v>0</v>
      </c>
      <c r="X23" s="5">
        <v>0</v>
      </c>
      <c r="Y23" s="5">
        <v>0</v>
      </c>
      <c r="Z23" s="5">
        <v>0</v>
      </c>
      <c r="AA23" s="5">
        <v>0</v>
      </c>
      <c r="AB23" s="5">
        <v>1</v>
      </c>
      <c r="AC23" s="4">
        <f>ROUND((X23*100*1)+(Z23*100*2)+(AA23*100*3),2)</f>
        <v>0</v>
      </c>
      <c r="AD23">
        <f>ROUND(AVERAGE(Q23,W23,AC23),2)</f>
        <v>0</v>
      </c>
    </row>
    <row r="24" spans="1:30" x14ac:dyDescent="0.2">
      <c r="A24">
        <v>22</v>
      </c>
      <c r="B24">
        <v>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25</v>
      </c>
      <c r="I24" t="s">
        <v>25</v>
      </c>
      <c r="J24" t="s">
        <v>26</v>
      </c>
      <c r="K24" t="s">
        <v>155</v>
      </c>
      <c r="L24" s="5">
        <v>0.37301847803694449</v>
      </c>
      <c r="M24" s="5">
        <v>0</v>
      </c>
      <c r="N24" s="5">
        <v>0.14424276627892649</v>
      </c>
      <c r="O24" s="5">
        <v>0.4063683264069694</v>
      </c>
      <c r="P24" s="5">
        <v>7.6370429277159535E-2</v>
      </c>
      <c r="Q24" s="4">
        <f>ROUND((L24*100*1)+(N24*100*2)+(O24*100*3),2)</f>
        <v>188.06</v>
      </c>
      <c r="R24" s="5">
        <v>0.48050072641203018</v>
      </c>
      <c r="S24" s="5">
        <v>0</v>
      </c>
      <c r="T24" s="5">
        <v>0.10891551006503609</v>
      </c>
      <c r="U24" s="5">
        <v>0.32542814308656748</v>
      </c>
      <c r="V24" s="5">
        <v>8.5155620436366264E-2</v>
      </c>
      <c r="W24" s="4">
        <f>ROUND((R24*100*1)+(T24*100*2)+(U24*100*3),2)</f>
        <v>167.46</v>
      </c>
      <c r="X24" s="5">
        <v>0.55756159381425208</v>
      </c>
      <c r="Y24" s="5">
        <v>0</v>
      </c>
      <c r="Z24" s="5">
        <v>0.13217532246399491</v>
      </c>
      <c r="AA24" s="5">
        <v>0.26461518703547321</v>
      </c>
      <c r="AB24" s="5">
        <v>4.5647896686279887E-2</v>
      </c>
      <c r="AC24" s="4">
        <f>ROUND((X24*100*1)+(Z24*100*2)+(AA24*100*3),2)</f>
        <v>161.58000000000001</v>
      </c>
      <c r="AD24">
        <f>ROUND(AVERAGE(Q24,W24,AC24),2)</f>
        <v>172.37</v>
      </c>
    </row>
    <row r="25" spans="1:30" x14ac:dyDescent="0.2">
      <c r="A25">
        <v>23</v>
      </c>
      <c r="B25">
        <v>1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25</v>
      </c>
      <c r="I25" t="s">
        <v>25</v>
      </c>
      <c r="J25" t="s">
        <v>26</v>
      </c>
      <c r="K25" t="s">
        <v>161</v>
      </c>
      <c r="L25" s="5">
        <v>0.70260611116437521</v>
      </c>
      <c r="M25" s="5">
        <v>0</v>
      </c>
      <c r="N25" s="5">
        <v>0.18954208804469611</v>
      </c>
      <c r="O25" s="5">
        <v>2.239803689511574E-3</v>
      </c>
      <c r="P25" s="5">
        <v>0.1056119971014171</v>
      </c>
      <c r="Q25" s="4">
        <f>ROUND((L25*100*1)+(N25*100*2)+(O25*100*3),2)</f>
        <v>108.84</v>
      </c>
      <c r="R25" s="5">
        <v>0.346434783796082</v>
      </c>
      <c r="S25" s="5">
        <v>0</v>
      </c>
      <c r="T25" s="5">
        <v>0.18253112108858829</v>
      </c>
      <c r="U25" s="5">
        <v>2.750528522829045E-2</v>
      </c>
      <c r="V25" s="5">
        <v>0.44352880988703952</v>
      </c>
      <c r="W25" s="4">
        <f>ROUND((R25*100*1)+(T25*100*2)+(U25*100*3),2)</f>
        <v>79.400000000000006</v>
      </c>
      <c r="X25" s="5">
        <v>0.36193860042298309</v>
      </c>
      <c r="Y25" s="5">
        <v>0</v>
      </c>
      <c r="Z25" s="5">
        <v>0.14920070802111299</v>
      </c>
      <c r="AA25" s="5">
        <v>2.3118603139203501E-2</v>
      </c>
      <c r="AB25" s="5">
        <v>0.46574208841670062</v>
      </c>
      <c r="AC25" s="4">
        <f>ROUND((X25*100*1)+(Z25*100*2)+(AA25*100*3),2)</f>
        <v>72.97</v>
      </c>
      <c r="AD25">
        <f>ROUND(AVERAGE(Q25,W25,AC25),2)</f>
        <v>87.07</v>
      </c>
    </row>
    <row r="26" spans="1:30" x14ac:dyDescent="0.2">
      <c r="A26">
        <v>24</v>
      </c>
      <c r="B26">
        <v>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25</v>
      </c>
      <c r="I26" t="s">
        <v>25</v>
      </c>
      <c r="J26" t="s">
        <v>92</v>
      </c>
      <c r="K26" t="s">
        <v>167</v>
      </c>
      <c r="L26" s="5">
        <v>0.1188268013322992</v>
      </c>
      <c r="M26" s="5">
        <v>0</v>
      </c>
      <c r="N26" s="5">
        <v>0.1769263221935761</v>
      </c>
      <c r="O26" s="5">
        <v>0</v>
      </c>
      <c r="P26" s="5">
        <v>0.70424687647412476</v>
      </c>
      <c r="Q26" s="4">
        <f>ROUND((L26*100*1)+(N26*100*2)+(O26*100*3),2)</f>
        <v>47.27</v>
      </c>
      <c r="R26" s="5">
        <v>0.57530981728044439</v>
      </c>
      <c r="S26" s="5">
        <v>0</v>
      </c>
      <c r="T26" s="5">
        <v>9.4126171370675221E-2</v>
      </c>
      <c r="U26" s="5">
        <v>0</v>
      </c>
      <c r="V26" s="5">
        <v>0.33056401134888042</v>
      </c>
      <c r="W26" s="4">
        <f>ROUND((R26*100*1)+(T26*100*2)+(U26*100*3),2)</f>
        <v>76.36</v>
      </c>
      <c r="X26" s="5">
        <v>0.59192500808288828</v>
      </c>
      <c r="Y26" s="5">
        <v>0</v>
      </c>
      <c r="Z26" s="5">
        <v>9.7091040867135256E-2</v>
      </c>
      <c r="AA26" s="5">
        <v>8.2451176422318961E-4</v>
      </c>
      <c r="AB26" s="5">
        <v>0.31015943928575329</v>
      </c>
      <c r="AC26" s="4">
        <f>ROUND((X26*100*1)+(Z26*100*2)+(AA26*100*3),2)</f>
        <v>78.86</v>
      </c>
      <c r="AD26">
        <f>ROUND(AVERAGE(Q26,W26,AC26),2)</f>
        <v>67.5</v>
      </c>
    </row>
    <row r="27" spans="1:30" x14ac:dyDescent="0.2">
      <c r="A27">
        <v>25</v>
      </c>
      <c r="B27">
        <v>1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25</v>
      </c>
      <c r="I27" t="s">
        <v>25</v>
      </c>
      <c r="J27" t="s">
        <v>34</v>
      </c>
      <c r="K27" t="s">
        <v>167</v>
      </c>
      <c r="L27" s="5">
        <v>0.69008760774664135</v>
      </c>
      <c r="M27" s="5">
        <v>0</v>
      </c>
      <c r="N27" s="5">
        <v>8.7226588789911588E-2</v>
      </c>
      <c r="O27" s="5">
        <v>0</v>
      </c>
      <c r="P27" s="5">
        <v>0.22268580346344699</v>
      </c>
      <c r="Q27" s="4">
        <f>ROUND((L27*100*1)+(N27*100*2)+(O27*100*3),2)</f>
        <v>86.45</v>
      </c>
      <c r="R27" s="5">
        <v>0.35476526499335193</v>
      </c>
      <c r="S27" s="5">
        <v>0</v>
      </c>
      <c r="T27" s="5">
        <v>0.1465684974363485</v>
      </c>
      <c r="U27" s="5">
        <v>0.18056667589229811</v>
      </c>
      <c r="V27" s="5">
        <v>0.31809956167800157</v>
      </c>
      <c r="W27" s="4">
        <f>ROUND((R27*100*1)+(T27*100*2)+(U27*100*3),2)</f>
        <v>118.96</v>
      </c>
      <c r="X27" s="5">
        <v>0.22599656249109051</v>
      </c>
      <c r="Y27" s="5">
        <v>0</v>
      </c>
      <c r="Z27" s="5">
        <v>0.17889912571679989</v>
      </c>
      <c r="AA27" s="5">
        <v>0.21501534779195849</v>
      </c>
      <c r="AB27" s="5">
        <v>0.38008896400015107</v>
      </c>
      <c r="AC27" s="4">
        <f>ROUND((X27*100*1)+(Z27*100*2)+(AA27*100*3),2)</f>
        <v>122.88</v>
      </c>
      <c r="AD27">
        <f>ROUND(AVERAGE(Q27,W27,AC27),2)</f>
        <v>109.43</v>
      </c>
    </row>
    <row r="28" spans="1:30" x14ac:dyDescent="0.2">
      <c r="A28">
        <v>26</v>
      </c>
      <c r="B28">
        <v>1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25</v>
      </c>
      <c r="I28" t="s">
        <v>25</v>
      </c>
      <c r="J28" t="s">
        <v>34</v>
      </c>
      <c r="K28" t="s">
        <v>167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4">
        <f>ROUND((L28*100*1)+(N28*100*2)+(O28*100*3),2)</f>
        <v>0</v>
      </c>
      <c r="R28" s="5">
        <v>0</v>
      </c>
      <c r="S28" s="5">
        <v>0</v>
      </c>
      <c r="T28" s="5">
        <v>5.6861139326400863E-2</v>
      </c>
      <c r="U28" s="5">
        <v>0</v>
      </c>
      <c r="V28" s="5">
        <v>0.94313886067359898</v>
      </c>
      <c r="W28" s="4">
        <f>ROUND((R28*100*1)+(T28*100*2)+(U28*100*3),2)</f>
        <v>11.37</v>
      </c>
      <c r="X28" s="5">
        <v>0</v>
      </c>
      <c r="Y28" s="5">
        <v>0</v>
      </c>
      <c r="Z28" s="5">
        <v>5.0137258869180142E-2</v>
      </c>
      <c r="AA28" s="5">
        <v>0</v>
      </c>
      <c r="AB28" s="5">
        <v>0.9498627411308197</v>
      </c>
      <c r="AC28" s="4">
        <f>ROUND((X28*100*1)+(Z28*100*2)+(AA28*100*3),2)</f>
        <v>10.029999999999999</v>
      </c>
      <c r="AD28">
        <f>ROUND(AVERAGE(Q28,W28,AC28),2)</f>
        <v>7.13</v>
      </c>
    </row>
    <row r="29" spans="1:30" x14ac:dyDescent="0.2">
      <c r="A29">
        <v>27</v>
      </c>
      <c r="B29">
        <v>1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25</v>
      </c>
      <c r="I29" t="s">
        <v>25</v>
      </c>
      <c r="J29" t="s">
        <v>34</v>
      </c>
      <c r="K29" t="s">
        <v>167</v>
      </c>
      <c r="L29" s="5">
        <v>0</v>
      </c>
      <c r="M29" s="5">
        <v>0</v>
      </c>
      <c r="N29" s="5">
        <v>2.957368752853309E-2</v>
      </c>
      <c r="O29" s="5">
        <v>0</v>
      </c>
      <c r="P29" s="5">
        <v>0.97042631247146682</v>
      </c>
      <c r="Q29" s="4">
        <f>ROUND((L29*100*1)+(N29*100*2)+(O29*100*3),2)</f>
        <v>5.91</v>
      </c>
      <c r="R29" s="5">
        <v>0</v>
      </c>
      <c r="S29" s="5">
        <v>0</v>
      </c>
      <c r="T29" s="5">
        <v>8.2747133885983745E-2</v>
      </c>
      <c r="U29" s="5">
        <v>0</v>
      </c>
      <c r="V29" s="5">
        <v>0.91725286611401624</v>
      </c>
      <c r="W29" s="4">
        <f>ROUND((R29*100*1)+(T29*100*2)+(U29*100*3),2)</f>
        <v>16.55</v>
      </c>
      <c r="X29" s="5">
        <v>1.134501705782083E-2</v>
      </c>
      <c r="Y29" s="5">
        <v>0</v>
      </c>
      <c r="Z29" s="5">
        <v>0.10235555339001549</v>
      </c>
      <c r="AA29" s="5">
        <v>0</v>
      </c>
      <c r="AB29" s="5">
        <v>0.88629942955216368</v>
      </c>
      <c r="AC29" s="4">
        <f>ROUND((X29*100*1)+(Z29*100*2)+(AA29*100*3),2)</f>
        <v>21.61</v>
      </c>
      <c r="AD29">
        <f>ROUND(AVERAGE(Q29,W29,AC29),2)</f>
        <v>14.69</v>
      </c>
    </row>
    <row r="30" spans="1:30" x14ac:dyDescent="0.2">
      <c r="A30">
        <v>28</v>
      </c>
      <c r="B30">
        <v>1</v>
      </c>
      <c r="C30" t="s">
        <v>183</v>
      </c>
      <c r="D30" t="s">
        <v>184</v>
      </c>
      <c r="E30" t="s">
        <v>185</v>
      </c>
      <c r="F30" t="s">
        <v>186</v>
      </c>
      <c r="G30" t="s">
        <v>160</v>
      </c>
      <c r="H30" t="s">
        <v>25</v>
      </c>
      <c r="I30" t="s">
        <v>25</v>
      </c>
      <c r="J30" t="s">
        <v>34</v>
      </c>
      <c r="K30" t="s">
        <v>187</v>
      </c>
      <c r="L30" s="5">
        <v>0.89776326246500471</v>
      </c>
      <c r="M30" s="5">
        <v>0</v>
      </c>
      <c r="N30" s="5">
        <v>0.10223673753505701</v>
      </c>
      <c r="O30" s="5">
        <v>0</v>
      </c>
      <c r="P30" s="5">
        <v>0</v>
      </c>
      <c r="Q30" s="4">
        <f>ROUND((L30*100*1)+(N30*100*2)+(O30*100*3),2)</f>
        <v>110.22</v>
      </c>
      <c r="R30" s="5">
        <v>0.92793255464857272</v>
      </c>
      <c r="S30" s="5">
        <v>0</v>
      </c>
      <c r="T30" s="5">
        <v>7.2067445351488207E-2</v>
      </c>
      <c r="U30" s="5">
        <v>0</v>
      </c>
      <c r="V30" s="5">
        <v>0</v>
      </c>
      <c r="W30" s="4">
        <f>ROUND((R30*100*1)+(T30*100*2)+(U30*100*3),2)</f>
        <v>107.21</v>
      </c>
      <c r="X30" s="5">
        <v>0.92643751232118876</v>
      </c>
      <c r="Y30" s="5">
        <v>0</v>
      </c>
      <c r="Z30" s="5">
        <v>7.3562487678809504E-2</v>
      </c>
      <c r="AA30" s="5">
        <v>0</v>
      </c>
      <c r="AB30" s="5">
        <v>1.7763568394002501E-15</v>
      </c>
      <c r="AC30" s="4">
        <f>ROUND((X30*100*1)+(Z30*100*2)+(AA30*100*3),2)</f>
        <v>107.36</v>
      </c>
      <c r="AD30">
        <f>ROUND(AVERAGE(Q30,W30,AC30),2)</f>
        <v>108.26</v>
      </c>
    </row>
    <row r="31" spans="1:30" x14ac:dyDescent="0.2">
      <c r="A31">
        <v>29</v>
      </c>
      <c r="B31">
        <v>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25</v>
      </c>
      <c r="I31" t="s">
        <v>25</v>
      </c>
      <c r="J31" t="s">
        <v>92</v>
      </c>
      <c r="K31" t="s">
        <v>193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4">
        <f>ROUND((L31*100*1)+(N31*100*2)+(O31*100*3),2)</f>
        <v>100</v>
      </c>
      <c r="R31" s="5">
        <v>0.95569720860625618</v>
      </c>
      <c r="S31" s="5">
        <v>0</v>
      </c>
      <c r="T31" s="5">
        <v>4.193210955650177E-2</v>
      </c>
      <c r="U31" s="5">
        <v>0</v>
      </c>
      <c r="V31" s="5">
        <v>2.370681837242095E-3</v>
      </c>
      <c r="W31" s="4">
        <f>ROUND((R31*100*1)+(T31*100*2)+(U31*100*3),2)</f>
        <v>103.96</v>
      </c>
      <c r="X31" s="5">
        <v>0.92658462584964707</v>
      </c>
      <c r="Y31" s="5">
        <v>0</v>
      </c>
      <c r="Z31" s="5">
        <v>2.7132091974620881E-2</v>
      </c>
      <c r="AA31" s="5">
        <v>0</v>
      </c>
      <c r="AB31" s="5">
        <v>4.6283282175732077E-2</v>
      </c>
      <c r="AC31" s="4">
        <f>ROUND((X31*100*1)+(Z31*100*2)+(AA31*100*3),2)</f>
        <v>98.08</v>
      </c>
      <c r="AD31">
        <f>ROUND(AVERAGE(Q31,W31,AC31),2)</f>
        <v>100.68</v>
      </c>
    </row>
    <row r="32" spans="1:30" x14ac:dyDescent="0.2">
      <c r="A32">
        <v>30</v>
      </c>
      <c r="B32">
        <v>1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25</v>
      </c>
      <c r="I32" t="s">
        <v>25</v>
      </c>
      <c r="J32" t="s">
        <v>34</v>
      </c>
      <c r="K32" t="s">
        <v>193</v>
      </c>
      <c r="L32" s="5">
        <v>0</v>
      </c>
      <c r="M32" s="5">
        <v>0</v>
      </c>
      <c r="N32" s="5">
        <v>0.1069363629841739</v>
      </c>
      <c r="O32" s="5">
        <v>0</v>
      </c>
      <c r="P32" s="5">
        <v>0.89306363701582614</v>
      </c>
      <c r="Q32" s="4">
        <f>ROUND((L32*100*1)+(N32*100*2)+(O32*100*3),2)</f>
        <v>21.39</v>
      </c>
      <c r="R32" s="5">
        <v>3.0221334189754211E-2</v>
      </c>
      <c r="S32" s="5">
        <v>0</v>
      </c>
      <c r="T32" s="5">
        <v>0.1372290535798846</v>
      </c>
      <c r="U32" s="5">
        <v>0</v>
      </c>
      <c r="V32" s="5">
        <v>0.83254961223036117</v>
      </c>
      <c r="W32" s="4">
        <f>ROUND((R32*100*1)+(T32*100*2)+(U32*100*3),2)</f>
        <v>30.47</v>
      </c>
      <c r="X32" s="5">
        <v>0.12025182275321041</v>
      </c>
      <c r="Y32" s="5">
        <v>0</v>
      </c>
      <c r="Z32" s="5">
        <v>0.10150599914022949</v>
      </c>
      <c r="AA32" s="5">
        <v>0</v>
      </c>
      <c r="AB32" s="5">
        <v>0.77824217810656005</v>
      </c>
      <c r="AC32" s="4">
        <f>ROUND((X32*100*1)+(Z32*100*2)+(AA32*100*3),2)</f>
        <v>32.33</v>
      </c>
      <c r="AD32">
        <f>ROUND(AVERAGE(Q32,W32,AC32),2)</f>
        <v>28.06</v>
      </c>
    </row>
    <row r="33" spans="1:30" x14ac:dyDescent="0.2">
      <c r="A33">
        <v>31</v>
      </c>
      <c r="B33">
        <v>1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67</v>
      </c>
      <c r="I33" t="s">
        <v>67</v>
      </c>
      <c r="J33" t="s">
        <v>34</v>
      </c>
      <c r="K33" t="s">
        <v>204</v>
      </c>
      <c r="L33" s="5">
        <v>0.88507549183752121</v>
      </c>
      <c r="M33" s="5">
        <v>0</v>
      </c>
      <c r="N33" s="5">
        <v>0.114924508162479</v>
      </c>
      <c r="O33" s="5">
        <v>0</v>
      </c>
      <c r="P33" s="5">
        <v>0</v>
      </c>
      <c r="Q33" s="4">
        <f>ROUND((L33*100*1)+(N33*100*2)+(O33*100*3),2)</f>
        <v>111.49</v>
      </c>
      <c r="R33" s="5">
        <v>0.79569554972705603</v>
      </c>
      <c r="S33" s="5">
        <v>0</v>
      </c>
      <c r="T33" s="5">
        <v>0.1271182245323674</v>
      </c>
      <c r="U33" s="5">
        <v>7.7186225740566244E-2</v>
      </c>
      <c r="V33" s="5">
        <v>1.0325074129013961E-14</v>
      </c>
      <c r="W33" s="4">
        <f>ROUND((R33*100*1)+(T33*100*2)+(U33*100*3),2)</f>
        <v>128.15</v>
      </c>
      <c r="X33" s="5">
        <v>0.84814843804689488</v>
      </c>
      <c r="Y33" s="5">
        <v>0</v>
      </c>
      <c r="Z33" s="5">
        <v>9.28016789661429E-2</v>
      </c>
      <c r="AA33" s="5">
        <v>5.9049882986936843E-2</v>
      </c>
      <c r="AB33" s="5">
        <v>2.5424107263916078E-14</v>
      </c>
      <c r="AC33" s="4">
        <f>ROUND((X33*100*1)+(Z33*100*2)+(AA33*100*3),2)</f>
        <v>121.09</v>
      </c>
      <c r="AD33">
        <f>ROUND(AVERAGE(Q33,W33,AC33),2)</f>
        <v>120.24</v>
      </c>
    </row>
    <row r="34" spans="1:30" x14ac:dyDescent="0.2">
      <c r="A34">
        <v>32</v>
      </c>
      <c r="B34">
        <v>1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  <c r="H34" t="s">
        <v>25</v>
      </c>
      <c r="I34" t="s">
        <v>25</v>
      </c>
      <c r="J34" t="s">
        <v>34</v>
      </c>
      <c r="K34" t="s">
        <v>210</v>
      </c>
      <c r="L34" s="5">
        <v>0</v>
      </c>
      <c r="M34" s="5">
        <v>0</v>
      </c>
      <c r="N34" s="5">
        <v>7.9103525649123166E-2</v>
      </c>
      <c r="O34" s="5">
        <v>7.8089167898839451E-4</v>
      </c>
      <c r="P34" s="5">
        <v>0.92011558267188853</v>
      </c>
      <c r="Q34" s="4">
        <f>ROUND((L34*100*1)+(N34*100*2)+(O34*100*3),2)</f>
        <v>16.05</v>
      </c>
      <c r="R34" s="5">
        <v>0.36613456059026128</v>
      </c>
      <c r="S34" s="5">
        <v>0</v>
      </c>
      <c r="T34" s="5">
        <v>9.7991811725466768E-2</v>
      </c>
      <c r="U34" s="5">
        <v>8.335297255327044E-4</v>
      </c>
      <c r="V34" s="5">
        <v>0.53504009795873919</v>
      </c>
      <c r="W34" s="4">
        <f>ROUND((R34*100*1)+(T34*100*2)+(U34*100*3),2)</f>
        <v>56.46</v>
      </c>
      <c r="X34" s="5">
        <v>0.49706405369647472</v>
      </c>
      <c r="Y34" s="5">
        <v>0</v>
      </c>
      <c r="Z34" s="5">
        <v>7.377284905143236E-2</v>
      </c>
      <c r="AA34" s="5">
        <v>8.4930671967488238E-4</v>
      </c>
      <c r="AB34" s="5">
        <v>0.42831379053241803</v>
      </c>
      <c r="AC34" s="4">
        <f>ROUND((X34*100*1)+(Z34*100*2)+(AA34*100*3),2)</f>
        <v>64.72</v>
      </c>
      <c r="AD34">
        <f>ROUND(AVERAGE(Q34,W34,AC34),2)</f>
        <v>45.74</v>
      </c>
    </row>
    <row r="35" spans="1:30" x14ac:dyDescent="0.2">
      <c r="A35">
        <v>33</v>
      </c>
      <c r="B35">
        <v>1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25</v>
      </c>
      <c r="I35" t="s">
        <v>25</v>
      </c>
      <c r="J35" t="s">
        <v>34</v>
      </c>
      <c r="K35" t="s">
        <v>27</v>
      </c>
      <c r="L35" s="5">
        <v>0.87618523684071858</v>
      </c>
      <c r="M35" s="5">
        <v>0</v>
      </c>
      <c r="N35" s="5">
        <v>0.1238147631593485</v>
      </c>
      <c r="O35" s="5">
        <v>0</v>
      </c>
      <c r="P35" s="5">
        <v>0</v>
      </c>
      <c r="Q35" s="4">
        <f>ROUND((L35*100*1)+(N35*100*2)+(O35*100*3),2)</f>
        <v>112.38</v>
      </c>
      <c r="R35" s="5">
        <v>0.91194809387692366</v>
      </c>
      <c r="S35" s="5">
        <v>0</v>
      </c>
      <c r="T35" s="5">
        <v>8.8051906123120208E-2</v>
      </c>
      <c r="U35" s="5">
        <v>0</v>
      </c>
      <c r="V35" s="5">
        <v>0</v>
      </c>
      <c r="W35" s="4">
        <f>ROUND((R35*100*1)+(T35*100*2)+(U35*100*3),2)</f>
        <v>108.81</v>
      </c>
      <c r="X35" s="5">
        <v>0.93594790159568075</v>
      </c>
      <c r="Y35" s="5">
        <v>0</v>
      </c>
      <c r="Z35" s="5">
        <v>6.4052098404320218E-2</v>
      </c>
      <c r="AA35" s="5">
        <v>0</v>
      </c>
      <c r="AB35" s="5">
        <v>0</v>
      </c>
      <c r="AC35" s="4">
        <f>ROUND((X35*100*1)+(Z35*100*2)+(AA35*100*3),2)</f>
        <v>106.41</v>
      </c>
      <c r="AD35">
        <f>ROUND(AVERAGE(Q35,W35,AC35),2)</f>
        <v>109.2</v>
      </c>
    </row>
    <row r="36" spans="1:30" x14ac:dyDescent="0.2">
      <c r="A36">
        <v>34</v>
      </c>
      <c r="B36">
        <v>1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67</v>
      </c>
      <c r="I36" t="s">
        <v>67</v>
      </c>
      <c r="J36" t="s">
        <v>92</v>
      </c>
      <c r="K36" t="s">
        <v>130</v>
      </c>
      <c r="L36" s="5">
        <v>0.85022020469459336</v>
      </c>
      <c r="M36" s="5">
        <v>0</v>
      </c>
      <c r="N36" s="5">
        <v>7.9575750443271046E-2</v>
      </c>
      <c r="O36" s="5">
        <v>6.4999201222286076E-3</v>
      </c>
      <c r="P36" s="5">
        <v>6.3704124739907053E-2</v>
      </c>
      <c r="Q36" s="4">
        <f>ROUND((L36*100*1)+(N36*100*2)+(O36*100*3),2)</f>
        <v>102.89</v>
      </c>
      <c r="R36" s="5">
        <v>0.39657727173225388</v>
      </c>
      <c r="S36" s="5">
        <v>0</v>
      </c>
      <c r="T36" s="5">
        <v>8.1316701589184318E-2</v>
      </c>
      <c r="U36" s="5">
        <v>1.685871610912985E-2</v>
      </c>
      <c r="V36" s="5">
        <v>0.50524731056943173</v>
      </c>
      <c r="W36" s="4">
        <f>ROUND((R36*100*1)+(T36*100*2)+(U36*100*3),2)</f>
        <v>60.98</v>
      </c>
      <c r="X36" s="5">
        <v>0.40414614856189113</v>
      </c>
      <c r="Y36" s="5">
        <v>0</v>
      </c>
      <c r="Z36" s="5">
        <v>8.5959559490751056E-2</v>
      </c>
      <c r="AA36" s="5">
        <v>2.4124876553175349E-2</v>
      </c>
      <c r="AB36" s="5">
        <v>0.4857694153941825</v>
      </c>
      <c r="AC36" s="4">
        <f>ROUND((X36*100*1)+(Z36*100*2)+(AA36*100*3),2)</f>
        <v>64.84</v>
      </c>
      <c r="AD36">
        <f>ROUND(AVERAGE(Q36,W36,AC36),2)</f>
        <v>76.239999999999995</v>
      </c>
    </row>
    <row r="37" spans="1:30" x14ac:dyDescent="0.2">
      <c r="A37">
        <v>35</v>
      </c>
      <c r="B37">
        <v>2</v>
      </c>
      <c r="C37" t="s">
        <v>221</v>
      </c>
      <c r="D37" t="s">
        <v>222</v>
      </c>
      <c r="E37" t="s">
        <v>175</v>
      </c>
      <c r="F37" t="s">
        <v>223</v>
      </c>
      <c r="G37" t="s">
        <v>224</v>
      </c>
      <c r="H37" t="s">
        <v>67</v>
      </c>
      <c r="I37" t="s">
        <v>67</v>
      </c>
      <c r="J37" t="s">
        <v>92</v>
      </c>
      <c r="K37" t="s">
        <v>27</v>
      </c>
      <c r="L37" s="5">
        <v>0</v>
      </c>
      <c r="M37" s="5">
        <v>0</v>
      </c>
      <c r="N37" s="5">
        <v>8.6096609933798529E-2</v>
      </c>
      <c r="O37" s="5">
        <v>0</v>
      </c>
      <c r="P37" s="5">
        <v>0.91390339006620136</v>
      </c>
      <c r="Q37" s="4">
        <f>ROUND((L37*100*1)+(N37*100*2)+(O37*100*3),2)</f>
        <v>17.22</v>
      </c>
      <c r="R37" s="5">
        <v>0</v>
      </c>
      <c r="S37" s="5">
        <v>0</v>
      </c>
      <c r="T37" s="5">
        <v>0.1302125190428208</v>
      </c>
      <c r="U37" s="5">
        <v>0</v>
      </c>
      <c r="V37" s="5">
        <v>0.86978748095717906</v>
      </c>
      <c r="W37" s="4">
        <f>ROUND((R37*100*1)+(T37*100*2)+(U37*100*3),2)</f>
        <v>26.04</v>
      </c>
      <c r="X37" s="5">
        <v>0</v>
      </c>
      <c r="Y37" s="5">
        <v>0</v>
      </c>
      <c r="Z37" s="5">
        <v>0.1148041178832693</v>
      </c>
      <c r="AA37" s="5">
        <v>1.004224499081386E-2</v>
      </c>
      <c r="AB37" s="5">
        <v>0.87515363712591676</v>
      </c>
      <c r="AC37" s="4">
        <f>ROUND((X37*100*1)+(Z37*100*2)+(AA37*100*3),2)</f>
        <v>25.97</v>
      </c>
      <c r="AD37">
        <f>ROUND(AVERAGE(Q37,W37,AC37),2)</f>
        <v>23.08</v>
      </c>
    </row>
    <row r="38" spans="1:30" x14ac:dyDescent="0.2">
      <c r="A38">
        <v>36</v>
      </c>
      <c r="B38">
        <v>2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67</v>
      </c>
      <c r="I38" t="s">
        <v>67</v>
      </c>
      <c r="J38" t="s">
        <v>34</v>
      </c>
      <c r="K38" t="s">
        <v>230</v>
      </c>
      <c r="L38" s="5">
        <v>0</v>
      </c>
      <c r="M38" s="5">
        <v>0</v>
      </c>
      <c r="N38" s="5">
        <v>0.34325363727979608</v>
      </c>
      <c r="O38" s="5">
        <v>0</v>
      </c>
      <c r="P38" s="5">
        <v>0.65674636272020392</v>
      </c>
      <c r="Q38" s="4">
        <f>ROUND((L38*100*1)+(N38*100*2)+(O38*100*3),2)</f>
        <v>68.650000000000006</v>
      </c>
      <c r="R38" s="5">
        <v>3.9461984905231971E-2</v>
      </c>
      <c r="S38" s="5">
        <v>0</v>
      </c>
      <c r="T38" s="5">
        <v>0.21399085741212739</v>
      </c>
      <c r="U38" s="5">
        <v>0.1204036048217116</v>
      </c>
      <c r="V38" s="5">
        <v>0.62614355286092915</v>
      </c>
      <c r="W38" s="4">
        <f>ROUND((R38*100*1)+(T38*100*2)+(U38*100*3),2)</f>
        <v>82.87</v>
      </c>
      <c r="X38" s="5">
        <v>2.308973550117709E-2</v>
      </c>
      <c r="Y38" s="5">
        <v>0</v>
      </c>
      <c r="Z38" s="5">
        <v>0.29261262760627449</v>
      </c>
      <c r="AA38" s="5">
        <v>0.2535243324367587</v>
      </c>
      <c r="AB38" s="5">
        <v>0.43077330445578982</v>
      </c>
      <c r="AC38" s="4">
        <f>ROUND((X38*100*1)+(Z38*100*2)+(AA38*100*3),2)</f>
        <v>136.88999999999999</v>
      </c>
      <c r="AD38">
        <f>ROUND(AVERAGE(Q38,W38,AC38),2)</f>
        <v>96.14</v>
      </c>
    </row>
    <row r="39" spans="1:30" x14ac:dyDescent="0.2">
      <c r="A39">
        <v>37</v>
      </c>
      <c r="B39">
        <v>2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67</v>
      </c>
      <c r="I39" t="s">
        <v>67</v>
      </c>
      <c r="J39" t="s">
        <v>34</v>
      </c>
      <c r="K39" t="s">
        <v>204</v>
      </c>
      <c r="L39" s="5">
        <v>0.79047898084207513</v>
      </c>
      <c r="M39" s="5">
        <v>0</v>
      </c>
      <c r="N39" s="5">
        <v>0.18521357033861621</v>
      </c>
      <c r="O39" s="5">
        <v>2.4307448819412839E-2</v>
      </c>
      <c r="P39" s="5">
        <v>0</v>
      </c>
      <c r="Q39" s="4">
        <f>ROUND((L39*100*1)+(N39*100*2)+(O39*100*3),2)</f>
        <v>123.38</v>
      </c>
      <c r="R39" s="5">
        <v>0.79376015126453836</v>
      </c>
      <c r="S39" s="5">
        <v>0</v>
      </c>
      <c r="T39" s="5">
        <v>0.15667180891820379</v>
      </c>
      <c r="U39" s="5">
        <v>4.9545042802843837E-2</v>
      </c>
      <c r="V39" s="5">
        <v>2.299701441388358E-5</v>
      </c>
      <c r="W39" s="4">
        <f>ROUND((R39*100*1)+(T39*100*2)+(U39*100*3),2)</f>
        <v>125.57</v>
      </c>
      <c r="X39" s="5">
        <v>0.79653404000068284</v>
      </c>
      <c r="Y39" s="5">
        <v>0</v>
      </c>
      <c r="Z39" s="5">
        <v>0.1499447529110749</v>
      </c>
      <c r="AA39" s="5">
        <v>4.1222995610036263E-2</v>
      </c>
      <c r="AB39" s="5">
        <v>1.229821147820598E-2</v>
      </c>
      <c r="AC39" s="4">
        <f>ROUND((X39*100*1)+(Z39*100*2)+(AA39*100*3),2)</f>
        <v>122.01</v>
      </c>
      <c r="AD39">
        <f>ROUND(AVERAGE(Q39,W39,AC39),2)</f>
        <v>123.65</v>
      </c>
    </row>
    <row r="40" spans="1:30" x14ac:dyDescent="0.2">
      <c r="A40">
        <v>38</v>
      </c>
      <c r="B40">
        <v>1</v>
      </c>
      <c r="C40" t="s">
        <v>236</v>
      </c>
      <c r="D40" t="s">
        <v>237</v>
      </c>
      <c r="E40" t="s">
        <v>207</v>
      </c>
      <c r="F40" t="s">
        <v>238</v>
      </c>
      <c r="G40" t="s">
        <v>239</v>
      </c>
      <c r="H40" t="s">
        <v>67</v>
      </c>
      <c r="I40" t="s">
        <v>67</v>
      </c>
      <c r="J40" t="s">
        <v>34</v>
      </c>
      <c r="K40" t="s">
        <v>240</v>
      </c>
      <c r="L40" s="5">
        <v>0.83434263056774127</v>
      </c>
      <c r="M40" s="5">
        <v>0</v>
      </c>
      <c r="N40" s="5">
        <v>0.16091706772099651</v>
      </c>
      <c r="O40" s="5">
        <v>4.7403017113711336E-3</v>
      </c>
      <c r="P40" s="5">
        <v>0</v>
      </c>
      <c r="Q40" s="4">
        <f>ROUND((L40*100*1)+(N40*100*2)+(O40*100*3),2)</f>
        <v>117.04</v>
      </c>
      <c r="R40" s="5">
        <v>0.91378725339652855</v>
      </c>
      <c r="S40" s="5">
        <v>0</v>
      </c>
      <c r="T40" s="5">
        <v>8.399766734630254E-2</v>
      </c>
      <c r="U40" s="5">
        <v>2.215079257214642E-3</v>
      </c>
      <c r="V40" s="5">
        <v>0</v>
      </c>
      <c r="W40" s="4">
        <f>ROUND((R40*100*1)+(T40*100*2)+(U40*100*3),2)</f>
        <v>108.84</v>
      </c>
      <c r="X40" s="5">
        <v>0.89117496205667091</v>
      </c>
      <c r="Y40" s="5">
        <v>0</v>
      </c>
      <c r="Z40" s="5">
        <v>8.2329695710495282E-2</v>
      </c>
      <c r="AA40" s="5">
        <v>1.4087239022918759E-3</v>
      </c>
      <c r="AB40" s="5">
        <v>2.5086618330541929E-2</v>
      </c>
      <c r="AC40" s="4">
        <f>ROUND((X40*100*1)+(Z40*100*2)+(AA40*100*3),2)</f>
        <v>106.01</v>
      </c>
      <c r="AD40">
        <f>ROUND(AVERAGE(Q40,W40,AC40),2)</f>
        <v>110.63</v>
      </c>
    </row>
    <row r="41" spans="1:30" x14ac:dyDescent="0.2">
      <c r="A41">
        <v>39</v>
      </c>
      <c r="B41">
        <v>1</v>
      </c>
      <c r="C41" t="s">
        <v>241</v>
      </c>
      <c r="D41" t="s">
        <v>242</v>
      </c>
      <c r="E41" t="s">
        <v>243</v>
      </c>
      <c r="F41" t="s">
        <v>186</v>
      </c>
      <c r="G41" t="s">
        <v>160</v>
      </c>
      <c r="H41" t="s">
        <v>25</v>
      </c>
      <c r="I41" t="s">
        <v>25</v>
      </c>
      <c r="J41" t="s">
        <v>34</v>
      </c>
      <c r="K41" t="s">
        <v>240</v>
      </c>
      <c r="L41" s="5">
        <v>0.86476957653845765</v>
      </c>
      <c r="M41" s="5">
        <v>0</v>
      </c>
      <c r="N41" s="5">
        <v>0.13523042346162781</v>
      </c>
      <c r="O41" s="5">
        <v>0</v>
      </c>
      <c r="P41" s="5">
        <v>0</v>
      </c>
      <c r="Q41" s="4">
        <f>ROUND((L41*100*1)+(N41*100*2)+(O41*100*3),2)</f>
        <v>113.52</v>
      </c>
      <c r="R41" s="5">
        <v>0.86256493861885608</v>
      </c>
      <c r="S41" s="5">
        <v>0</v>
      </c>
      <c r="T41" s="5">
        <v>0.13743506138117961</v>
      </c>
      <c r="U41" s="5">
        <v>0</v>
      </c>
      <c r="V41" s="5">
        <v>0</v>
      </c>
      <c r="W41" s="4">
        <f>ROUND((R41*100*1)+(T41*100*2)+(U41*100*3),2)</f>
        <v>113.74</v>
      </c>
      <c r="X41" s="5">
        <v>0.89800491538618998</v>
      </c>
      <c r="Y41" s="5">
        <v>0</v>
      </c>
      <c r="Z41" s="5">
        <v>0.1019437363487076</v>
      </c>
      <c r="AA41" s="5">
        <v>5.1348265106303077E-5</v>
      </c>
      <c r="AB41" s="5">
        <v>0</v>
      </c>
      <c r="AC41" s="4">
        <f>ROUND((X41*100*1)+(Z41*100*2)+(AA41*100*3),2)</f>
        <v>110.2</v>
      </c>
      <c r="AD41">
        <f>ROUND(AVERAGE(Q41,W41,AC41),2)</f>
        <v>112.49</v>
      </c>
    </row>
    <row r="42" spans="1:30" x14ac:dyDescent="0.2">
      <c r="A42">
        <v>40</v>
      </c>
      <c r="B42">
        <v>1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25</v>
      </c>
      <c r="I42" t="s">
        <v>25</v>
      </c>
      <c r="J42" t="s">
        <v>34</v>
      </c>
      <c r="K42" t="s">
        <v>249</v>
      </c>
      <c r="L42" s="5">
        <v>0.83870670551653759</v>
      </c>
      <c r="M42" s="5">
        <v>0</v>
      </c>
      <c r="N42" s="5">
        <v>0.16129329448363561</v>
      </c>
      <c r="O42" s="5">
        <v>0</v>
      </c>
      <c r="P42" s="5">
        <v>0</v>
      </c>
      <c r="Q42" s="4">
        <f>ROUND((L42*100*1)+(N42*100*2)+(O42*100*3),2)</f>
        <v>116.13</v>
      </c>
      <c r="R42" s="5">
        <v>0.85305427453559945</v>
      </c>
      <c r="S42" s="5">
        <v>0</v>
      </c>
      <c r="T42" s="5">
        <v>0.14694572546448381</v>
      </c>
      <c r="U42" s="5">
        <v>0</v>
      </c>
      <c r="V42" s="5">
        <v>0</v>
      </c>
      <c r="W42" s="4">
        <f>ROUND((R42*100*1)+(T42*100*2)+(U42*100*3),2)</f>
        <v>114.69</v>
      </c>
      <c r="X42" s="5">
        <v>0.82507488432367904</v>
      </c>
      <c r="Y42" s="5">
        <v>0</v>
      </c>
      <c r="Z42" s="5">
        <v>0.1352133016701052</v>
      </c>
      <c r="AA42" s="5">
        <v>1.7331507135231899E-4</v>
      </c>
      <c r="AB42" s="5">
        <v>3.9538498934863497E-2</v>
      </c>
      <c r="AC42" s="4">
        <f>ROUND((X42*100*1)+(Z42*100*2)+(AA42*100*3),2)</f>
        <v>109.6</v>
      </c>
      <c r="AD42">
        <f>ROUND(AVERAGE(Q42,W42,AC42),2)</f>
        <v>113.47</v>
      </c>
    </row>
    <row r="43" spans="1:30" x14ac:dyDescent="0.2">
      <c r="A43">
        <v>41</v>
      </c>
      <c r="B43">
        <v>1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67</v>
      </c>
      <c r="I43" t="s">
        <v>67</v>
      </c>
      <c r="J43" t="s">
        <v>26</v>
      </c>
      <c r="K43" t="s">
        <v>249</v>
      </c>
      <c r="L43" s="5">
        <v>5.7072754811982748E-2</v>
      </c>
      <c r="M43" s="5">
        <v>0</v>
      </c>
      <c r="N43" s="5">
        <v>0.2042020970659747</v>
      </c>
      <c r="O43" s="5">
        <v>2.900102107518631E-2</v>
      </c>
      <c r="P43" s="5">
        <v>0.70972412704685617</v>
      </c>
      <c r="Q43" s="4">
        <f>ROUND((L43*100*1)+(N43*100*2)+(O43*100*3),2)</f>
        <v>55.25</v>
      </c>
      <c r="R43" s="5">
        <v>0.22847444179392579</v>
      </c>
      <c r="S43" s="5">
        <v>0</v>
      </c>
      <c r="T43" s="5">
        <v>0.14618571709968031</v>
      </c>
      <c r="U43" s="5">
        <v>3.7281880586735289E-2</v>
      </c>
      <c r="V43" s="5">
        <v>0.58805796051965864</v>
      </c>
      <c r="W43" s="4">
        <f>ROUND((R43*100*1)+(T43*100*2)+(U43*100*3),2)</f>
        <v>63.27</v>
      </c>
      <c r="X43" s="5">
        <v>0.34041530284914012</v>
      </c>
      <c r="Y43" s="5">
        <v>0</v>
      </c>
      <c r="Z43" s="5">
        <v>0.1208004976287341</v>
      </c>
      <c r="AA43" s="5">
        <v>5.0196751022433893E-2</v>
      </c>
      <c r="AB43" s="5">
        <v>0.48858744849969188</v>
      </c>
      <c r="AC43" s="4">
        <f>ROUND((X43*100*1)+(Z43*100*2)+(AA43*100*3),2)</f>
        <v>73.260000000000005</v>
      </c>
      <c r="AD43">
        <f>ROUND(AVERAGE(Q43,W43,AC43),2)</f>
        <v>63.93</v>
      </c>
    </row>
    <row r="44" spans="1:30" x14ac:dyDescent="0.2">
      <c r="A44">
        <v>42</v>
      </c>
      <c r="B44">
        <v>1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260</v>
      </c>
      <c r="J44" t="s">
        <v>34</v>
      </c>
      <c r="K44" t="s">
        <v>249</v>
      </c>
      <c r="L44" s="5">
        <v>0.25435538720597239</v>
      </c>
      <c r="M44" s="5">
        <v>0</v>
      </c>
      <c r="N44" s="5">
        <v>5.1627006020914377E-2</v>
      </c>
      <c r="O44" s="5">
        <v>0.69401760677294799</v>
      </c>
      <c r="P44" s="5">
        <v>1.6520118606422329E-13</v>
      </c>
      <c r="Q44" s="4">
        <f>ROUND((L44*100*1)+(N44*100*2)+(O44*100*3),2)</f>
        <v>243.97</v>
      </c>
      <c r="R44" s="5">
        <v>0.1188428784883518</v>
      </c>
      <c r="S44" s="5">
        <v>0</v>
      </c>
      <c r="T44" s="5">
        <v>0.19663318513612879</v>
      </c>
      <c r="U44" s="5">
        <v>0.66086087391309223</v>
      </c>
      <c r="V44" s="5">
        <v>2.366306246242722E-2</v>
      </c>
      <c r="W44" s="4">
        <f>ROUND((R44*100*1)+(T44*100*2)+(U44*100*3),2)</f>
        <v>249.47</v>
      </c>
      <c r="X44" s="5">
        <v>0.1542473060493979</v>
      </c>
      <c r="Y44" s="5">
        <v>0</v>
      </c>
      <c r="Z44" s="5">
        <v>0.18991574991798299</v>
      </c>
      <c r="AA44" s="5">
        <v>0.52191038924465105</v>
      </c>
      <c r="AB44" s="5">
        <v>0.133926554787968</v>
      </c>
      <c r="AC44" s="4">
        <f>ROUND((X44*100*1)+(Z44*100*2)+(AA44*100*3),2)</f>
        <v>209.98</v>
      </c>
      <c r="AD44">
        <f>ROUND(AVERAGE(Q44,W44,AC44),2)</f>
        <v>234.47</v>
      </c>
    </row>
    <row r="45" spans="1:30" x14ac:dyDescent="0.2">
      <c r="A45">
        <v>43</v>
      </c>
      <c r="B45">
        <v>1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25</v>
      </c>
      <c r="I45" t="s">
        <v>25</v>
      </c>
      <c r="J45" t="s">
        <v>26</v>
      </c>
      <c r="K45" t="s">
        <v>266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4">
        <f>ROUND((L45*100*1)+(N45*100*2)+(O45*100*3),2)</f>
        <v>0</v>
      </c>
      <c r="R45" s="5">
        <v>1.603642315683735E-2</v>
      </c>
      <c r="S45" s="5">
        <v>0</v>
      </c>
      <c r="T45" s="5">
        <v>6.5978011941319067E-2</v>
      </c>
      <c r="U45" s="5">
        <v>0</v>
      </c>
      <c r="V45" s="5">
        <v>0.91798556490184358</v>
      </c>
      <c r="W45" s="4">
        <f>ROUND((R45*100*1)+(T45*100*2)+(U45*100*3),2)</f>
        <v>14.8</v>
      </c>
      <c r="X45" s="5">
        <v>3.9131022331690038E-2</v>
      </c>
      <c r="Y45" s="5">
        <v>0</v>
      </c>
      <c r="Z45" s="5">
        <v>9.3851642606545188E-2</v>
      </c>
      <c r="AA45" s="5">
        <v>3.585438850755622E-3</v>
      </c>
      <c r="AB45" s="5">
        <v>0.86343189621100913</v>
      </c>
      <c r="AC45" s="4">
        <f>ROUND((X45*100*1)+(Z45*100*2)+(AA45*100*3),2)</f>
        <v>23.76</v>
      </c>
      <c r="AD45">
        <f>ROUND(AVERAGE(Q45,W45,AC45),2)</f>
        <v>12.85</v>
      </c>
    </row>
    <row r="46" spans="1:30" x14ac:dyDescent="0.2">
      <c r="A46">
        <v>44</v>
      </c>
      <c r="B46">
        <v>1</v>
      </c>
      <c r="C46" t="s">
        <v>267</v>
      </c>
      <c r="D46" t="s">
        <v>268</v>
      </c>
      <c r="E46" t="s">
        <v>252</v>
      </c>
      <c r="F46" t="s">
        <v>269</v>
      </c>
      <c r="G46" t="s">
        <v>270</v>
      </c>
      <c r="H46" t="s">
        <v>25</v>
      </c>
      <c r="I46" t="s">
        <v>25</v>
      </c>
      <c r="J46" t="s">
        <v>34</v>
      </c>
      <c r="K46" t="s">
        <v>271</v>
      </c>
      <c r="L46" s="5">
        <v>0</v>
      </c>
      <c r="M46" s="5">
        <v>0</v>
      </c>
      <c r="N46" s="5">
        <v>0</v>
      </c>
      <c r="O46" s="5">
        <v>0</v>
      </c>
      <c r="P46" s="5">
        <v>1</v>
      </c>
      <c r="Q46" s="4">
        <f>ROUND((L46*100*1)+(N46*100*2)+(O46*100*3),2)</f>
        <v>0</v>
      </c>
      <c r="R46" s="5">
        <v>0.32062015255404419</v>
      </c>
      <c r="S46" s="5">
        <v>0</v>
      </c>
      <c r="T46" s="5">
        <v>4.8155769549766463E-2</v>
      </c>
      <c r="U46" s="5">
        <v>0</v>
      </c>
      <c r="V46" s="5">
        <v>0.63122407789618928</v>
      </c>
      <c r="W46" s="4">
        <f>ROUND((R46*100*1)+(T46*100*2)+(U46*100*3),2)</f>
        <v>41.69</v>
      </c>
      <c r="X46" s="5">
        <v>0.43777919750542088</v>
      </c>
      <c r="Y46" s="5">
        <v>0</v>
      </c>
      <c r="Z46" s="5">
        <v>4.7957563608918292E-2</v>
      </c>
      <c r="AA46" s="5">
        <v>5.8450823763904797E-5</v>
      </c>
      <c r="AB46" s="5">
        <v>0.51420478806189696</v>
      </c>
      <c r="AC46" s="4">
        <f>ROUND((X46*100*1)+(Z46*100*2)+(AA46*100*3),2)</f>
        <v>53.39</v>
      </c>
      <c r="AD46">
        <f>ROUND(AVERAGE(Q46,W46,AC46),2)</f>
        <v>31.69</v>
      </c>
    </row>
    <row r="47" spans="1:30" x14ac:dyDescent="0.2">
      <c r="A47">
        <v>45</v>
      </c>
      <c r="B47">
        <v>1</v>
      </c>
      <c r="C47" t="s">
        <v>272</v>
      </c>
      <c r="D47" t="s">
        <v>273</v>
      </c>
      <c r="E47" t="s">
        <v>274</v>
      </c>
      <c r="F47" t="s">
        <v>275</v>
      </c>
      <c r="G47" t="s">
        <v>276</v>
      </c>
      <c r="H47" t="s">
        <v>25</v>
      </c>
      <c r="I47" t="s">
        <v>25</v>
      </c>
      <c r="J47" t="s">
        <v>34</v>
      </c>
      <c r="K47" t="s">
        <v>277</v>
      </c>
      <c r="L47" s="5">
        <v>0.50894732685899524</v>
      </c>
      <c r="M47" s="5">
        <v>0</v>
      </c>
      <c r="N47" s="5">
        <v>0</v>
      </c>
      <c r="O47" s="5">
        <v>0</v>
      </c>
      <c r="P47" s="5">
        <v>0.49105267314100493</v>
      </c>
      <c r="Q47" s="4">
        <f>ROUND((L47*100*1)+(N47*100*2)+(O47*100*3),2)</f>
        <v>50.89</v>
      </c>
      <c r="R47" s="5">
        <v>0.46913126444469022</v>
      </c>
      <c r="S47" s="5">
        <v>0</v>
      </c>
      <c r="T47" s="5">
        <v>2.4796888831084631E-2</v>
      </c>
      <c r="U47" s="5">
        <v>5.0607786430514239E-3</v>
      </c>
      <c r="V47" s="5">
        <v>0.50101106808117368</v>
      </c>
      <c r="W47" s="4">
        <f>ROUND((R47*100*1)+(T47*100*2)+(U47*100*3),2)</f>
        <v>53.39</v>
      </c>
      <c r="X47" s="5">
        <v>0.4019971295179402</v>
      </c>
      <c r="Y47" s="5">
        <v>0</v>
      </c>
      <c r="Z47" s="5">
        <v>8.8771619245524666E-2</v>
      </c>
      <c r="AA47" s="5">
        <v>5.259424821008734E-2</v>
      </c>
      <c r="AB47" s="5">
        <v>0.45663700302644777</v>
      </c>
      <c r="AC47" s="4">
        <f>ROUND((X47*100*1)+(Z47*100*2)+(AA47*100*3),2)</f>
        <v>73.73</v>
      </c>
      <c r="AD47">
        <f>ROUND(AVERAGE(Q47,W47,AC47),2)</f>
        <v>59.34</v>
      </c>
    </row>
    <row r="48" spans="1:30" x14ac:dyDescent="0.2">
      <c r="A48">
        <v>46</v>
      </c>
      <c r="B48">
        <v>1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25</v>
      </c>
      <c r="I48" t="s">
        <v>25</v>
      </c>
      <c r="J48" t="s">
        <v>26</v>
      </c>
      <c r="K48" t="s">
        <v>283</v>
      </c>
      <c r="L48" s="5">
        <v>0.74847358439754985</v>
      </c>
      <c r="M48" s="5">
        <v>0</v>
      </c>
      <c r="N48" s="5">
        <v>0.14331018017985539</v>
      </c>
      <c r="O48" s="5">
        <v>2.5071659650899129E-2</v>
      </c>
      <c r="P48" s="5">
        <v>8.314457577169565E-2</v>
      </c>
      <c r="Q48" s="4">
        <f>ROUND((L48*100*1)+(N48*100*2)+(O48*100*3),2)</f>
        <v>111.03</v>
      </c>
      <c r="R48" s="5">
        <v>0.66350129773833533</v>
      </c>
      <c r="S48" s="5">
        <v>0</v>
      </c>
      <c r="T48" s="5">
        <v>0.16097494221757661</v>
      </c>
      <c r="U48" s="5">
        <v>3.027018952653034E-2</v>
      </c>
      <c r="V48" s="5">
        <v>0.14525357051755769</v>
      </c>
      <c r="W48" s="4">
        <f>ROUND((R48*100*1)+(T48*100*2)+(U48*100*3),2)</f>
        <v>107.63</v>
      </c>
      <c r="X48" s="5">
        <v>0.6356997238195855</v>
      </c>
      <c r="Y48" s="5">
        <v>0</v>
      </c>
      <c r="Z48" s="5">
        <v>0.1670720044761661</v>
      </c>
      <c r="AA48" s="5">
        <v>5.7519519689578053E-2</v>
      </c>
      <c r="AB48" s="5">
        <v>0.1397087520146704</v>
      </c>
      <c r="AC48" s="4">
        <f>ROUND((X48*100*1)+(Z48*100*2)+(AA48*100*3),2)</f>
        <v>114.24</v>
      </c>
      <c r="AD48">
        <f>ROUND(AVERAGE(Q48,W48,AC48),2)</f>
        <v>110.97</v>
      </c>
    </row>
    <row r="49" spans="1:30" x14ac:dyDescent="0.2">
      <c r="A49">
        <v>47</v>
      </c>
      <c r="B49">
        <v>2</v>
      </c>
      <c r="C49" t="s">
        <v>284</v>
      </c>
      <c r="D49" t="s">
        <v>285</v>
      </c>
      <c r="E49" t="s">
        <v>286</v>
      </c>
      <c r="F49" t="s">
        <v>287</v>
      </c>
      <c r="G49" t="s">
        <v>288</v>
      </c>
      <c r="H49" t="s">
        <v>25</v>
      </c>
      <c r="I49" t="s">
        <v>25</v>
      </c>
      <c r="J49" t="s">
        <v>92</v>
      </c>
      <c r="K49" t="s">
        <v>86</v>
      </c>
      <c r="L49" s="5">
        <v>0</v>
      </c>
      <c r="M49" s="5">
        <v>0</v>
      </c>
      <c r="N49" s="5">
        <v>0.2209111389000846</v>
      </c>
      <c r="O49" s="5">
        <v>0.77908886109996389</v>
      </c>
      <c r="P49" s="5">
        <v>0</v>
      </c>
      <c r="Q49" s="4">
        <f>ROUND((L49*100*1)+(N49*100*2)+(O49*100*3),2)</f>
        <v>277.91000000000003</v>
      </c>
      <c r="R49" s="5">
        <v>5.3899204267271621E-2</v>
      </c>
      <c r="S49" s="5">
        <v>0</v>
      </c>
      <c r="T49" s="5">
        <v>0.21485513952808341</v>
      </c>
      <c r="U49" s="5">
        <v>0.59570377733773328</v>
      </c>
      <c r="V49" s="5">
        <v>0.1355418788669118</v>
      </c>
      <c r="W49" s="4">
        <f>ROUND((R49*100*1)+(T49*100*2)+(U49*100*3),2)</f>
        <v>227.07</v>
      </c>
      <c r="X49" s="5">
        <v>0.19256583893529861</v>
      </c>
      <c r="Y49" s="5">
        <v>0</v>
      </c>
      <c r="Z49" s="5">
        <v>0.17221494132063289</v>
      </c>
      <c r="AA49" s="5">
        <v>0.4395187129209443</v>
      </c>
      <c r="AB49" s="5">
        <v>0.1957005068231242</v>
      </c>
      <c r="AC49" s="4">
        <f>ROUND((X49*100*1)+(Z49*100*2)+(AA49*100*3),2)</f>
        <v>185.56</v>
      </c>
      <c r="AD49">
        <f>ROUND(AVERAGE(Q49,W49,AC49),2)</f>
        <v>230.18</v>
      </c>
    </row>
    <row r="50" spans="1:30" x14ac:dyDescent="0.2">
      <c r="A50">
        <v>48</v>
      </c>
      <c r="B50">
        <v>1</v>
      </c>
      <c r="C50" t="s">
        <v>289</v>
      </c>
      <c r="D50" t="s">
        <v>290</v>
      </c>
      <c r="E50" t="s">
        <v>291</v>
      </c>
      <c r="F50" t="s">
        <v>122</v>
      </c>
      <c r="G50" t="s">
        <v>123</v>
      </c>
      <c r="H50" t="s">
        <v>25</v>
      </c>
      <c r="I50" t="s">
        <v>25</v>
      </c>
      <c r="J50" t="s">
        <v>34</v>
      </c>
      <c r="K50" t="s">
        <v>35</v>
      </c>
      <c r="L50" s="5">
        <v>0</v>
      </c>
      <c r="M50" s="5">
        <v>0</v>
      </c>
      <c r="N50" s="5">
        <v>8.2701010436160988E-2</v>
      </c>
      <c r="O50" s="5">
        <v>0</v>
      </c>
      <c r="P50" s="5">
        <v>0.91729898956383904</v>
      </c>
      <c r="Q50" s="4">
        <f>ROUND((L50*100*1)+(N50*100*2)+(O50*100*3),2)</f>
        <v>16.54</v>
      </c>
      <c r="R50" s="5">
        <v>0</v>
      </c>
      <c r="S50" s="5">
        <v>0</v>
      </c>
      <c r="T50" s="5">
        <v>5.9087926738554633E-2</v>
      </c>
      <c r="U50" s="5">
        <v>0</v>
      </c>
      <c r="V50" s="5">
        <v>0.94091207326144544</v>
      </c>
      <c r="W50" s="4">
        <f>ROUND((R50*100*1)+(T50*100*2)+(U50*100*3),2)</f>
        <v>11.82</v>
      </c>
      <c r="X50" s="5">
        <v>0</v>
      </c>
      <c r="Y50" s="5">
        <v>0</v>
      </c>
      <c r="Z50" s="5">
        <v>7.3078041783669695E-2</v>
      </c>
      <c r="AA50" s="5">
        <v>0</v>
      </c>
      <c r="AB50" s="5">
        <v>0.92692195821633028</v>
      </c>
      <c r="AC50" s="4">
        <f>ROUND((X50*100*1)+(Z50*100*2)+(AA50*100*3),2)</f>
        <v>14.62</v>
      </c>
      <c r="AD50">
        <f>ROUND(AVERAGE(Q50,W50,AC50),2)</f>
        <v>14.33</v>
      </c>
    </row>
    <row r="51" spans="1:30" x14ac:dyDescent="0.2">
      <c r="A51">
        <v>49</v>
      </c>
      <c r="B51">
        <v>1</v>
      </c>
      <c r="C51" t="s">
        <v>292</v>
      </c>
      <c r="D51" t="s">
        <v>293</v>
      </c>
      <c r="E51" t="s">
        <v>291</v>
      </c>
      <c r="F51" t="s">
        <v>294</v>
      </c>
      <c r="G51" t="s">
        <v>295</v>
      </c>
      <c r="H51" t="s">
        <v>80</v>
      </c>
      <c r="I51" t="s">
        <v>296</v>
      </c>
      <c r="J51" t="s">
        <v>34</v>
      </c>
      <c r="K51" t="s">
        <v>230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4">
        <f>ROUND((L51*100*1)+(N51*100*2)+(O51*100*3),2)</f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4">
        <f>ROUND((R51*100*1)+(T51*100*2)+(U51*100*3),2)</f>
        <v>0</v>
      </c>
      <c r="X51" s="5">
        <v>0</v>
      </c>
      <c r="Y51" s="5">
        <v>0</v>
      </c>
      <c r="Z51" s="5">
        <v>0</v>
      </c>
      <c r="AA51" s="5">
        <v>0</v>
      </c>
      <c r="AB51" s="5">
        <v>1</v>
      </c>
      <c r="AC51" s="4">
        <f>ROUND((X51*100*1)+(Z51*100*2)+(AA51*100*3),2)</f>
        <v>0</v>
      </c>
      <c r="AD51">
        <f>ROUND(AVERAGE(Q51,W51,AC51),2)</f>
        <v>0</v>
      </c>
    </row>
    <row r="52" spans="1:30" x14ac:dyDescent="0.2">
      <c r="A52">
        <v>50</v>
      </c>
      <c r="B52">
        <v>1</v>
      </c>
      <c r="C52" t="s">
        <v>297</v>
      </c>
      <c r="D52" t="s">
        <v>298</v>
      </c>
      <c r="E52" t="s">
        <v>291</v>
      </c>
      <c r="F52" t="s">
        <v>299</v>
      </c>
      <c r="G52" t="s">
        <v>300</v>
      </c>
      <c r="H52" t="s">
        <v>80</v>
      </c>
      <c r="I52" t="s">
        <v>296</v>
      </c>
      <c r="J52" t="s">
        <v>34</v>
      </c>
      <c r="K52" t="s">
        <v>230</v>
      </c>
      <c r="L52" s="5">
        <v>0.86767735979777638</v>
      </c>
      <c r="M52" s="5">
        <v>0</v>
      </c>
      <c r="N52" s="5">
        <v>0</v>
      </c>
      <c r="O52" s="5">
        <v>0</v>
      </c>
      <c r="P52" s="5">
        <v>0.13232264020222359</v>
      </c>
      <c r="Q52" s="4">
        <f>ROUND((L52*100*1)+(N52*100*2)+(O52*100*3),2)</f>
        <v>86.77</v>
      </c>
      <c r="R52" s="5">
        <v>0.82083925020667425</v>
      </c>
      <c r="S52" s="5">
        <v>0</v>
      </c>
      <c r="T52" s="5">
        <v>5.3862851799416238E-2</v>
      </c>
      <c r="U52" s="5">
        <v>8.9512751133343098E-5</v>
      </c>
      <c r="V52" s="5">
        <v>0.12520838524277619</v>
      </c>
      <c r="W52" s="4">
        <f>ROUND((R52*100*1)+(T52*100*2)+(U52*100*3),2)</f>
        <v>92.88</v>
      </c>
      <c r="X52" s="5">
        <v>0.5629402209969443</v>
      </c>
      <c r="Y52" s="5">
        <v>0</v>
      </c>
      <c r="Z52" s="5">
        <v>0.1146950208637523</v>
      </c>
      <c r="AA52" s="5">
        <v>1.0994200906742141E-2</v>
      </c>
      <c r="AB52" s="5">
        <v>0.31137055723256118</v>
      </c>
      <c r="AC52" s="4">
        <f>ROUND((X52*100*1)+(Z52*100*2)+(AA52*100*3),2)</f>
        <v>82.53</v>
      </c>
      <c r="AD52">
        <f>ROUND(AVERAGE(Q52,W52,AC52),2)</f>
        <v>87.39</v>
      </c>
    </row>
    <row r="53" spans="1:30" x14ac:dyDescent="0.2">
      <c r="A53">
        <v>51</v>
      </c>
      <c r="B53">
        <v>1</v>
      </c>
      <c r="C53" t="s">
        <v>301</v>
      </c>
      <c r="D53" t="s">
        <v>302</v>
      </c>
      <c r="E53" t="s">
        <v>303</v>
      </c>
      <c r="F53" t="s">
        <v>304</v>
      </c>
      <c r="G53" t="s">
        <v>305</v>
      </c>
      <c r="H53" t="s">
        <v>25</v>
      </c>
      <c r="I53" t="s">
        <v>25</v>
      </c>
      <c r="J53" t="s">
        <v>34</v>
      </c>
      <c r="K53" t="s">
        <v>35</v>
      </c>
      <c r="L53" s="5">
        <v>0</v>
      </c>
      <c r="M53" s="5">
        <v>0</v>
      </c>
      <c r="N53" s="5">
        <v>0.17386693223336031</v>
      </c>
      <c r="O53" s="5">
        <v>3.4942398975093672E-2</v>
      </c>
      <c r="P53" s="5">
        <v>0.79119066879154598</v>
      </c>
      <c r="Q53" s="4">
        <f>ROUND((L53*100*1)+(N53*100*2)+(O53*100*3),2)</f>
        <v>45.26</v>
      </c>
      <c r="R53" s="5">
        <v>0.33171503427185872</v>
      </c>
      <c r="S53" s="5">
        <v>0</v>
      </c>
      <c r="T53" s="5">
        <v>0.14589642242160469</v>
      </c>
      <c r="U53" s="5">
        <v>2.76940591912141E-2</v>
      </c>
      <c r="V53" s="5">
        <v>0.49469448411532252</v>
      </c>
      <c r="W53" s="4">
        <f>ROUND((R53*100*1)+(T53*100*2)+(U53*100*3),2)</f>
        <v>70.66</v>
      </c>
      <c r="X53" s="5">
        <v>0.36197458950891981</v>
      </c>
      <c r="Y53" s="5">
        <v>0</v>
      </c>
      <c r="Z53" s="5">
        <v>0.13509002069480991</v>
      </c>
      <c r="AA53" s="5">
        <v>2.5457810494753069E-2</v>
      </c>
      <c r="AB53" s="5">
        <v>0.47747757930151719</v>
      </c>
      <c r="AC53" s="4">
        <f>ROUND((X53*100*1)+(Z53*100*2)+(AA53*100*3),2)</f>
        <v>70.849999999999994</v>
      </c>
      <c r="AD53">
        <f>ROUND(AVERAGE(Q53,W53,AC53),2)</f>
        <v>62.26</v>
      </c>
    </row>
    <row r="54" spans="1:30" x14ac:dyDescent="0.2">
      <c r="A54">
        <v>52</v>
      </c>
      <c r="B54">
        <v>1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 t="s">
        <v>25</v>
      </c>
      <c r="I54" t="s">
        <v>25</v>
      </c>
      <c r="J54" t="s">
        <v>92</v>
      </c>
      <c r="K54" t="s">
        <v>35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4">
        <f>ROUND((L54*100*1)+(N54*100*2)+(O54*100*3),2)</f>
        <v>0</v>
      </c>
      <c r="R54" s="5">
        <v>0</v>
      </c>
      <c r="S54" s="5">
        <v>0</v>
      </c>
      <c r="T54" s="5">
        <v>3.3482844203243371E-2</v>
      </c>
      <c r="U54" s="5">
        <v>0</v>
      </c>
      <c r="V54" s="5">
        <v>0.96651715579675668</v>
      </c>
      <c r="W54" s="4">
        <f>ROUND((R54*100*1)+(T54*100*2)+(U54*100*3),2)</f>
        <v>6.7</v>
      </c>
      <c r="X54" s="5">
        <v>0</v>
      </c>
      <c r="Y54" s="5">
        <v>0</v>
      </c>
      <c r="Z54" s="5">
        <v>4.2209845438840911E-2</v>
      </c>
      <c r="AA54" s="5">
        <v>0</v>
      </c>
      <c r="AB54" s="5">
        <v>0.95779015456115901</v>
      </c>
      <c r="AC54" s="4">
        <f>ROUND((X54*100*1)+(Z54*100*2)+(AA54*100*3),2)</f>
        <v>8.44</v>
      </c>
      <c r="AD54">
        <f>ROUND(AVERAGE(Q54,W54,AC54),2)</f>
        <v>5.05</v>
      </c>
    </row>
    <row r="55" spans="1:30" x14ac:dyDescent="0.2">
      <c r="A55">
        <v>53</v>
      </c>
      <c r="B55">
        <v>1</v>
      </c>
      <c r="C55" t="s">
        <v>311</v>
      </c>
      <c r="D55" t="s">
        <v>312</v>
      </c>
      <c r="E55" t="s">
        <v>308</v>
      </c>
      <c r="F55" t="s">
        <v>313</v>
      </c>
      <c r="G55" t="s">
        <v>314</v>
      </c>
      <c r="H55" t="s">
        <v>25</v>
      </c>
      <c r="I55" t="s">
        <v>25</v>
      </c>
      <c r="J55" t="s">
        <v>26</v>
      </c>
      <c r="K55" t="s">
        <v>35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4">
        <f>ROUND((L55*100*1)+(N55*100*2)+(O55*100*3),2)</f>
        <v>0</v>
      </c>
      <c r="R55" s="5">
        <v>7.6680245424429693E-4</v>
      </c>
      <c r="S55" s="5">
        <v>0</v>
      </c>
      <c r="T55" s="5">
        <v>0</v>
      </c>
      <c r="U55" s="5">
        <v>0</v>
      </c>
      <c r="V55" s="5">
        <v>0.99923319754575568</v>
      </c>
      <c r="W55" s="4">
        <f>ROUND((R55*100*1)+(T55*100*2)+(U55*100*3),2)</f>
        <v>0.08</v>
      </c>
      <c r="X55" s="5">
        <v>5.382758328122917E-2</v>
      </c>
      <c r="Y55" s="5">
        <v>0</v>
      </c>
      <c r="Z55" s="5">
        <v>3.9271904403664203E-2</v>
      </c>
      <c r="AA55" s="5">
        <v>6.5770655493089809E-4</v>
      </c>
      <c r="AB55" s="5">
        <v>0.90624280576017568</v>
      </c>
      <c r="AC55" s="4">
        <f>ROUND((X55*100*1)+(Z55*100*2)+(AA55*100*3),2)</f>
        <v>13.43</v>
      </c>
      <c r="AD55">
        <f>ROUND(AVERAGE(Q55,W55,AC55),2)</f>
        <v>4.5</v>
      </c>
    </row>
    <row r="56" spans="1:30" x14ac:dyDescent="0.2">
      <c r="A56">
        <v>54</v>
      </c>
      <c r="B56">
        <v>1</v>
      </c>
      <c r="C56" t="s">
        <v>315</v>
      </c>
      <c r="D56" t="s">
        <v>316</v>
      </c>
      <c r="E56" t="s">
        <v>308</v>
      </c>
      <c r="F56" t="s">
        <v>317</v>
      </c>
      <c r="G56" t="s">
        <v>318</v>
      </c>
      <c r="H56" t="s">
        <v>25</v>
      </c>
      <c r="I56" t="s">
        <v>25</v>
      </c>
      <c r="J56" t="s">
        <v>34</v>
      </c>
      <c r="K56" t="s">
        <v>35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4">
        <f>ROUND((L56*100*1)+(N56*100*2)+(O56*100*3),2)</f>
        <v>0</v>
      </c>
      <c r="R56" s="5">
        <v>8.8051705176051265E-2</v>
      </c>
      <c r="S56" s="5">
        <v>0</v>
      </c>
      <c r="T56" s="5">
        <v>6.6692827566714324E-2</v>
      </c>
      <c r="U56" s="5">
        <v>0</v>
      </c>
      <c r="V56" s="5">
        <v>0.84525546725723433</v>
      </c>
      <c r="W56" s="4">
        <f>ROUND((R56*100*1)+(T56*100*2)+(U56*100*3),2)</f>
        <v>22.14</v>
      </c>
      <c r="X56" s="5">
        <v>4.890604820757629E-2</v>
      </c>
      <c r="Y56" s="5">
        <v>0</v>
      </c>
      <c r="Z56" s="5">
        <v>6.2070874975021818E-2</v>
      </c>
      <c r="AA56" s="5">
        <v>5.5144768979059026E-4</v>
      </c>
      <c r="AB56" s="5">
        <v>0.88847162912761135</v>
      </c>
      <c r="AC56" s="4">
        <f>ROUND((X56*100*1)+(Z56*100*2)+(AA56*100*3),2)</f>
        <v>17.47</v>
      </c>
      <c r="AD56">
        <f>ROUND(AVERAGE(Q56,W56,AC56),2)</f>
        <v>13.2</v>
      </c>
    </row>
    <row r="57" spans="1:30" x14ac:dyDescent="0.2">
      <c r="A57">
        <v>55</v>
      </c>
      <c r="B57">
        <v>1</v>
      </c>
      <c r="C57" t="s">
        <v>319</v>
      </c>
      <c r="D57" t="s">
        <v>320</v>
      </c>
      <c r="E57" t="s">
        <v>321</v>
      </c>
      <c r="F57" t="s">
        <v>322</v>
      </c>
      <c r="G57" t="s">
        <v>323</v>
      </c>
      <c r="H57" t="s">
        <v>25</v>
      </c>
      <c r="I57" t="s">
        <v>25</v>
      </c>
      <c r="J57" t="s">
        <v>92</v>
      </c>
      <c r="K57" t="s">
        <v>35</v>
      </c>
      <c r="L57" s="5">
        <v>0</v>
      </c>
      <c r="M57" s="5">
        <v>0</v>
      </c>
      <c r="N57" s="5">
        <v>8.2912012148449871E-2</v>
      </c>
      <c r="O57" s="5">
        <v>0</v>
      </c>
      <c r="P57" s="5">
        <v>0.9170879878515501</v>
      </c>
      <c r="Q57" s="4">
        <f>ROUND((L57*100*1)+(N57*100*2)+(O57*100*3),2)</f>
        <v>16.579999999999998</v>
      </c>
      <c r="R57" s="5">
        <v>0</v>
      </c>
      <c r="S57" s="5">
        <v>0</v>
      </c>
      <c r="T57" s="5">
        <v>5.2787848963875672E-2</v>
      </c>
      <c r="U57" s="5">
        <v>9.0559936243110408E-5</v>
      </c>
      <c r="V57" s="5">
        <v>0.94712159109988114</v>
      </c>
      <c r="W57" s="4">
        <f>ROUND((R57*100*1)+(T57*100*2)+(U57*100*3),2)</f>
        <v>10.58</v>
      </c>
      <c r="X57" s="5">
        <v>3.312490350800282E-16</v>
      </c>
      <c r="Y57" s="5">
        <v>0</v>
      </c>
      <c r="Z57" s="5">
        <v>8.9076945893203224E-2</v>
      </c>
      <c r="AA57" s="5">
        <v>4.7943347380730713E-3</v>
      </c>
      <c r="AB57" s="5">
        <v>0.90612871936872341</v>
      </c>
      <c r="AC57" s="4">
        <f>ROUND((X57*100*1)+(Z57*100*2)+(AA57*100*3),2)</f>
        <v>19.25</v>
      </c>
      <c r="AD57">
        <f>ROUND(AVERAGE(Q57,W57,AC57),2)</f>
        <v>15.47</v>
      </c>
    </row>
    <row r="58" spans="1:30" x14ac:dyDescent="0.2">
      <c r="A58">
        <v>56</v>
      </c>
      <c r="B58">
        <v>3</v>
      </c>
      <c r="C58" t="s">
        <v>324</v>
      </c>
      <c r="D58" t="s">
        <v>325</v>
      </c>
      <c r="E58" t="s">
        <v>321</v>
      </c>
      <c r="F58" t="s">
        <v>326</v>
      </c>
      <c r="G58" t="s">
        <v>327</v>
      </c>
      <c r="H58" t="s">
        <v>25</v>
      </c>
      <c r="I58" t="s">
        <v>25</v>
      </c>
      <c r="J58" t="s">
        <v>26</v>
      </c>
      <c r="K58" t="s">
        <v>35</v>
      </c>
      <c r="L58" s="5">
        <v>0</v>
      </c>
      <c r="M58" s="5">
        <v>0</v>
      </c>
      <c r="N58" s="5">
        <v>9.1242094433951676E-2</v>
      </c>
      <c r="O58" s="5">
        <v>0</v>
      </c>
      <c r="P58" s="5">
        <v>0.90875790556604819</v>
      </c>
      <c r="Q58" s="4">
        <f>ROUND((L58*100*1)+(N58*100*2)+(O58*100*3),2)</f>
        <v>18.25</v>
      </c>
      <c r="R58" s="5">
        <v>0</v>
      </c>
      <c r="S58" s="5">
        <v>0</v>
      </c>
      <c r="T58" s="5">
        <v>7.6521149177560727E-2</v>
      </c>
      <c r="U58" s="5">
        <v>0</v>
      </c>
      <c r="V58" s="5">
        <v>0.9234788508224393</v>
      </c>
      <c r="W58" s="4">
        <f>ROUND((R58*100*1)+(T58*100*2)+(U58*100*3),2)</f>
        <v>15.3</v>
      </c>
      <c r="X58" s="5">
        <v>0</v>
      </c>
      <c r="Y58" s="5">
        <v>0</v>
      </c>
      <c r="Z58" s="5">
        <v>5.441397205413586E-2</v>
      </c>
      <c r="AA58" s="5">
        <v>0</v>
      </c>
      <c r="AB58" s="5">
        <v>0.9455860279458641</v>
      </c>
      <c r="AC58" s="4">
        <f>ROUND((X58*100*1)+(Z58*100*2)+(AA58*100*3),2)</f>
        <v>10.88</v>
      </c>
      <c r="AD58">
        <f>ROUND(AVERAGE(Q58,W58,AC58),2)</f>
        <v>14.81</v>
      </c>
    </row>
    <row r="59" spans="1:30" x14ac:dyDescent="0.2">
      <c r="A59">
        <v>57</v>
      </c>
      <c r="B59">
        <v>1</v>
      </c>
      <c r="C59" t="s">
        <v>328</v>
      </c>
      <c r="D59" t="s">
        <v>329</v>
      </c>
      <c r="E59" t="s">
        <v>321</v>
      </c>
      <c r="F59" t="s">
        <v>330</v>
      </c>
      <c r="H59" t="s">
        <v>25</v>
      </c>
      <c r="I59" t="s">
        <v>25</v>
      </c>
      <c r="J59" t="s">
        <v>92</v>
      </c>
      <c r="K59" t="s">
        <v>35</v>
      </c>
      <c r="L59" s="5">
        <v>0</v>
      </c>
      <c r="M59" s="5">
        <v>0</v>
      </c>
      <c r="N59" s="5">
        <v>0.1078898000392594</v>
      </c>
      <c r="O59" s="5">
        <v>2.5380089556163811E-2</v>
      </c>
      <c r="P59" s="5">
        <v>0.86673011040457681</v>
      </c>
      <c r="Q59" s="4">
        <f>ROUND((L59*100*1)+(N59*100*2)+(O59*100*3),2)</f>
        <v>29.19</v>
      </c>
      <c r="R59" s="5">
        <v>0</v>
      </c>
      <c r="S59" s="5">
        <v>0</v>
      </c>
      <c r="T59" s="5">
        <v>0.1352651206563002</v>
      </c>
      <c r="U59" s="5">
        <v>4.6452607597149403E-3</v>
      </c>
      <c r="V59" s="5">
        <v>0.86008961858398492</v>
      </c>
      <c r="W59" s="4">
        <f>ROUND((R59*100*1)+(T59*100*2)+(U59*100*3),2)</f>
        <v>28.45</v>
      </c>
      <c r="X59" s="5">
        <v>0</v>
      </c>
      <c r="Y59" s="5">
        <v>0</v>
      </c>
      <c r="Z59" s="5">
        <v>8.8091374485605445E-2</v>
      </c>
      <c r="AA59" s="5">
        <v>8.6240502700771337E-3</v>
      </c>
      <c r="AB59" s="5">
        <v>0.90328457524431738</v>
      </c>
      <c r="AC59" s="4">
        <f>ROUND((X59*100*1)+(Z59*100*2)+(AA59*100*3),2)</f>
        <v>20.21</v>
      </c>
      <c r="AD59">
        <f>ROUND(AVERAGE(Q59,W59,AC59),2)</f>
        <v>25.95</v>
      </c>
    </row>
    <row r="60" spans="1:30" x14ac:dyDescent="0.2">
      <c r="A60">
        <v>58</v>
      </c>
      <c r="B60">
        <v>1</v>
      </c>
      <c r="C60" t="s">
        <v>331</v>
      </c>
      <c r="D60" t="s">
        <v>332</v>
      </c>
      <c r="E60" t="s">
        <v>333</v>
      </c>
      <c r="F60" t="s">
        <v>334</v>
      </c>
      <c r="G60" t="s">
        <v>335</v>
      </c>
      <c r="H60" t="s">
        <v>336</v>
      </c>
      <c r="I60" t="s">
        <v>336</v>
      </c>
      <c r="J60" t="s">
        <v>34</v>
      </c>
      <c r="K60" t="s">
        <v>155</v>
      </c>
      <c r="L60" s="5">
        <v>0.55809671423546081</v>
      </c>
      <c r="M60" s="5">
        <v>0</v>
      </c>
      <c r="N60" s="5">
        <v>1.3096294099576791E-5</v>
      </c>
      <c r="O60" s="5">
        <v>0</v>
      </c>
      <c r="P60" s="5">
        <v>0.44189018947043962</v>
      </c>
      <c r="Q60" s="4">
        <f>ROUND((L60*100*1)+(N60*100*2)+(O60*100*3),2)</f>
        <v>55.81</v>
      </c>
      <c r="R60" s="5">
        <v>0.39696960908252571</v>
      </c>
      <c r="S60" s="5">
        <v>0</v>
      </c>
      <c r="T60" s="5">
        <v>8.2742868621604432E-2</v>
      </c>
      <c r="U60" s="5">
        <v>0</v>
      </c>
      <c r="V60" s="5">
        <v>0.52028752229586994</v>
      </c>
      <c r="W60" s="4">
        <f>ROUND((R60*100*1)+(T60*100*2)+(U60*100*3),2)</f>
        <v>56.25</v>
      </c>
      <c r="X60" s="5">
        <v>0.28591474322917892</v>
      </c>
      <c r="Y60" s="5">
        <v>0</v>
      </c>
      <c r="Z60" s="5">
        <v>8.2092624356328955E-2</v>
      </c>
      <c r="AA60" s="5">
        <v>4.4803102892973902E-3</v>
      </c>
      <c r="AB60" s="5">
        <v>0.62751232212519481</v>
      </c>
      <c r="AC60" s="4">
        <f>ROUND((X60*100*1)+(Z60*100*2)+(AA60*100*3),2)</f>
        <v>46.35</v>
      </c>
      <c r="AD60">
        <f>ROUND(AVERAGE(Q60,W60,AC60),2)</f>
        <v>52.8</v>
      </c>
    </row>
    <row r="61" spans="1:30" x14ac:dyDescent="0.2">
      <c r="A61">
        <v>59</v>
      </c>
      <c r="B61">
        <v>1</v>
      </c>
      <c r="C61" t="s">
        <v>337</v>
      </c>
      <c r="D61" t="s">
        <v>338</v>
      </c>
      <c r="E61" t="s">
        <v>339</v>
      </c>
      <c r="F61" t="s">
        <v>340</v>
      </c>
      <c r="G61" t="s">
        <v>341</v>
      </c>
      <c r="H61" t="s">
        <v>25</v>
      </c>
      <c r="I61" t="s">
        <v>25</v>
      </c>
      <c r="J61" t="s">
        <v>26</v>
      </c>
      <c r="K61" t="s">
        <v>35</v>
      </c>
      <c r="L61" s="5">
        <v>0</v>
      </c>
      <c r="M61" s="5">
        <v>0</v>
      </c>
      <c r="N61" s="5">
        <v>4.0316430687414397E-2</v>
      </c>
      <c r="O61" s="5">
        <v>0</v>
      </c>
      <c r="P61" s="5">
        <v>0.95968356931258558</v>
      </c>
      <c r="Q61" s="4">
        <f>ROUND((L61*100*1)+(N61*100*2)+(O61*100*3),2)</f>
        <v>8.06</v>
      </c>
      <c r="R61" s="5">
        <v>0</v>
      </c>
      <c r="S61" s="5">
        <v>0</v>
      </c>
      <c r="T61" s="5">
        <v>0.10218705056449059</v>
      </c>
      <c r="U61" s="5">
        <v>0</v>
      </c>
      <c r="V61" s="5">
        <v>0.89781294943550949</v>
      </c>
      <c r="W61" s="4">
        <f>ROUND((R61*100*1)+(T61*100*2)+(U61*100*3),2)</f>
        <v>20.440000000000001</v>
      </c>
      <c r="X61" s="5">
        <v>3.6092266274508379E-2</v>
      </c>
      <c r="Y61" s="5">
        <v>0</v>
      </c>
      <c r="Z61" s="5">
        <v>7.9249133120823434E-2</v>
      </c>
      <c r="AA61" s="5">
        <v>9.4070718262638086E-4</v>
      </c>
      <c r="AB61" s="5">
        <v>0.88371789342204177</v>
      </c>
      <c r="AC61" s="4">
        <f>ROUND((X61*100*1)+(Z61*100*2)+(AA61*100*3),2)</f>
        <v>19.739999999999998</v>
      </c>
      <c r="AD61">
        <f>ROUND(AVERAGE(Q61,W61,AC61),2)</f>
        <v>16.079999999999998</v>
      </c>
    </row>
    <row r="62" spans="1:30" x14ac:dyDescent="0.2">
      <c r="A62">
        <v>60</v>
      </c>
      <c r="B62">
        <v>2</v>
      </c>
      <c r="C62" t="s">
        <v>342</v>
      </c>
      <c r="D62" t="s">
        <v>343</v>
      </c>
      <c r="E62" t="s">
        <v>339</v>
      </c>
      <c r="F62" t="s">
        <v>344</v>
      </c>
      <c r="G62" t="s">
        <v>345</v>
      </c>
      <c r="H62" t="s">
        <v>25</v>
      </c>
      <c r="I62" t="s">
        <v>25</v>
      </c>
      <c r="J62" t="s">
        <v>92</v>
      </c>
      <c r="K62" t="s">
        <v>35</v>
      </c>
      <c r="L62" s="5">
        <v>0.88108398674445831</v>
      </c>
      <c r="M62" s="5">
        <v>0</v>
      </c>
      <c r="N62" s="5">
        <v>8.7610075466564519E-2</v>
      </c>
      <c r="O62" s="5">
        <v>0</v>
      </c>
      <c r="P62" s="5">
        <v>3.1305937788977167E-2</v>
      </c>
      <c r="Q62" s="4">
        <f>ROUND((L62*100*1)+(N62*100*2)+(O62*100*3),2)</f>
        <v>105.63</v>
      </c>
      <c r="R62" s="5">
        <v>0.58892677999896503</v>
      </c>
      <c r="S62" s="5">
        <v>0</v>
      </c>
      <c r="T62" s="5">
        <v>5.0585659704529849E-2</v>
      </c>
      <c r="U62" s="5">
        <v>2.0132057898993589E-5</v>
      </c>
      <c r="V62" s="5">
        <v>0.36046742823860611</v>
      </c>
      <c r="W62" s="4">
        <f>ROUND((R62*100*1)+(T62*100*2)+(U62*100*3),2)</f>
        <v>69.02</v>
      </c>
      <c r="X62" s="5">
        <v>0.44377322451794521</v>
      </c>
      <c r="Y62" s="5">
        <v>0</v>
      </c>
      <c r="Z62" s="5">
        <v>4.3774249455566287E-2</v>
      </c>
      <c r="AA62" s="5">
        <v>7.0118642937638828E-6</v>
      </c>
      <c r="AB62" s="5">
        <v>0.51244551416219475</v>
      </c>
      <c r="AC62" s="4">
        <f>ROUND((X62*100*1)+(Z62*100*2)+(AA62*100*3),2)</f>
        <v>53.13</v>
      </c>
      <c r="AD62">
        <f>ROUND(AVERAGE(Q62,W62,AC62),2)</f>
        <v>75.930000000000007</v>
      </c>
    </row>
    <row r="63" spans="1:30" x14ac:dyDescent="0.2">
      <c r="A63">
        <v>61</v>
      </c>
      <c r="B63">
        <v>1</v>
      </c>
      <c r="C63" t="s">
        <v>346</v>
      </c>
      <c r="D63" t="s">
        <v>347</v>
      </c>
      <c r="E63" t="s">
        <v>339</v>
      </c>
      <c r="F63" t="s">
        <v>348</v>
      </c>
      <c r="G63" t="s">
        <v>327</v>
      </c>
      <c r="H63" t="s">
        <v>25</v>
      </c>
      <c r="I63" t="s">
        <v>25</v>
      </c>
      <c r="J63" t="s">
        <v>26</v>
      </c>
      <c r="K63" t="s">
        <v>35</v>
      </c>
      <c r="L63" s="5">
        <v>0.92219082364008753</v>
      </c>
      <c r="M63" s="5">
        <v>0</v>
      </c>
      <c r="N63" s="5">
        <v>5.7265742375192323E-2</v>
      </c>
      <c r="O63" s="5">
        <v>0</v>
      </c>
      <c r="P63" s="5">
        <v>2.0543433984720139E-2</v>
      </c>
      <c r="Q63" s="4">
        <f>ROUND((L63*100*1)+(N63*100*2)+(O63*100*3),2)</f>
        <v>103.67</v>
      </c>
      <c r="R63" s="5">
        <v>0.57957594952979563</v>
      </c>
      <c r="S63" s="5">
        <v>0</v>
      </c>
      <c r="T63" s="5">
        <v>4.2364950856155631E-2</v>
      </c>
      <c r="U63" s="5">
        <v>0</v>
      </c>
      <c r="V63" s="5">
        <v>0.37805909961404871</v>
      </c>
      <c r="W63" s="4">
        <f>ROUND((R63*100*1)+(T63*100*2)+(U63*100*3),2)</f>
        <v>66.430000000000007</v>
      </c>
      <c r="X63" s="5">
        <v>0.35518902605799563</v>
      </c>
      <c r="Y63" s="5">
        <v>0</v>
      </c>
      <c r="Z63" s="5">
        <v>5.0788752362221967E-2</v>
      </c>
      <c r="AA63" s="5">
        <v>0</v>
      </c>
      <c r="AB63" s="5">
        <v>0.59402222157978235</v>
      </c>
      <c r="AC63" s="4">
        <f>ROUND((X63*100*1)+(Z63*100*2)+(AA63*100*3),2)</f>
        <v>45.68</v>
      </c>
      <c r="AD63">
        <f>ROUND(AVERAGE(Q63,W63,AC63),2)</f>
        <v>71.930000000000007</v>
      </c>
    </row>
    <row r="64" spans="1:30" x14ac:dyDescent="0.2">
      <c r="A64">
        <v>62</v>
      </c>
      <c r="B64">
        <v>3</v>
      </c>
      <c r="C64" t="s">
        <v>349</v>
      </c>
      <c r="D64" t="s">
        <v>350</v>
      </c>
      <c r="E64" t="s">
        <v>351</v>
      </c>
      <c r="F64" t="s">
        <v>352</v>
      </c>
      <c r="G64" t="s">
        <v>327</v>
      </c>
      <c r="H64" t="s">
        <v>25</v>
      </c>
      <c r="I64" t="s">
        <v>25</v>
      </c>
      <c r="J64" t="s">
        <v>26</v>
      </c>
      <c r="K64" t="s">
        <v>35</v>
      </c>
      <c r="L64" s="5">
        <v>0</v>
      </c>
      <c r="M64" s="5">
        <v>0</v>
      </c>
      <c r="N64" s="5">
        <v>3.5630636866506381E-2</v>
      </c>
      <c r="O64" s="5">
        <v>0</v>
      </c>
      <c r="P64" s="5">
        <v>0.96436936313349342</v>
      </c>
      <c r="Q64" s="4">
        <f>ROUND((L64*100*1)+(N64*100*2)+(O64*100*3),2)</f>
        <v>7.13</v>
      </c>
      <c r="R64" s="5">
        <v>0</v>
      </c>
      <c r="S64" s="5">
        <v>0</v>
      </c>
      <c r="T64" s="5">
        <v>4.259430368034238E-2</v>
      </c>
      <c r="U64" s="5">
        <v>0</v>
      </c>
      <c r="V64" s="5">
        <v>0.95740569631965777</v>
      </c>
      <c r="W64" s="4">
        <f>ROUND((R64*100*1)+(T64*100*2)+(U64*100*3),2)</f>
        <v>8.52</v>
      </c>
      <c r="X64" s="5">
        <v>9.4336040017167735E-2</v>
      </c>
      <c r="Y64" s="5">
        <v>0</v>
      </c>
      <c r="Z64" s="5">
        <v>4.426990774199159E-2</v>
      </c>
      <c r="AA64" s="5">
        <v>0</v>
      </c>
      <c r="AB64" s="5">
        <v>0.86139405224084065</v>
      </c>
      <c r="AC64" s="4">
        <f>ROUND((X64*100*1)+(Z64*100*2)+(AA64*100*3),2)</f>
        <v>18.29</v>
      </c>
      <c r="AD64">
        <f>ROUND(AVERAGE(Q64,W64,AC64),2)</f>
        <v>11.31</v>
      </c>
    </row>
    <row r="65" spans="1:30" x14ac:dyDescent="0.2">
      <c r="A65">
        <v>63</v>
      </c>
      <c r="B65">
        <v>1</v>
      </c>
      <c r="C65" t="s">
        <v>353</v>
      </c>
      <c r="D65" t="s">
        <v>354</v>
      </c>
      <c r="E65" t="s">
        <v>355</v>
      </c>
      <c r="F65" t="s">
        <v>356</v>
      </c>
      <c r="G65" t="s">
        <v>357</v>
      </c>
      <c r="H65" t="s">
        <v>67</v>
      </c>
      <c r="I65" t="s">
        <v>67</v>
      </c>
      <c r="J65" t="s">
        <v>34</v>
      </c>
      <c r="K65" t="s">
        <v>149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4">
        <f>ROUND((L65*100*1)+(N65*100*2)+(O65*100*3),2)</f>
        <v>0</v>
      </c>
      <c r="R65" s="5">
        <v>7.3359116298979113E-3</v>
      </c>
      <c r="S65" s="5">
        <v>0</v>
      </c>
      <c r="T65" s="5">
        <v>7.0157935968063273E-2</v>
      </c>
      <c r="U65" s="5">
        <v>0</v>
      </c>
      <c r="V65" s="5">
        <v>0.92250615240203881</v>
      </c>
      <c r="W65" s="4">
        <f>ROUND((R65*100*1)+(T65*100*2)+(U65*100*3),2)</f>
        <v>14.77</v>
      </c>
      <c r="X65" s="5">
        <v>0.14776869316295829</v>
      </c>
      <c r="Y65" s="5">
        <v>0</v>
      </c>
      <c r="Z65" s="5">
        <v>6.2402523036133813E-2</v>
      </c>
      <c r="AA65" s="5">
        <v>0</v>
      </c>
      <c r="AB65" s="5">
        <v>0.78982878380090793</v>
      </c>
      <c r="AC65" s="4">
        <f>ROUND((X65*100*1)+(Z65*100*2)+(AA65*100*3),2)</f>
        <v>27.26</v>
      </c>
      <c r="AD65">
        <f>ROUND(AVERAGE(Q65,W65,AC65),2)</f>
        <v>14.01</v>
      </c>
    </row>
    <row r="66" spans="1:30" x14ac:dyDescent="0.2">
      <c r="A66">
        <v>64</v>
      </c>
      <c r="B66">
        <v>1</v>
      </c>
      <c r="C66" t="s">
        <v>358</v>
      </c>
      <c r="D66" t="s">
        <v>359</v>
      </c>
      <c r="E66" t="s">
        <v>360</v>
      </c>
      <c r="F66" t="s">
        <v>361</v>
      </c>
      <c r="G66" t="s">
        <v>362</v>
      </c>
      <c r="H66" t="s">
        <v>25</v>
      </c>
      <c r="I66" t="s">
        <v>25</v>
      </c>
      <c r="J66" t="s">
        <v>34</v>
      </c>
      <c r="K66" t="s">
        <v>363</v>
      </c>
      <c r="L66" s="5">
        <v>0.6263278177062318</v>
      </c>
      <c r="M66" s="5">
        <v>0</v>
      </c>
      <c r="N66" s="5">
        <v>0.25656160143608758</v>
      </c>
      <c r="O66" s="5">
        <v>0</v>
      </c>
      <c r="P66" s="5">
        <v>0.1171105808576806</v>
      </c>
      <c r="Q66" s="4">
        <f>ROUND((L66*100*1)+(N66*100*2)+(O66*100*3),2)</f>
        <v>113.95</v>
      </c>
      <c r="R66" s="5">
        <v>0.36205198340839673</v>
      </c>
      <c r="S66" s="5">
        <v>0</v>
      </c>
      <c r="T66" s="5">
        <v>8.8095715929659549E-2</v>
      </c>
      <c r="U66" s="5">
        <v>3.2133627597303038E-3</v>
      </c>
      <c r="V66" s="5">
        <v>0.54663893790221341</v>
      </c>
      <c r="W66" s="4">
        <f>ROUND((R66*100*1)+(T66*100*2)+(U66*100*3),2)</f>
        <v>54.79</v>
      </c>
      <c r="X66" s="5">
        <v>0.44800544870513243</v>
      </c>
      <c r="Y66" s="5">
        <v>0</v>
      </c>
      <c r="Z66" s="5">
        <v>5.0890994126874652E-2</v>
      </c>
      <c r="AA66" s="5">
        <v>1.2940053527323481E-3</v>
      </c>
      <c r="AB66" s="5">
        <v>0.49980955181526049</v>
      </c>
      <c r="AC66" s="4">
        <f>ROUND((X66*100*1)+(Z66*100*2)+(AA66*100*3),2)</f>
        <v>55.37</v>
      </c>
      <c r="AD66">
        <f>ROUND(AVERAGE(Q66,W66,AC66),2)</f>
        <v>74.7</v>
      </c>
    </row>
    <row r="67" spans="1:30" x14ac:dyDescent="0.2">
      <c r="A67">
        <v>65</v>
      </c>
      <c r="B67">
        <v>1</v>
      </c>
      <c r="C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67</v>
      </c>
      <c r="I67" t="s">
        <v>67</v>
      </c>
      <c r="J67" t="s">
        <v>26</v>
      </c>
      <c r="K67" t="s">
        <v>56</v>
      </c>
      <c r="L67" s="5">
        <v>0.62919822338479592</v>
      </c>
      <c r="M67" s="5">
        <v>0</v>
      </c>
      <c r="N67" s="5">
        <v>0.1305893087120622</v>
      </c>
      <c r="O67" s="5">
        <v>0</v>
      </c>
      <c r="P67" s="5">
        <v>0.24021246790314191</v>
      </c>
      <c r="Q67" s="4">
        <f>ROUND((L67*100*1)+(N67*100*2)+(O67*100*3),2)</f>
        <v>89.04</v>
      </c>
      <c r="R67" s="5">
        <v>0.43608041376352041</v>
      </c>
      <c r="S67" s="5">
        <v>0</v>
      </c>
      <c r="T67" s="5">
        <v>7.9220552525035695E-2</v>
      </c>
      <c r="U67" s="5">
        <v>0</v>
      </c>
      <c r="V67" s="5">
        <v>0.48469903371144402</v>
      </c>
      <c r="W67" s="4">
        <f>ROUND((R67*100*1)+(T67*100*2)+(U67*100*3),2)</f>
        <v>59.45</v>
      </c>
      <c r="X67" s="5">
        <v>0.390074573975634</v>
      </c>
      <c r="Y67" s="5">
        <v>0</v>
      </c>
      <c r="Z67" s="5">
        <v>6.0129440730209503E-2</v>
      </c>
      <c r="AA67" s="5">
        <v>0</v>
      </c>
      <c r="AB67" s="5">
        <v>0.54979598529415652</v>
      </c>
      <c r="AC67" s="4">
        <f>ROUND((X67*100*1)+(Z67*100*2)+(AA67*100*3),2)</f>
        <v>51.03</v>
      </c>
      <c r="AD67">
        <f>ROUND(AVERAGE(Q67,W67,AC67),2)</f>
        <v>66.510000000000005</v>
      </c>
    </row>
    <row r="68" spans="1:30" x14ac:dyDescent="0.2">
      <c r="A68">
        <v>66</v>
      </c>
      <c r="B68">
        <v>1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25</v>
      </c>
      <c r="I68" t="s">
        <v>25</v>
      </c>
      <c r="J68" t="s">
        <v>34</v>
      </c>
      <c r="K68" t="s">
        <v>56</v>
      </c>
      <c r="L68" s="5">
        <v>0</v>
      </c>
      <c r="M68" s="5">
        <v>0</v>
      </c>
      <c r="N68" s="5">
        <v>2.1826985284662401E-2</v>
      </c>
      <c r="O68" s="5">
        <v>0</v>
      </c>
      <c r="P68" s="5">
        <v>0.97817301471533757</v>
      </c>
      <c r="Q68" s="4">
        <f>ROUND((L68*100*1)+(N68*100*2)+(O68*100*3),2)</f>
        <v>4.37</v>
      </c>
      <c r="R68" s="5">
        <v>2.2758348832006021E-3</v>
      </c>
      <c r="S68" s="5">
        <v>0</v>
      </c>
      <c r="T68" s="5">
        <v>9.5741527815653149E-2</v>
      </c>
      <c r="U68" s="5">
        <v>4.1549333636240367E-2</v>
      </c>
      <c r="V68" s="5">
        <v>0.86043330366490589</v>
      </c>
      <c r="W68" s="4">
        <f>ROUND((R68*100*1)+(T68*100*2)+(U68*100*3),2)</f>
        <v>31.84</v>
      </c>
      <c r="X68" s="5">
        <v>2.1055858937975489E-2</v>
      </c>
      <c r="Y68" s="5">
        <v>0</v>
      </c>
      <c r="Z68" s="5">
        <v>0.12658607323871149</v>
      </c>
      <c r="AA68" s="5">
        <v>0.1143106370959799</v>
      </c>
      <c r="AB68" s="5">
        <v>0.73804743072733314</v>
      </c>
      <c r="AC68" s="4">
        <f>ROUND((X68*100*1)+(Z68*100*2)+(AA68*100*3),2)</f>
        <v>61.72</v>
      </c>
      <c r="AD68">
        <f>ROUND(AVERAGE(Q68,W68,AC68),2)</f>
        <v>32.64</v>
      </c>
    </row>
    <row r="69" spans="1:30" x14ac:dyDescent="0.2">
      <c r="A69">
        <v>67</v>
      </c>
      <c r="B69">
        <v>1</v>
      </c>
      <c r="C69" t="s">
        <v>374</v>
      </c>
      <c r="D69" t="s">
        <v>375</v>
      </c>
      <c r="E69" t="s">
        <v>366</v>
      </c>
      <c r="F69" t="s">
        <v>122</v>
      </c>
      <c r="G69" t="s">
        <v>123</v>
      </c>
      <c r="H69" t="s">
        <v>25</v>
      </c>
      <c r="I69" t="s">
        <v>25</v>
      </c>
      <c r="J69" t="s">
        <v>34</v>
      </c>
      <c r="K69" t="s">
        <v>187</v>
      </c>
      <c r="L69" s="5">
        <v>0.4585471061740653</v>
      </c>
      <c r="M69" s="5">
        <v>0</v>
      </c>
      <c r="N69" s="5">
        <v>0.1087506082633502</v>
      </c>
      <c r="O69" s="5">
        <v>0</v>
      </c>
      <c r="P69" s="5">
        <v>0.4327022855625845</v>
      </c>
      <c r="Q69" s="4">
        <f>ROUND((L69*100*1)+(N69*100*2)+(O69*100*3),2)</f>
        <v>67.599999999999994</v>
      </c>
      <c r="R69" s="5">
        <v>0.37211967568197002</v>
      </c>
      <c r="S69" s="5">
        <v>0</v>
      </c>
      <c r="T69" s="5">
        <v>9.1832338243781383E-2</v>
      </c>
      <c r="U69" s="5">
        <v>0</v>
      </c>
      <c r="V69" s="5">
        <v>0.53604798607424864</v>
      </c>
      <c r="W69" s="4">
        <f>ROUND((R69*100*1)+(T69*100*2)+(U69*100*3),2)</f>
        <v>55.58</v>
      </c>
      <c r="X69" s="5">
        <v>0.33935217277964402</v>
      </c>
      <c r="Y69" s="5">
        <v>0</v>
      </c>
      <c r="Z69" s="5">
        <v>6.6869882537240549E-2</v>
      </c>
      <c r="AA69" s="5">
        <v>0</v>
      </c>
      <c r="AB69" s="5">
        <v>0.59377794468311551</v>
      </c>
      <c r="AC69" s="4">
        <f>ROUND((X69*100*1)+(Z69*100*2)+(AA69*100*3),2)</f>
        <v>47.31</v>
      </c>
      <c r="AD69">
        <f>ROUND(AVERAGE(Q69,W69,AC69),2)</f>
        <v>56.83</v>
      </c>
    </row>
    <row r="70" spans="1:30" x14ac:dyDescent="0.2">
      <c r="A70">
        <v>68</v>
      </c>
      <c r="B70">
        <v>1</v>
      </c>
      <c r="C70" t="s">
        <v>376</v>
      </c>
      <c r="D70" t="s">
        <v>377</v>
      </c>
      <c r="E70" t="s">
        <v>378</v>
      </c>
      <c r="F70" t="s">
        <v>379</v>
      </c>
      <c r="G70" t="s">
        <v>380</v>
      </c>
      <c r="H70" t="s">
        <v>25</v>
      </c>
      <c r="I70" t="s">
        <v>25</v>
      </c>
      <c r="J70" t="s">
        <v>34</v>
      </c>
      <c r="K70" t="s">
        <v>187</v>
      </c>
      <c r="L70" s="5">
        <v>0.32621794275162469</v>
      </c>
      <c r="M70" s="5">
        <v>0</v>
      </c>
      <c r="N70" s="5">
        <v>0.1811864517861628</v>
      </c>
      <c r="O70" s="5">
        <v>0</v>
      </c>
      <c r="P70" s="5">
        <v>0.49259560546221248</v>
      </c>
      <c r="Q70" s="4">
        <f>ROUND((L70*100*1)+(N70*100*2)+(O70*100*3),2)</f>
        <v>68.86</v>
      </c>
      <c r="R70" s="5">
        <v>0.31075136648217211</v>
      </c>
      <c r="S70" s="5">
        <v>0</v>
      </c>
      <c r="T70" s="5">
        <v>0.10965643634174579</v>
      </c>
      <c r="U70" s="5">
        <v>6.8736130591013039E-4</v>
      </c>
      <c r="V70" s="5">
        <v>0.57890483587017205</v>
      </c>
      <c r="W70" s="4">
        <f>ROUND((R70*100*1)+(T70*100*2)+(U70*100*3),2)</f>
        <v>53.21</v>
      </c>
      <c r="X70" s="5">
        <v>0.17320231636324171</v>
      </c>
      <c r="Y70" s="5">
        <v>0</v>
      </c>
      <c r="Z70" s="5">
        <v>0.1011383315209151</v>
      </c>
      <c r="AA70" s="5">
        <v>5.9175491962585236E-4</v>
      </c>
      <c r="AB70" s="5">
        <v>0.72506759719621727</v>
      </c>
      <c r="AC70" s="4">
        <f>ROUND((X70*100*1)+(Z70*100*2)+(AA70*100*3),2)</f>
        <v>37.729999999999997</v>
      </c>
      <c r="AD70">
        <f>ROUND(AVERAGE(Q70,W70,AC70),2)</f>
        <v>53.27</v>
      </c>
    </row>
    <row r="71" spans="1:30" x14ac:dyDescent="0.2">
      <c r="A71">
        <v>69</v>
      </c>
      <c r="B71">
        <v>1</v>
      </c>
      <c r="C71" t="s">
        <v>381</v>
      </c>
      <c r="D71" t="s">
        <v>382</v>
      </c>
      <c r="E71" t="s">
        <v>383</v>
      </c>
      <c r="F71" t="s">
        <v>384</v>
      </c>
      <c r="G71" t="s">
        <v>385</v>
      </c>
      <c r="H71" t="s">
        <v>25</v>
      </c>
      <c r="I71" t="s">
        <v>25</v>
      </c>
      <c r="J71" t="s">
        <v>26</v>
      </c>
      <c r="K71" t="s">
        <v>27</v>
      </c>
      <c r="L71" s="5">
        <v>3.7500405187586551E-2</v>
      </c>
      <c r="M71" s="5">
        <v>0</v>
      </c>
      <c r="N71" s="5">
        <v>0.17127929148852461</v>
      </c>
      <c r="O71" s="5">
        <v>0</v>
      </c>
      <c r="P71" s="5">
        <v>0.79122030332388882</v>
      </c>
      <c r="Q71" s="4">
        <f>ROUND((L71*100*1)+(N71*100*2)+(O71*100*3),2)</f>
        <v>38.01</v>
      </c>
      <c r="R71" s="5">
        <v>0.15803674249064201</v>
      </c>
      <c r="S71" s="5">
        <v>0</v>
      </c>
      <c r="T71" s="5">
        <v>0.1594658713324246</v>
      </c>
      <c r="U71" s="5">
        <v>0</v>
      </c>
      <c r="V71" s="5">
        <v>0.68249738617693345</v>
      </c>
      <c r="W71" s="4">
        <f>ROUND((R71*100*1)+(T71*100*2)+(U71*100*3),2)</f>
        <v>47.7</v>
      </c>
      <c r="X71" s="5">
        <v>0.10347330936191371</v>
      </c>
      <c r="Y71" s="5">
        <v>0</v>
      </c>
      <c r="Z71" s="5">
        <v>0.1212956401140792</v>
      </c>
      <c r="AA71" s="5">
        <v>2.8021084121599042E-2</v>
      </c>
      <c r="AB71" s="5">
        <v>0.747209966402408</v>
      </c>
      <c r="AC71" s="4">
        <f>ROUND((X71*100*1)+(Z71*100*2)+(AA71*100*3),2)</f>
        <v>43.01</v>
      </c>
      <c r="AD71">
        <f>ROUND(AVERAGE(Q71,W71,AC71),2)</f>
        <v>42.91</v>
      </c>
    </row>
    <row r="72" spans="1:30" x14ac:dyDescent="0.2">
      <c r="A72">
        <v>70</v>
      </c>
      <c r="B72">
        <v>1</v>
      </c>
      <c r="C72" t="s">
        <v>386</v>
      </c>
      <c r="D72" t="s">
        <v>387</v>
      </c>
      <c r="E72" t="s">
        <v>360</v>
      </c>
      <c r="F72" t="s">
        <v>388</v>
      </c>
      <c r="G72" t="s">
        <v>389</v>
      </c>
      <c r="H72" t="s">
        <v>25</v>
      </c>
      <c r="I72" t="s">
        <v>25</v>
      </c>
      <c r="J72" t="s">
        <v>26</v>
      </c>
      <c r="K72" t="s">
        <v>27</v>
      </c>
      <c r="L72" s="5">
        <v>0.7348947258538564</v>
      </c>
      <c r="M72" s="5">
        <v>0</v>
      </c>
      <c r="N72" s="5">
        <v>8.740715608513884E-2</v>
      </c>
      <c r="O72" s="5">
        <v>0</v>
      </c>
      <c r="P72" s="5">
        <v>0.1776981180610048</v>
      </c>
      <c r="Q72" s="4">
        <f>ROUND((L72*100*1)+(N72*100*2)+(O72*100*3),2)</f>
        <v>90.97</v>
      </c>
      <c r="R72" s="5">
        <v>0.48084212448110752</v>
      </c>
      <c r="S72" s="5">
        <v>0</v>
      </c>
      <c r="T72" s="5">
        <v>7.5927039226546561E-2</v>
      </c>
      <c r="U72" s="5">
        <v>0</v>
      </c>
      <c r="V72" s="5">
        <v>0.44323083629234611</v>
      </c>
      <c r="W72" s="4">
        <f>ROUND((R72*100*1)+(T72*100*2)+(U72*100*3),2)</f>
        <v>63.27</v>
      </c>
      <c r="X72" s="5">
        <v>0.60372682447665338</v>
      </c>
      <c r="Y72" s="5">
        <v>0</v>
      </c>
      <c r="Z72" s="5">
        <v>5.1815732981334073E-2</v>
      </c>
      <c r="AA72" s="5">
        <v>1.0753966004833379E-4</v>
      </c>
      <c r="AB72" s="5">
        <v>0.34434990288196432</v>
      </c>
      <c r="AC72" s="4">
        <f>ROUND((X72*100*1)+(Z72*100*2)+(AA72*100*3),2)</f>
        <v>70.77</v>
      </c>
      <c r="AD72">
        <f>ROUND(AVERAGE(Q72,W72,AC72),2)</f>
        <v>75</v>
      </c>
    </row>
    <row r="73" spans="1:30" x14ac:dyDescent="0.2">
      <c r="A73">
        <v>71</v>
      </c>
      <c r="B73">
        <v>1</v>
      </c>
      <c r="C73" t="s">
        <v>390</v>
      </c>
      <c r="D73" t="s">
        <v>391</v>
      </c>
      <c r="E73" t="s">
        <v>392</v>
      </c>
      <c r="F73" t="s">
        <v>393</v>
      </c>
      <c r="G73" t="s">
        <v>394</v>
      </c>
      <c r="H73" t="s">
        <v>25</v>
      </c>
      <c r="I73" t="s">
        <v>25</v>
      </c>
      <c r="J73" t="s">
        <v>34</v>
      </c>
      <c r="K73" t="s">
        <v>130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4">
        <f>ROUND((L73*100*1)+(N73*100*2)+(O73*100*3),2)</f>
        <v>0</v>
      </c>
      <c r="R73" s="5">
        <v>0</v>
      </c>
      <c r="S73" s="5">
        <v>0</v>
      </c>
      <c r="T73" s="5">
        <v>3.1926578210536301E-2</v>
      </c>
      <c r="U73" s="5">
        <v>0</v>
      </c>
      <c r="V73" s="5">
        <v>0.96807342178946365</v>
      </c>
      <c r="W73" s="4">
        <f>ROUND((R73*100*1)+(T73*100*2)+(U73*100*3),2)</f>
        <v>6.39</v>
      </c>
      <c r="X73" s="5">
        <v>2.1532135290885091E-2</v>
      </c>
      <c r="Y73" s="5">
        <v>0</v>
      </c>
      <c r="Z73" s="5">
        <v>5.07990198399529E-2</v>
      </c>
      <c r="AA73" s="5">
        <v>0</v>
      </c>
      <c r="AB73" s="5">
        <v>0.92766884486916212</v>
      </c>
      <c r="AC73" s="4">
        <f>ROUND((X73*100*1)+(Z73*100*2)+(AA73*100*3),2)</f>
        <v>12.31</v>
      </c>
      <c r="AD73">
        <f>ROUND(AVERAGE(Q73,W73,AC73),2)</f>
        <v>6.23</v>
      </c>
    </row>
    <row r="74" spans="1:30" x14ac:dyDescent="0.2">
      <c r="A74">
        <v>72</v>
      </c>
      <c r="B74">
        <v>1</v>
      </c>
      <c r="C74" t="s">
        <v>395</v>
      </c>
      <c r="D74" t="s">
        <v>396</v>
      </c>
      <c r="E74" t="s">
        <v>392</v>
      </c>
      <c r="F74" t="s">
        <v>397</v>
      </c>
      <c r="G74" t="s">
        <v>398</v>
      </c>
      <c r="H74" t="s">
        <v>25</v>
      </c>
      <c r="I74" t="s">
        <v>25</v>
      </c>
      <c r="J74" t="s">
        <v>92</v>
      </c>
      <c r="K74" t="s">
        <v>130</v>
      </c>
      <c r="L74" s="5">
        <v>0</v>
      </c>
      <c r="M74" s="5">
        <v>0</v>
      </c>
      <c r="N74" s="5">
        <v>2.309332575601987E-2</v>
      </c>
      <c r="O74" s="5">
        <v>0</v>
      </c>
      <c r="P74" s="5">
        <v>0.97690667424398026</v>
      </c>
      <c r="Q74" s="4">
        <f>ROUND((L74*100*1)+(N74*100*2)+(O74*100*3),2)</f>
        <v>4.62</v>
      </c>
      <c r="R74" s="5">
        <v>0</v>
      </c>
      <c r="S74" s="5">
        <v>0</v>
      </c>
      <c r="T74" s="5">
        <v>7.2455026633060554E-2</v>
      </c>
      <c r="U74" s="5">
        <v>0</v>
      </c>
      <c r="V74" s="5">
        <v>0.92754497336693942</v>
      </c>
      <c r="W74" s="4">
        <f>ROUND((R74*100*1)+(T74*100*2)+(U74*100*3),2)</f>
        <v>14.49</v>
      </c>
      <c r="X74" s="5">
        <v>0</v>
      </c>
      <c r="Y74" s="5">
        <v>0</v>
      </c>
      <c r="Z74" s="5">
        <v>5.2862081248520869E-2</v>
      </c>
      <c r="AA74" s="5">
        <v>0</v>
      </c>
      <c r="AB74" s="5">
        <v>0.94713791875147912</v>
      </c>
      <c r="AC74" s="4">
        <f>ROUND((X74*100*1)+(Z74*100*2)+(AA74*100*3),2)</f>
        <v>10.57</v>
      </c>
      <c r="AD74">
        <f>ROUND(AVERAGE(Q74,W74,AC74),2)</f>
        <v>9.89</v>
      </c>
    </row>
    <row r="75" spans="1:30" x14ac:dyDescent="0.2">
      <c r="A75">
        <v>73</v>
      </c>
      <c r="B75">
        <v>2</v>
      </c>
      <c r="C75" t="s">
        <v>399</v>
      </c>
      <c r="D75" t="s">
        <v>400</v>
      </c>
      <c r="E75" t="s">
        <v>401</v>
      </c>
      <c r="F75" t="s">
        <v>402</v>
      </c>
      <c r="G75" t="s">
        <v>403</v>
      </c>
      <c r="H75" t="s">
        <v>25</v>
      </c>
      <c r="I75" t="s">
        <v>25</v>
      </c>
      <c r="J75" t="s">
        <v>26</v>
      </c>
      <c r="K75" t="s">
        <v>93</v>
      </c>
      <c r="L75" s="5">
        <v>0</v>
      </c>
      <c r="M75" s="5">
        <v>0</v>
      </c>
      <c r="N75" s="5">
        <v>0.1529017741885097</v>
      </c>
      <c r="O75" s="5">
        <v>0</v>
      </c>
      <c r="P75" s="5">
        <v>0.8470982258114903</v>
      </c>
      <c r="Q75" s="4">
        <f>ROUND((L75*100*1)+(N75*100*2)+(O75*100*3),2)</f>
        <v>30.58</v>
      </c>
      <c r="R75" s="5">
        <v>6.1143344448946021E-2</v>
      </c>
      <c r="S75" s="5">
        <v>0</v>
      </c>
      <c r="T75" s="5">
        <v>0.1003082678763571</v>
      </c>
      <c r="U75" s="5">
        <v>0</v>
      </c>
      <c r="V75" s="5">
        <v>0.83854838767469686</v>
      </c>
      <c r="W75" s="4">
        <f>ROUND((R75*100*1)+(T75*100*2)+(U75*100*3),2)</f>
        <v>26.18</v>
      </c>
      <c r="X75" s="5">
        <v>0.23369328358170341</v>
      </c>
      <c r="Y75" s="5">
        <v>0</v>
      </c>
      <c r="Z75" s="5">
        <v>0.10265233359579511</v>
      </c>
      <c r="AA75" s="5">
        <v>2.0865042660498021E-2</v>
      </c>
      <c r="AB75" s="5">
        <v>0.6427893401620034</v>
      </c>
      <c r="AC75" s="4">
        <f>ROUND((X75*100*1)+(Z75*100*2)+(AA75*100*3),2)</f>
        <v>50.16</v>
      </c>
      <c r="AD75">
        <f>ROUND(AVERAGE(Q75,W75,AC75),2)</f>
        <v>35.64</v>
      </c>
    </row>
    <row r="76" spans="1:30" x14ac:dyDescent="0.2">
      <c r="A76">
        <v>74</v>
      </c>
      <c r="B76">
        <v>1</v>
      </c>
      <c r="C76" t="s">
        <v>404</v>
      </c>
      <c r="D76" t="s">
        <v>405</v>
      </c>
      <c r="E76" t="s">
        <v>401</v>
      </c>
      <c r="F76" t="s">
        <v>406</v>
      </c>
      <c r="G76" t="s">
        <v>407</v>
      </c>
      <c r="H76" t="s">
        <v>25</v>
      </c>
      <c r="I76" t="s">
        <v>25</v>
      </c>
      <c r="J76" t="s">
        <v>34</v>
      </c>
      <c r="K76" t="s">
        <v>86</v>
      </c>
      <c r="L76" s="5">
        <v>0</v>
      </c>
      <c r="M76" s="5">
        <v>0</v>
      </c>
      <c r="N76" s="5">
        <v>0</v>
      </c>
      <c r="O76" s="5">
        <v>0</v>
      </c>
      <c r="P76" s="5">
        <v>1</v>
      </c>
      <c r="Q76" s="4">
        <f>ROUND((L76*100*1)+(N76*100*2)+(O76*100*3),2)</f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4">
        <f>ROUND((R76*100*1)+(T76*100*2)+(U76*100*3),2)</f>
        <v>0</v>
      </c>
      <c r="X76" s="5">
        <v>0</v>
      </c>
      <c r="Y76" s="5">
        <v>0</v>
      </c>
      <c r="Z76" s="5">
        <v>2.017830928861563E-2</v>
      </c>
      <c r="AA76" s="5">
        <v>0</v>
      </c>
      <c r="AB76" s="5">
        <v>0.97982169071138436</v>
      </c>
      <c r="AC76" s="4">
        <f>ROUND((X76*100*1)+(Z76*100*2)+(AA76*100*3),2)</f>
        <v>4.04</v>
      </c>
      <c r="AD76">
        <f>ROUND(AVERAGE(Q76,W76,AC76),2)</f>
        <v>1.35</v>
      </c>
    </row>
    <row r="77" spans="1:30" x14ac:dyDescent="0.2">
      <c r="A77">
        <v>75</v>
      </c>
      <c r="B77">
        <v>1</v>
      </c>
      <c r="C77" t="s">
        <v>408</v>
      </c>
      <c r="D77" t="s">
        <v>409</v>
      </c>
      <c r="E77" t="s">
        <v>401</v>
      </c>
      <c r="F77" t="s">
        <v>410</v>
      </c>
      <c r="G77" t="s">
        <v>411</v>
      </c>
      <c r="H77" t="s">
        <v>25</v>
      </c>
      <c r="I77" t="s">
        <v>25</v>
      </c>
      <c r="J77" t="s">
        <v>34</v>
      </c>
      <c r="K77" t="s">
        <v>86</v>
      </c>
      <c r="L77" s="5">
        <v>0</v>
      </c>
      <c r="M77" s="5">
        <v>0</v>
      </c>
      <c r="N77" s="5">
        <v>0.1120350284263107</v>
      </c>
      <c r="O77" s="5">
        <v>0</v>
      </c>
      <c r="P77" s="5">
        <v>0.88796497157368925</v>
      </c>
      <c r="Q77" s="4">
        <f>ROUND((L77*100*1)+(N77*100*2)+(O77*100*3),2)</f>
        <v>22.41</v>
      </c>
      <c r="R77" s="5">
        <v>0</v>
      </c>
      <c r="S77" s="5">
        <v>0</v>
      </c>
      <c r="T77" s="5">
        <v>9.500113521236396E-2</v>
      </c>
      <c r="U77" s="5">
        <v>0</v>
      </c>
      <c r="V77" s="5">
        <v>0.90499886478763603</v>
      </c>
      <c r="W77" s="4">
        <f>ROUND((R77*100*1)+(T77*100*2)+(U77*100*3),2)</f>
        <v>19</v>
      </c>
      <c r="X77" s="5">
        <v>7.8571949086303328E-2</v>
      </c>
      <c r="Y77" s="5">
        <v>0</v>
      </c>
      <c r="Z77" s="5">
        <v>9.512542606970957E-2</v>
      </c>
      <c r="AA77" s="5">
        <v>4.2796911012990713E-2</v>
      </c>
      <c r="AB77" s="5">
        <v>0.78350571383099643</v>
      </c>
      <c r="AC77" s="4">
        <f>ROUND((X77*100*1)+(Z77*100*2)+(AA77*100*3),2)</f>
        <v>39.72</v>
      </c>
      <c r="AD77">
        <f>ROUND(AVERAGE(Q77,W77,AC77),2)</f>
        <v>27.04</v>
      </c>
    </row>
    <row r="78" spans="1:30" x14ac:dyDescent="0.2">
      <c r="A78">
        <v>76</v>
      </c>
      <c r="B78">
        <v>1</v>
      </c>
      <c r="C78" t="s">
        <v>412</v>
      </c>
      <c r="D78" t="s">
        <v>413</v>
      </c>
      <c r="E78" t="s">
        <v>401</v>
      </c>
      <c r="F78" t="s">
        <v>414</v>
      </c>
      <c r="G78" t="s">
        <v>415</v>
      </c>
      <c r="H78" t="s">
        <v>25</v>
      </c>
      <c r="I78" t="s">
        <v>25</v>
      </c>
      <c r="J78" t="s">
        <v>92</v>
      </c>
      <c r="K78" t="s">
        <v>86</v>
      </c>
      <c r="L78" s="5">
        <v>0</v>
      </c>
      <c r="M78" s="5">
        <v>0</v>
      </c>
      <c r="N78" s="5">
        <v>1.8779047044534989E-3</v>
      </c>
      <c r="O78" s="5">
        <v>0.1061637693856185</v>
      </c>
      <c r="P78" s="5">
        <v>0.89195832590992807</v>
      </c>
      <c r="Q78" s="4">
        <f>ROUND((L78*100*1)+(N78*100*2)+(O78*100*3),2)</f>
        <v>32.22</v>
      </c>
      <c r="R78" s="5">
        <v>6.0545844810512171E-3</v>
      </c>
      <c r="S78" s="5">
        <v>0</v>
      </c>
      <c r="T78" s="5">
        <v>0.17065698175649149</v>
      </c>
      <c r="U78" s="5">
        <v>0.21849116910694091</v>
      </c>
      <c r="V78" s="5">
        <v>0.60479726465551631</v>
      </c>
      <c r="W78" s="4">
        <f>ROUND((R78*100*1)+(T78*100*2)+(U78*100*3),2)</f>
        <v>100.28</v>
      </c>
      <c r="X78" s="5">
        <v>6.1083336212203569E-2</v>
      </c>
      <c r="Y78" s="5">
        <v>0</v>
      </c>
      <c r="Z78" s="5">
        <v>0.1684726265418961</v>
      </c>
      <c r="AA78" s="5">
        <v>0.2228413944650034</v>
      </c>
      <c r="AB78" s="5">
        <v>0.54760264278089699</v>
      </c>
      <c r="AC78" s="4">
        <f>ROUND((X78*100*1)+(Z78*100*2)+(AA78*100*3),2)</f>
        <v>106.66</v>
      </c>
      <c r="AD78">
        <f>ROUND(AVERAGE(Q78,W78,AC78),2)</f>
        <v>79.72</v>
      </c>
    </row>
    <row r="79" spans="1:30" x14ac:dyDescent="0.2">
      <c r="A79">
        <v>77</v>
      </c>
      <c r="B79">
        <v>1</v>
      </c>
      <c r="C79" t="s">
        <v>416</v>
      </c>
      <c r="D79" t="s">
        <v>417</v>
      </c>
      <c r="E79" t="s">
        <v>418</v>
      </c>
      <c r="F79" t="s">
        <v>171</v>
      </c>
      <c r="G79" t="s">
        <v>419</v>
      </c>
      <c r="H79" t="s">
        <v>25</v>
      </c>
      <c r="I79" t="s">
        <v>25</v>
      </c>
      <c r="J79" t="s">
        <v>92</v>
      </c>
      <c r="K79" t="s">
        <v>86</v>
      </c>
      <c r="L79" s="5">
        <v>0</v>
      </c>
      <c r="M79" s="5">
        <v>0</v>
      </c>
      <c r="N79" s="5">
        <v>0.18586067402917961</v>
      </c>
      <c r="O79" s="5">
        <v>0</v>
      </c>
      <c r="P79" s="5">
        <v>0.81413932597082039</v>
      </c>
      <c r="Q79" s="4">
        <f>ROUND((L79*100*1)+(N79*100*2)+(O79*100*3),2)</f>
        <v>37.17</v>
      </c>
      <c r="R79" s="5">
        <v>1.088977519589074E-2</v>
      </c>
      <c r="S79" s="5">
        <v>0</v>
      </c>
      <c r="T79" s="5">
        <v>0.16063769752650109</v>
      </c>
      <c r="U79" s="5">
        <v>0</v>
      </c>
      <c r="V79" s="5">
        <v>0.82847252727760812</v>
      </c>
      <c r="W79" s="4">
        <f>ROUND((R79*100*1)+(T79*100*2)+(U79*100*3),2)</f>
        <v>33.22</v>
      </c>
      <c r="X79" s="5">
        <v>8.4686585452033988E-2</v>
      </c>
      <c r="Y79" s="5">
        <v>0</v>
      </c>
      <c r="Z79" s="5">
        <v>0.1894593620286481</v>
      </c>
      <c r="AA79" s="5">
        <v>2.079461897075884E-3</v>
      </c>
      <c r="AB79" s="5">
        <v>0.72377459062224203</v>
      </c>
      <c r="AC79" s="4">
        <f>ROUND((X79*100*1)+(Z79*100*2)+(AA79*100*3),2)</f>
        <v>46.98</v>
      </c>
      <c r="AD79">
        <f>ROUND(AVERAGE(Q79,W79,AC79),2)</f>
        <v>39.119999999999997</v>
      </c>
    </row>
    <row r="80" spans="1:30" x14ac:dyDescent="0.2">
      <c r="A80">
        <v>78</v>
      </c>
      <c r="B80">
        <v>1</v>
      </c>
      <c r="C80" t="s">
        <v>420</v>
      </c>
      <c r="D80" t="s">
        <v>421</v>
      </c>
      <c r="E80" t="s">
        <v>422</v>
      </c>
      <c r="F80" t="s">
        <v>423</v>
      </c>
      <c r="G80" t="s">
        <v>424</v>
      </c>
      <c r="H80" t="s">
        <v>25</v>
      </c>
      <c r="I80" t="s">
        <v>25</v>
      </c>
      <c r="J80" t="s">
        <v>34</v>
      </c>
      <c r="K80" t="s">
        <v>86</v>
      </c>
      <c r="L80" s="5">
        <v>0.65807090216852504</v>
      </c>
      <c r="M80" s="5">
        <v>0</v>
      </c>
      <c r="N80" s="5">
        <v>8.9072880021198342E-2</v>
      </c>
      <c r="O80" s="5">
        <v>0</v>
      </c>
      <c r="P80" s="5">
        <v>0.25285621781027667</v>
      </c>
      <c r="Q80" s="4">
        <f>ROUND((L80*100*1)+(N80*100*2)+(O80*100*3),2)</f>
        <v>83.62</v>
      </c>
      <c r="R80" s="5">
        <v>0.52486459916025041</v>
      </c>
      <c r="S80" s="5">
        <v>0</v>
      </c>
      <c r="T80" s="5">
        <v>5.7898726414232562E-2</v>
      </c>
      <c r="U80" s="5">
        <v>2.3249256599931442E-3</v>
      </c>
      <c r="V80" s="5">
        <v>0.41491174876552389</v>
      </c>
      <c r="W80" s="4">
        <f>ROUND((R80*100*1)+(T80*100*2)+(U80*100*3),2)</f>
        <v>64.760000000000005</v>
      </c>
      <c r="X80" s="5">
        <v>0.49578040567370041</v>
      </c>
      <c r="Y80" s="5">
        <v>0</v>
      </c>
      <c r="Z80" s="5">
        <v>5.1149343293984219E-2</v>
      </c>
      <c r="AA80" s="5">
        <v>2.874504054801982E-2</v>
      </c>
      <c r="AB80" s="5">
        <v>0.42432521048429561</v>
      </c>
      <c r="AC80" s="4">
        <f>ROUND((X80*100*1)+(Z80*100*2)+(AA80*100*3),2)</f>
        <v>68.430000000000007</v>
      </c>
      <c r="AD80">
        <f>ROUND(AVERAGE(Q80,W80,AC80),2)</f>
        <v>72.27</v>
      </c>
    </row>
    <row r="81" spans="1:30" x14ac:dyDescent="0.2">
      <c r="A81">
        <v>79</v>
      </c>
      <c r="B81">
        <v>1</v>
      </c>
      <c r="C81" t="s">
        <v>425</v>
      </c>
      <c r="D81" t="s">
        <v>426</v>
      </c>
      <c r="E81" t="s">
        <v>422</v>
      </c>
      <c r="F81" t="s">
        <v>427</v>
      </c>
      <c r="G81" t="s">
        <v>428</v>
      </c>
      <c r="H81" t="s">
        <v>25</v>
      </c>
      <c r="I81" t="s">
        <v>25</v>
      </c>
      <c r="J81" t="s">
        <v>92</v>
      </c>
      <c r="K81" t="s">
        <v>86</v>
      </c>
      <c r="L81" s="5">
        <v>0.58422544368042229</v>
      </c>
      <c r="M81" s="5">
        <v>0</v>
      </c>
      <c r="N81" s="5">
        <v>0.23407464956112431</v>
      </c>
      <c r="O81" s="5">
        <v>0</v>
      </c>
      <c r="P81" s="5">
        <v>0.18169990675845349</v>
      </c>
      <c r="Q81" s="4">
        <f>ROUND((L81*100*1)+(N81*100*2)+(O81*100*3),2)</f>
        <v>105.24</v>
      </c>
      <c r="R81" s="5">
        <v>0.59946645291805178</v>
      </c>
      <c r="S81" s="5">
        <v>0</v>
      </c>
      <c r="T81" s="5">
        <v>0.2187604713785159</v>
      </c>
      <c r="U81" s="5">
        <v>6.0221134121190754E-4</v>
      </c>
      <c r="V81" s="5">
        <v>0.18117086436222041</v>
      </c>
      <c r="W81" s="4">
        <f>ROUND((R81*100*1)+(T81*100*2)+(U81*100*3),2)</f>
        <v>103.88</v>
      </c>
      <c r="X81" s="5">
        <v>0.71548595742987453</v>
      </c>
      <c r="Y81" s="5">
        <v>0</v>
      </c>
      <c r="Z81" s="5">
        <v>0.17685610850669231</v>
      </c>
      <c r="AA81" s="5">
        <v>8.968631032604846E-4</v>
      </c>
      <c r="AB81" s="5">
        <v>0.10676107096017259</v>
      </c>
      <c r="AC81" s="4">
        <f>ROUND((X81*100*1)+(Z81*100*2)+(AA81*100*3),2)</f>
        <v>107.19</v>
      </c>
      <c r="AD81">
        <f>ROUND(AVERAGE(Q81,W81,AC81),2)</f>
        <v>105.44</v>
      </c>
    </row>
    <row r="82" spans="1:30" x14ac:dyDescent="0.2">
      <c r="A82">
        <v>80</v>
      </c>
      <c r="B82">
        <v>1</v>
      </c>
      <c r="C82" t="s">
        <v>429</v>
      </c>
      <c r="D82" t="s">
        <v>430</v>
      </c>
      <c r="E82" t="s">
        <v>431</v>
      </c>
      <c r="F82" t="s">
        <v>432</v>
      </c>
      <c r="G82" t="s">
        <v>433</v>
      </c>
      <c r="H82" t="s">
        <v>25</v>
      </c>
      <c r="I82" t="s">
        <v>25</v>
      </c>
      <c r="J82" t="s">
        <v>34</v>
      </c>
      <c r="K82" t="s">
        <v>86</v>
      </c>
      <c r="L82" s="5">
        <v>0</v>
      </c>
      <c r="M82" s="5">
        <v>0</v>
      </c>
      <c r="N82" s="5">
        <v>0.22584658742324501</v>
      </c>
      <c r="O82" s="5">
        <v>0</v>
      </c>
      <c r="P82" s="5">
        <v>0.77415341257675507</v>
      </c>
      <c r="Q82" s="4">
        <f>ROUND((L82*100*1)+(N82*100*2)+(O82*100*3),2)</f>
        <v>45.17</v>
      </c>
      <c r="R82" s="5">
        <v>0</v>
      </c>
      <c r="S82" s="5">
        <v>0</v>
      </c>
      <c r="T82" s="5">
        <v>0.12678716330310999</v>
      </c>
      <c r="U82" s="5">
        <v>0</v>
      </c>
      <c r="V82" s="5">
        <v>0.87321283669688998</v>
      </c>
      <c r="W82" s="4">
        <f>ROUND((R82*100*1)+(T82*100*2)+(U82*100*3),2)</f>
        <v>25.36</v>
      </c>
      <c r="X82" s="5">
        <v>1.757418921781394E-3</v>
      </c>
      <c r="Y82" s="5">
        <v>0</v>
      </c>
      <c r="Z82" s="5">
        <v>8.0091230367484723E-2</v>
      </c>
      <c r="AA82" s="5">
        <v>0</v>
      </c>
      <c r="AB82" s="5">
        <v>0.91815135071073384</v>
      </c>
      <c r="AC82" s="4">
        <f>ROUND((X82*100*1)+(Z82*100*2)+(AA82*100*3),2)</f>
        <v>16.190000000000001</v>
      </c>
      <c r="AD82">
        <f>ROUND(AVERAGE(Q82,W82,AC82),2)</f>
        <v>28.91</v>
      </c>
    </row>
    <row r="83" spans="1:30" x14ac:dyDescent="0.2">
      <c r="A83">
        <v>81</v>
      </c>
      <c r="B83">
        <v>1</v>
      </c>
      <c r="C83" t="s">
        <v>434</v>
      </c>
      <c r="D83" t="s">
        <v>435</v>
      </c>
      <c r="E83" t="s">
        <v>436</v>
      </c>
      <c r="F83" t="s">
        <v>437</v>
      </c>
      <c r="G83" t="s">
        <v>438</v>
      </c>
      <c r="H83" t="s">
        <v>25</v>
      </c>
      <c r="I83" t="s">
        <v>25</v>
      </c>
      <c r="J83" t="s">
        <v>92</v>
      </c>
      <c r="K83" t="s">
        <v>86</v>
      </c>
      <c r="L83" s="5">
        <v>0</v>
      </c>
      <c r="M83" s="5">
        <v>0</v>
      </c>
      <c r="N83" s="5">
        <v>0.24968592924396951</v>
      </c>
      <c r="O83" s="5">
        <v>0</v>
      </c>
      <c r="P83" s="5">
        <v>0.75031407075603052</v>
      </c>
      <c r="Q83" s="4">
        <f>ROUND((L83*100*1)+(N83*100*2)+(O83*100*3),2)</f>
        <v>49.94</v>
      </c>
      <c r="R83" s="5">
        <v>9.4984314267887227E-2</v>
      </c>
      <c r="S83" s="5">
        <v>0</v>
      </c>
      <c r="T83" s="5">
        <v>0.1162717177360572</v>
      </c>
      <c r="U83" s="5">
        <v>2.0445953914252529E-4</v>
      </c>
      <c r="V83" s="5">
        <v>0.78853950845691301</v>
      </c>
      <c r="W83" s="4">
        <f>ROUND((R83*100*1)+(T83*100*2)+(U83*100*3),2)</f>
        <v>32.81</v>
      </c>
      <c r="X83" s="5">
        <v>0.1229804674982326</v>
      </c>
      <c r="Y83" s="5">
        <v>0</v>
      </c>
      <c r="Z83" s="5">
        <v>7.5770868532786986E-2</v>
      </c>
      <c r="AA83" s="5">
        <v>8.7516153066382121E-3</v>
      </c>
      <c r="AB83" s="5">
        <v>0.79249704866234216</v>
      </c>
      <c r="AC83" s="4">
        <f>ROUND((X83*100*1)+(Z83*100*2)+(AA83*100*3),2)</f>
        <v>30.08</v>
      </c>
      <c r="AD83">
        <f>ROUND(AVERAGE(Q83,W83,AC83),2)</f>
        <v>37.61</v>
      </c>
    </row>
    <row r="84" spans="1:30" x14ac:dyDescent="0.2">
      <c r="A84">
        <v>82</v>
      </c>
      <c r="B84">
        <v>1</v>
      </c>
      <c r="C84" t="s">
        <v>439</v>
      </c>
      <c r="D84" t="s">
        <v>440</v>
      </c>
      <c r="E84" t="s">
        <v>441</v>
      </c>
      <c r="F84" t="s">
        <v>442</v>
      </c>
      <c r="G84" t="s">
        <v>443</v>
      </c>
      <c r="H84" t="s">
        <v>25</v>
      </c>
      <c r="I84" t="s">
        <v>25</v>
      </c>
      <c r="J84" t="s">
        <v>92</v>
      </c>
      <c r="K84" t="s">
        <v>86</v>
      </c>
      <c r="L84" s="5">
        <v>1.384135533058104E-2</v>
      </c>
      <c r="M84" s="5">
        <v>0</v>
      </c>
      <c r="N84" s="5">
        <v>0.2240786673959359</v>
      </c>
      <c r="O84" s="5">
        <v>1.453983799288368E-2</v>
      </c>
      <c r="P84" s="5">
        <v>0.74754013928059937</v>
      </c>
      <c r="Q84" s="4">
        <f>ROUND((L84*100*1)+(N84*100*2)+(O84*100*3),2)</f>
        <v>50.56</v>
      </c>
      <c r="R84" s="5">
        <v>8.3878952170077875E-2</v>
      </c>
      <c r="S84" s="5">
        <v>0</v>
      </c>
      <c r="T84" s="5">
        <v>0.14289037594395521</v>
      </c>
      <c r="U84" s="5">
        <v>6.6925182186612772E-3</v>
      </c>
      <c r="V84" s="5">
        <v>0.76653815366730571</v>
      </c>
      <c r="W84" s="4">
        <f>ROUND((R84*100*1)+(T84*100*2)+(U84*100*3),2)</f>
        <v>38.97</v>
      </c>
      <c r="X84" s="5">
        <v>7.7465777822680798E-2</v>
      </c>
      <c r="Y84" s="5">
        <v>0</v>
      </c>
      <c r="Z84" s="5">
        <v>0.12264865304859381</v>
      </c>
      <c r="AA84" s="5">
        <v>1.316003350722739E-2</v>
      </c>
      <c r="AB84" s="5">
        <v>0.78672553562149794</v>
      </c>
      <c r="AC84" s="4">
        <f>ROUND((X84*100*1)+(Z84*100*2)+(AA84*100*3),2)</f>
        <v>36.22</v>
      </c>
      <c r="AD84">
        <f>ROUND(AVERAGE(Q84,W84,AC84),2)</f>
        <v>41.92</v>
      </c>
    </row>
    <row r="85" spans="1:30" x14ac:dyDescent="0.2">
      <c r="A85">
        <v>83</v>
      </c>
      <c r="B85">
        <v>1</v>
      </c>
      <c r="C85" t="s">
        <v>444</v>
      </c>
      <c r="D85" t="s">
        <v>445</v>
      </c>
      <c r="E85" t="s">
        <v>446</v>
      </c>
      <c r="F85" t="s">
        <v>447</v>
      </c>
      <c r="G85" t="s">
        <v>448</v>
      </c>
      <c r="H85" t="s">
        <v>25</v>
      </c>
      <c r="I85" t="s">
        <v>25</v>
      </c>
      <c r="J85" t="s">
        <v>26</v>
      </c>
      <c r="K85" t="s">
        <v>62</v>
      </c>
      <c r="L85" s="5">
        <v>0</v>
      </c>
      <c r="M85" s="5">
        <v>0</v>
      </c>
      <c r="N85" s="5">
        <v>0</v>
      </c>
      <c r="O85" s="5">
        <v>0</v>
      </c>
      <c r="P85" s="5">
        <v>1</v>
      </c>
      <c r="Q85" s="4">
        <f>ROUND((L85*100*1)+(N85*100*2)+(O85*100*3),2)</f>
        <v>0</v>
      </c>
      <c r="R85" s="5">
        <v>0</v>
      </c>
      <c r="S85" s="5">
        <v>0</v>
      </c>
      <c r="T85" s="5">
        <v>1.697435407687117E-2</v>
      </c>
      <c r="U85" s="5">
        <v>5.1217612680552978E-2</v>
      </c>
      <c r="V85" s="5">
        <v>0.93180803324257588</v>
      </c>
      <c r="W85" s="4">
        <f>ROUND((R85*100*1)+(T85*100*2)+(U85*100*3),2)</f>
        <v>18.760000000000002</v>
      </c>
      <c r="X85" s="5">
        <v>5.7766211728451635E-4</v>
      </c>
      <c r="Y85" s="5">
        <v>0</v>
      </c>
      <c r="Z85" s="5">
        <v>4.4873566435989921E-2</v>
      </c>
      <c r="AA85" s="5">
        <v>0.1490812719143281</v>
      </c>
      <c r="AB85" s="5">
        <v>0.80546749953239738</v>
      </c>
      <c r="AC85" s="4">
        <f>ROUND((X85*100*1)+(Z85*100*2)+(AA85*100*3),2)</f>
        <v>53.76</v>
      </c>
      <c r="AD85">
        <f>ROUND(AVERAGE(Q85,W85,AC85),2)</f>
        <v>24.17</v>
      </c>
    </row>
    <row r="86" spans="1:30" x14ac:dyDescent="0.2">
      <c r="A86">
        <v>84</v>
      </c>
      <c r="B86">
        <v>1</v>
      </c>
      <c r="C86" t="s">
        <v>449</v>
      </c>
      <c r="D86" t="s">
        <v>450</v>
      </c>
      <c r="E86" t="s">
        <v>451</v>
      </c>
      <c r="F86" t="s">
        <v>452</v>
      </c>
      <c r="G86" t="s">
        <v>453</v>
      </c>
      <c r="H86" t="s">
        <v>25</v>
      </c>
      <c r="I86" t="s">
        <v>25</v>
      </c>
      <c r="J86" t="s">
        <v>92</v>
      </c>
      <c r="K86" t="s">
        <v>86</v>
      </c>
      <c r="L86" s="5">
        <v>0</v>
      </c>
      <c r="M86" s="5">
        <v>0</v>
      </c>
      <c r="N86" s="5">
        <v>8.5702474544917431E-2</v>
      </c>
      <c r="O86" s="5">
        <v>0</v>
      </c>
      <c r="P86" s="5">
        <v>0.91429752545508258</v>
      </c>
      <c r="Q86" s="4">
        <f>ROUND((L86*100*1)+(N86*100*2)+(O86*100*3),2)</f>
        <v>17.14</v>
      </c>
      <c r="R86" s="5">
        <v>0</v>
      </c>
      <c r="S86" s="5">
        <v>0</v>
      </c>
      <c r="T86" s="5">
        <v>0.14646202189991711</v>
      </c>
      <c r="U86" s="5">
        <v>5.382790371010153E-2</v>
      </c>
      <c r="V86" s="5">
        <v>0.79971007438998143</v>
      </c>
      <c r="W86" s="4">
        <f>ROUND((R86*100*1)+(T86*100*2)+(U86*100*3),2)</f>
        <v>45.44</v>
      </c>
      <c r="X86" s="5">
        <v>0</v>
      </c>
      <c r="Y86" s="5">
        <v>0</v>
      </c>
      <c r="Z86" s="5">
        <v>0.19554704982392851</v>
      </c>
      <c r="AA86" s="5">
        <v>9.8036998356006738E-2</v>
      </c>
      <c r="AB86" s="5">
        <v>0.70641595182006478</v>
      </c>
      <c r="AC86" s="4">
        <f>ROUND((X86*100*1)+(Z86*100*2)+(AA86*100*3),2)</f>
        <v>68.52</v>
      </c>
      <c r="AD86">
        <f>ROUND(AVERAGE(Q86,W86,AC86),2)</f>
        <v>43.7</v>
      </c>
    </row>
    <row r="87" spans="1:30" x14ac:dyDescent="0.2">
      <c r="A87">
        <v>85</v>
      </c>
      <c r="B87">
        <v>1</v>
      </c>
      <c r="C87" t="s">
        <v>454</v>
      </c>
      <c r="D87" t="s">
        <v>455</v>
      </c>
      <c r="E87" t="s">
        <v>456</v>
      </c>
      <c r="F87" t="s">
        <v>457</v>
      </c>
      <c r="G87" t="s">
        <v>458</v>
      </c>
      <c r="H87" t="s">
        <v>25</v>
      </c>
      <c r="I87" t="s">
        <v>25</v>
      </c>
      <c r="J87" t="s">
        <v>26</v>
      </c>
      <c r="K87" t="s">
        <v>161</v>
      </c>
      <c r="L87" s="5">
        <v>0</v>
      </c>
      <c r="M87" s="5">
        <v>0</v>
      </c>
      <c r="N87" s="5">
        <v>0.1026236218983315</v>
      </c>
      <c r="O87" s="5">
        <v>0</v>
      </c>
      <c r="P87" s="5">
        <v>0.89737637810166837</v>
      </c>
      <c r="Q87" s="4">
        <f>ROUND((L87*100*1)+(N87*100*2)+(O87*100*3),2)</f>
        <v>20.52</v>
      </c>
      <c r="R87" s="5">
        <v>0.17487583880243079</v>
      </c>
      <c r="S87" s="5">
        <v>0</v>
      </c>
      <c r="T87" s="5">
        <v>0.10818414981138311</v>
      </c>
      <c r="U87" s="5">
        <v>6.8187453385134113E-4</v>
      </c>
      <c r="V87" s="5">
        <v>0.71625813685233486</v>
      </c>
      <c r="W87" s="4">
        <f>ROUND((R87*100*1)+(T87*100*2)+(U87*100*3),2)</f>
        <v>39.33</v>
      </c>
      <c r="X87" s="5">
        <v>0.18717871488798149</v>
      </c>
      <c r="Y87" s="5">
        <v>0</v>
      </c>
      <c r="Z87" s="5">
        <v>0.14043970583114981</v>
      </c>
      <c r="AA87" s="5">
        <v>1.2604974394279749E-2</v>
      </c>
      <c r="AB87" s="5">
        <v>0.65977660488658896</v>
      </c>
      <c r="AC87" s="4">
        <f>ROUND((X87*100*1)+(Z87*100*2)+(AA87*100*3),2)</f>
        <v>50.59</v>
      </c>
      <c r="AD87">
        <f>ROUND(AVERAGE(Q87,W87,AC87),2)</f>
        <v>36.81</v>
      </c>
    </row>
    <row r="88" spans="1:30" x14ac:dyDescent="0.2">
      <c r="A88">
        <v>86</v>
      </c>
      <c r="B88">
        <v>1</v>
      </c>
      <c r="C88" t="s">
        <v>459</v>
      </c>
      <c r="D88" t="s">
        <v>460</v>
      </c>
      <c r="E88" t="s">
        <v>456</v>
      </c>
      <c r="F88" t="s">
        <v>461</v>
      </c>
      <c r="G88" t="s">
        <v>462</v>
      </c>
      <c r="H88" t="s">
        <v>25</v>
      </c>
      <c r="I88" t="s">
        <v>25</v>
      </c>
      <c r="J88" t="s">
        <v>26</v>
      </c>
      <c r="K88" t="s">
        <v>230</v>
      </c>
      <c r="L88" s="5">
        <v>0.45903335418267271</v>
      </c>
      <c r="M88" s="5">
        <v>0</v>
      </c>
      <c r="N88" s="5">
        <v>0.18385209601585351</v>
      </c>
      <c r="O88" s="5">
        <v>0.33627787484749089</v>
      </c>
      <c r="P88" s="5">
        <v>2.0836674953982889E-2</v>
      </c>
      <c r="Q88" s="4">
        <f>ROUND((L88*100*1)+(N88*100*2)+(O88*100*3),2)</f>
        <v>183.56</v>
      </c>
      <c r="R88" s="5">
        <v>0.44378660855871038</v>
      </c>
      <c r="S88" s="5">
        <v>0</v>
      </c>
      <c r="T88" s="5">
        <v>0.17471165388272081</v>
      </c>
      <c r="U88" s="5">
        <v>0.30346016418185762</v>
      </c>
      <c r="V88" s="5">
        <v>7.8041573376711248E-2</v>
      </c>
      <c r="W88" s="4">
        <f>ROUND((R88*100*1)+(T88*100*2)+(U88*100*3),2)</f>
        <v>170.36</v>
      </c>
      <c r="X88" s="5">
        <v>0.52974221273242483</v>
      </c>
      <c r="Y88" s="5">
        <v>0</v>
      </c>
      <c r="Z88" s="5">
        <v>0.15005484616997089</v>
      </c>
      <c r="AA88" s="5">
        <v>0.24276405421091549</v>
      </c>
      <c r="AB88" s="5">
        <v>7.7438886886688874E-2</v>
      </c>
      <c r="AC88" s="4">
        <f>ROUND((X88*100*1)+(Z88*100*2)+(AA88*100*3),2)</f>
        <v>155.81</v>
      </c>
      <c r="AD88">
        <f>ROUND(AVERAGE(Q88,W88,AC88),2)</f>
        <v>169.91</v>
      </c>
    </row>
    <row r="89" spans="1:30" x14ac:dyDescent="0.2">
      <c r="A89">
        <v>87</v>
      </c>
      <c r="B89">
        <v>1</v>
      </c>
      <c r="C89" t="s">
        <v>463</v>
      </c>
      <c r="D89" t="s">
        <v>464</v>
      </c>
      <c r="E89" t="s">
        <v>456</v>
      </c>
      <c r="F89" t="s">
        <v>465</v>
      </c>
      <c r="G89" t="s">
        <v>466</v>
      </c>
      <c r="H89" t="s">
        <v>25</v>
      </c>
      <c r="I89" t="s">
        <v>25</v>
      </c>
      <c r="J89" t="s">
        <v>34</v>
      </c>
      <c r="K89" t="s">
        <v>27</v>
      </c>
      <c r="L89" s="5">
        <v>0.71546400077680672</v>
      </c>
      <c r="M89" s="5">
        <v>0</v>
      </c>
      <c r="N89" s="5">
        <v>0.27592387402981888</v>
      </c>
      <c r="O89" s="5">
        <v>8.6121251935358453E-3</v>
      </c>
      <c r="P89" s="5">
        <v>0</v>
      </c>
      <c r="Q89" s="4">
        <f>ROUND((L89*100*1)+(N89*100*2)+(O89*100*3),2)</f>
        <v>129.31</v>
      </c>
      <c r="R89" s="5">
        <v>0.89032459633238992</v>
      </c>
      <c r="S89" s="5">
        <v>0</v>
      </c>
      <c r="T89" s="5">
        <v>0.1045988365230185</v>
      </c>
      <c r="U89" s="5">
        <v>5.0765671446299501E-3</v>
      </c>
      <c r="V89" s="5">
        <v>0</v>
      </c>
      <c r="W89" s="4">
        <f>ROUND((R89*100*1)+(T89*100*2)+(U89*100*3),2)</f>
        <v>111.48</v>
      </c>
      <c r="X89" s="5">
        <v>0.90920446918030084</v>
      </c>
      <c r="Y89" s="5">
        <v>0</v>
      </c>
      <c r="Z89" s="5">
        <v>8.9027395635779424E-2</v>
      </c>
      <c r="AA89" s="5">
        <v>1.7681351839399951E-3</v>
      </c>
      <c r="AB89" s="5">
        <v>0</v>
      </c>
      <c r="AC89" s="4">
        <f>ROUND((X89*100*1)+(Z89*100*2)+(AA89*100*3),2)</f>
        <v>109.26</v>
      </c>
      <c r="AD89">
        <f>ROUND(AVERAGE(Q89,W89,AC89),2)</f>
        <v>116.68</v>
      </c>
    </row>
    <row r="90" spans="1:30" x14ac:dyDescent="0.2">
      <c r="A90">
        <v>88</v>
      </c>
      <c r="B90">
        <v>1</v>
      </c>
      <c r="C90" t="s">
        <v>467</v>
      </c>
      <c r="D90" t="s">
        <v>468</v>
      </c>
      <c r="E90" t="s">
        <v>469</v>
      </c>
      <c r="F90" t="s">
        <v>470</v>
      </c>
      <c r="G90" t="s">
        <v>471</v>
      </c>
      <c r="H90" t="s">
        <v>25</v>
      </c>
      <c r="I90" t="s">
        <v>25</v>
      </c>
      <c r="J90" t="s">
        <v>92</v>
      </c>
      <c r="K90" t="s">
        <v>86</v>
      </c>
      <c r="L90" s="5">
        <v>0</v>
      </c>
      <c r="M90" s="5">
        <v>0</v>
      </c>
      <c r="N90" s="5">
        <v>4.2279376406172443E-2</v>
      </c>
      <c r="O90" s="5">
        <v>0</v>
      </c>
      <c r="P90" s="5">
        <v>0.9577206235938277</v>
      </c>
      <c r="Q90" s="4">
        <f>ROUND((L90*100*1)+(N90*100*2)+(O90*100*3),2)</f>
        <v>8.4600000000000009</v>
      </c>
      <c r="R90" s="5">
        <v>2.4909806588483609E-2</v>
      </c>
      <c r="S90" s="5">
        <v>0</v>
      </c>
      <c r="T90" s="5">
        <v>5.8557664424313101E-2</v>
      </c>
      <c r="U90" s="5">
        <v>1.6682749766540399E-3</v>
      </c>
      <c r="V90" s="5">
        <v>0.91486425401054927</v>
      </c>
      <c r="W90" s="4">
        <f>ROUND((R90*100*1)+(T90*100*2)+(U90*100*3),2)</f>
        <v>14.7</v>
      </c>
      <c r="X90" s="5">
        <v>0.13739465391206629</v>
      </c>
      <c r="Y90" s="5">
        <v>0</v>
      </c>
      <c r="Z90" s="5">
        <v>4.0280052266846701E-2</v>
      </c>
      <c r="AA90" s="5">
        <v>4.0950823165838198E-3</v>
      </c>
      <c r="AB90" s="5">
        <v>0.81823021150450326</v>
      </c>
      <c r="AC90" s="4">
        <f>ROUND((X90*100*1)+(Z90*100*2)+(AA90*100*3),2)</f>
        <v>23.02</v>
      </c>
      <c r="AD90">
        <f>ROUND(AVERAGE(Q90,W90,AC90),2)</f>
        <v>15.39</v>
      </c>
    </row>
    <row r="91" spans="1:30" x14ac:dyDescent="0.2">
      <c r="A91">
        <v>89</v>
      </c>
      <c r="B91">
        <v>1</v>
      </c>
      <c r="C91" t="s">
        <v>472</v>
      </c>
      <c r="D91" t="s">
        <v>473</v>
      </c>
      <c r="E91" t="s">
        <v>474</v>
      </c>
      <c r="F91" t="s">
        <v>475</v>
      </c>
      <c r="G91" t="s">
        <v>476</v>
      </c>
      <c r="H91" t="s">
        <v>25</v>
      </c>
      <c r="I91" t="s">
        <v>25</v>
      </c>
      <c r="J91" t="s">
        <v>26</v>
      </c>
      <c r="K91" t="s">
        <v>161</v>
      </c>
      <c r="L91" s="5">
        <v>0</v>
      </c>
      <c r="M91" s="5">
        <v>0</v>
      </c>
      <c r="N91" s="5">
        <v>0</v>
      </c>
      <c r="O91" s="5">
        <v>0</v>
      </c>
      <c r="P91" s="5">
        <v>1</v>
      </c>
      <c r="Q91" s="4">
        <f>ROUND((L91*100*1)+(N91*100*2)+(O91*100*3),2)</f>
        <v>0</v>
      </c>
      <c r="R91" s="5">
        <v>0</v>
      </c>
      <c r="S91" s="5">
        <v>0</v>
      </c>
      <c r="T91" s="5">
        <v>7.6986101570741261E-2</v>
      </c>
      <c r="U91" s="5">
        <v>0</v>
      </c>
      <c r="V91" s="5">
        <v>0.92301389842925874</v>
      </c>
      <c r="W91" s="4">
        <f>ROUND((R91*100*1)+(T91*100*2)+(U91*100*3),2)</f>
        <v>15.4</v>
      </c>
      <c r="X91" s="5">
        <v>8.8317175573288956E-2</v>
      </c>
      <c r="Y91" s="5">
        <v>0</v>
      </c>
      <c r="Z91" s="5">
        <v>7.9863401882995719E-2</v>
      </c>
      <c r="AA91" s="5">
        <v>2.4182865900123309E-4</v>
      </c>
      <c r="AB91" s="5">
        <v>0.83157759388471408</v>
      </c>
      <c r="AC91" s="4">
        <f>ROUND((X91*100*1)+(Z91*100*2)+(AA91*100*3),2)</f>
        <v>24.88</v>
      </c>
      <c r="AD91">
        <f>ROUND(AVERAGE(Q91,W91,AC91),2)</f>
        <v>13.43</v>
      </c>
    </row>
    <row r="92" spans="1:30" x14ac:dyDescent="0.2">
      <c r="A92">
        <v>90</v>
      </c>
      <c r="B92">
        <v>1</v>
      </c>
      <c r="C92" t="s">
        <v>477</v>
      </c>
      <c r="D92" t="s">
        <v>478</v>
      </c>
      <c r="E92" t="s">
        <v>474</v>
      </c>
      <c r="F92" t="s">
        <v>479</v>
      </c>
      <c r="G92" t="s">
        <v>480</v>
      </c>
      <c r="H92" t="s">
        <v>25</v>
      </c>
      <c r="I92" t="s">
        <v>25</v>
      </c>
      <c r="J92" t="s">
        <v>26</v>
      </c>
      <c r="K92" t="s">
        <v>161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4">
        <f>ROUND((L92*100*1)+(N92*100*2)+(O92*100*3),2)</f>
        <v>0</v>
      </c>
      <c r="R92" s="5">
        <v>5.2253001222393923E-2</v>
      </c>
      <c r="S92" s="5">
        <v>0</v>
      </c>
      <c r="T92" s="5">
        <v>6.0371919161471922E-2</v>
      </c>
      <c r="U92" s="5">
        <v>5.957801572857282E-3</v>
      </c>
      <c r="V92" s="5">
        <v>0.88141727804327685</v>
      </c>
      <c r="W92" s="4">
        <f>ROUND((R92*100*1)+(T92*100*2)+(U92*100*3),2)</f>
        <v>19.09</v>
      </c>
      <c r="X92" s="5">
        <v>6.6544173253331521E-2</v>
      </c>
      <c r="Y92" s="5">
        <v>0</v>
      </c>
      <c r="Z92" s="5">
        <v>7.315701204834589E-2</v>
      </c>
      <c r="AA92" s="5">
        <v>2.0777846225983718E-3</v>
      </c>
      <c r="AB92" s="5">
        <v>0.85822103007572426</v>
      </c>
      <c r="AC92" s="4">
        <f>ROUND((X92*100*1)+(Z92*100*2)+(AA92*100*3),2)</f>
        <v>21.91</v>
      </c>
      <c r="AD92">
        <f>ROUND(AVERAGE(Q92,W92,AC92),2)</f>
        <v>13.67</v>
      </c>
    </row>
    <row r="93" spans="1:30" x14ac:dyDescent="0.2">
      <c r="A93">
        <v>91</v>
      </c>
      <c r="B93">
        <v>2</v>
      </c>
      <c r="C93" t="s">
        <v>481</v>
      </c>
      <c r="D93" t="s">
        <v>482</v>
      </c>
      <c r="E93" t="s">
        <v>474</v>
      </c>
      <c r="F93" t="s">
        <v>401</v>
      </c>
      <c r="G93" t="s">
        <v>483</v>
      </c>
      <c r="H93" t="s">
        <v>25</v>
      </c>
      <c r="I93" t="s">
        <v>25</v>
      </c>
      <c r="J93" t="s">
        <v>34</v>
      </c>
      <c r="K93" t="s">
        <v>161</v>
      </c>
      <c r="L93" s="5">
        <v>0</v>
      </c>
      <c r="M93" s="5">
        <v>0</v>
      </c>
      <c r="N93" s="5">
        <v>0</v>
      </c>
      <c r="O93" s="5">
        <v>0</v>
      </c>
      <c r="P93" s="5">
        <v>1</v>
      </c>
      <c r="Q93" s="4">
        <f>ROUND((L93*100*1)+(N93*100*2)+(O93*100*3),2)</f>
        <v>0</v>
      </c>
      <c r="R93" s="5">
        <v>0</v>
      </c>
      <c r="S93" s="5">
        <v>0</v>
      </c>
      <c r="T93" s="5">
        <v>8.5939299176319581E-2</v>
      </c>
      <c r="U93" s="5">
        <v>7.2010285449317438E-2</v>
      </c>
      <c r="V93" s="5">
        <v>0.84205041537436287</v>
      </c>
      <c r="W93" s="4">
        <f>ROUND((R93*100*1)+(T93*100*2)+(U93*100*3),2)</f>
        <v>38.79</v>
      </c>
      <c r="X93" s="5">
        <v>5.2210607382204573E-2</v>
      </c>
      <c r="Y93" s="5">
        <v>0</v>
      </c>
      <c r="Z93" s="5">
        <v>0.10352007865737869</v>
      </c>
      <c r="AA93" s="5">
        <v>5.0580531530779911E-2</v>
      </c>
      <c r="AB93" s="5">
        <v>0.79368878242963681</v>
      </c>
      <c r="AC93" s="4">
        <f>ROUND((X93*100*1)+(Z93*100*2)+(AA93*100*3),2)</f>
        <v>41.1</v>
      </c>
      <c r="AD93">
        <f>ROUND(AVERAGE(Q93,W93,AC93),2)</f>
        <v>26.63</v>
      </c>
    </row>
    <row r="94" spans="1:30" x14ac:dyDescent="0.2">
      <c r="A94">
        <v>92</v>
      </c>
      <c r="B94">
        <v>2</v>
      </c>
      <c r="C94" t="s">
        <v>484</v>
      </c>
      <c r="D94" t="s">
        <v>485</v>
      </c>
      <c r="E94" t="s">
        <v>486</v>
      </c>
      <c r="F94" t="s">
        <v>487</v>
      </c>
      <c r="G94" t="s">
        <v>488</v>
      </c>
      <c r="H94" t="s">
        <v>25</v>
      </c>
      <c r="I94" t="s">
        <v>25</v>
      </c>
      <c r="J94" t="s">
        <v>26</v>
      </c>
      <c r="K94" t="s">
        <v>62</v>
      </c>
      <c r="L94" s="5">
        <v>0</v>
      </c>
      <c r="M94" s="5">
        <v>0</v>
      </c>
      <c r="N94" s="5">
        <v>0</v>
      </c>
      <c r="O94" s="5">
        <v>1</v>
      </c>
      <c r="P94" s="5">
        <v>0</v>
      </c>
      <c r="Q94" s="4">
        <f>ROUND((L94*100*1)+(N94*100*2)+(O94*100*3),2)</f>
        <v>300</v>
      </c>
      <c r="R94" s="5">
        <v>0</v>
      </c>
      <c r="S94" s="5">
        <v>0</v>
      </c>
      <c r="T94" s="5">
        <v>3.0432590488049159E-2</v>
      </c>
      <c r="U94" s="5">
        <v>0.74684085917993692</v>
      </c>
      <c r="V94" s="5">
        <v>0.22272655033201391</v>
      </c>
      <c r="W94" s="4">
        <f>ROUND((R94*100*1)+(T94*100*2)+(U94*100*3),2)</f>
        <v>230.14</v>
      </c>
      <c r="X94" s="5">
        <v>0</v>
      </c>
      <c r="Y94" s="5">
        <v>0</v>
      </c>
      <c r="Z94" s="5">
        <v>6.8306151800058459E-2</v>
      </c>
      <c r="AA94" s="5">
        <v>0.47998271505945361</v>
      </c>
      <c r="AB94" s="5">
        <v>0.45171113314048789</v>
      </c>
      <c r="AC94" s="4">
        <f>ROUND((X94*100*1)+(Z94*100*2)+(AA94*100*3),2)</f>
        <v>157.66</v>
      </c>
      <c r="AD94">
        <f>ROUND(AVERAGE(Q94,W94,AC94),2)</f>
        <v>229.27</v>
      </c>
    </row>
    <row r="95" spans="1:30" x14ac:dyDescent="0.2">
      <c r="A95">
        <v>93</v>
      </c>
      <c r="B95">
        <v>1</v>
      </c>
      <c r="C95" t="s">
        <v>489</v>
      </c>
      <c r="D95" t="s">
        <v>490</v>
      </c>
      <c r="E95" t="s">
        <v>486</v>
      </c>
      <c r="F95" t="s">
        <v>491</v>
      </c>
      <c r="G95" t="s">
        <v>492</v>
      </c>
      <c r="H95" t="s">
        <v>25</v>
      </c>
      <c r="I95" t="s">
        <v>25</v>
      </c>
      <c r="J95" t="s">
        <v>26</v>
      </c>
      <c r="K95" t="s">
        <v>161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4">
        <f>ROUND((L95*100*1)+(N95*100*2)+(O95*100*3),2)</f>
        <v>0</v>
      </c>
      <c r="R95" s="5">
        <v>0</v>
      </c>
      <c r="S95" s="5">
        <v>0</v>
      </c>
      <c r="T95" s="5">
        <v>3.22373013102909E-2</v>
      </c>
      <c r="U95" s="5">
        <v>0.14865294431353021</v>
      </c>
      <c r="V95" s="5">
        <v>0.81910975437617894</v>
      </c>
      <c r="W95" s="4">
        <f>ROUND((R95*100*1)+(T95*100*2)+(U95*100*3),2)</f>
        <v>51.04</v>
      </c>
      <c r="X95" s="5">
        <v>0</v>
      </c>
      <c r="Y95" s="5">
        <v>0</v>
      </c>
      <c r="Z95" s="5">
        <v>7.4456889161934603E-2</v>
      </c>
      <c r="AA95" s="5">
        <v>0.1977355884799003</v>
      </c>
      <c r="AB95" s="5">
        <v>0.72780752235816515</v>
      </c>
      <c r="AC95" s="4">
        <f>ROUND((X95*100*1)+(Z95*100*2)+(AA95*100*3),2)</f>
        <v>74.209999999999994</v>
      </c>
      <c r="AD95">
        <f>ROUND(AVERAGE(Q95,W95,AC95),2)</f>
        <v>41.75</v>
      </c>
    </row>
    <row r="96" spans="1:30" x14ac:dyDescent="0.2">
      <c r="A96">
        <v>94</v>
      </c>
      <c r="B96">
        <v>1</v>
      </c>
      <c r="C96" t="s">
        <v>493</v>
      </c>
      <c r="D96" t="s">
        <v>494</v>
      </c>
      <c r="E96" t="s">
        <v>486</v>
      </c>
      <c r="F96" t="s">
        <v>495</v>
      </c>
      <c r="G96" t="s">
        <v>496</v>
      </c>
      <c r="H96" t="s">
        <v>80</v>
      </c>
      <c r="I96" t="s">
        <v>80</v>
      </c>
      <c r="J96" t="s">
        <v>34</v>
      </c>
      <c r="K96" t="s">
        <v>277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4">
        <f>ROUND((L96*100*1)+(N96*100*2)+(O96*100*3),2)</f>
        <v>0</v>
      </c>
      <c r="R96" s="5">
        <v>0</v>
      </c>
      <c r="S96" s="5">
        <v>0</v>
      </c>
      <c r="T96" s="5">
        <v>0</v>
      </c>
      <c r="U96" s="5">
        <v>1.192775058990082E-2</v>
      </c>
      <c r="V96" s="5">
        <v>0.9880722494100993</v>
      </c>
      <c r="W96" s="4">
        <f>ROUND((R96*100*1)+(T96*100*2)+(U96*100*3),2)</f>
        <v>3.58</v>
      </c>
      <c r="X96" s="5">
        <v>0</v>
      </c>
      <c r="Y96" s="5">
        <v>0</v>
      </c>
      <c r="Z96" s="5">
        <v>1.9837045999155031E-2</v>
      </c>
      <c r="AA96" s="5">
        <v>0.1248561425990078</v>
      </c>
      <c r="AB96" s="5">
        <v>0.85530681140183717</v>
      </c>
      <c r="AC96" s="4">
        <f>ROUND((X96*100*1)+(Z96*100*2)+(AA96*100*3),2)</f>
        <v>41.42</v>
      </c>
      <c r="AD96">
        <f>ROUND(AVERAGE(Q96,W96,AC96),2)</f>
        <v>15</v>
      </c>
    </row>
    <row r="97" spans="1:30" x14ac:dyDescent="0.2">
      <c r="A97">
        <v>95</v>
      </c>
      <c r="B97">
        <v>3</v>
      </c>
      <c r="C97" t="s">
        <v>497</v>
      </c>
      <c r="D97" t="s">
        <v>498</v>
      </c>
      <c r="E97" t="s">
        <v>499</v>
      </c>
      <c r="F97" t="s">
        <v>500</v>
      </c>
      <c r="G97" t="s">
        <v>501</v>
      </c>
      <c r="H97" t="s">
        <v>67</v>
      </c>
      <c r="I97" t="s">
        <v>67</v>
      </c>
      <c r="J97" t="s">
        <v>26</v>
      </c>
      <c r="K97" t="s">
        <v>27</v>
      </c>
      <c r="L97" s="5">
        <v>0.58651288422219516</v>
      </c>
      <c r="M97" s="5">
        <v>0</v>
      </c>
      <c r="N97" s="5">
        <v>0.16226765194455281</v>
      </c>
      <c r="O97" s="5">
        <v>0</v>
      </c>
      <c r="P97" s="5">
        <v>0.25121946383325189</v>
      </c>
      <c r="Q97" s="4">
        <f>ROUND((L97*100*1)+(N97*100*2)+(O97*100*3),2)</f>
        <v>91.1</v>
      </c>
      <c r="R97" s="5">
        <v>0.44216459206886738</v>
      </c>
      <c r="S97" s="5">
        <v>0</v>
      </c>
      <c r="T97" s="5">
        <v>0.1705711415616448</v>
      </c>
      <c r="U97" s="5">
        <v>5.8989415703790307E-4</v>
      </c>
      <c r="V97" s="5">
        <v>0.38667437221244988</v>
      </c>
      <c r="W97" s="4">
        <f>ROUND((R97*100*1)+(T97*100*2)+(U97*100*3),2)</f>
        <v>78.510000000000005</v>
      </c>
      <c r="X97" s="5">
        <v>0.44444277890873779</v>
      </c>
      <c r="Y97" s="5">
        <v>0</v>
      </c>
      <c r="Z97" s="5">
        <v>0.13747972038822981</v>
      </c>
      <c r="AA97" s="5">
        <v>2.875566949846935E-3</v>
      </c>
      <c r="AB97" s="5">
        <v>0.41520193375318548</v>
      </c>
      <c r="AC97" s="4">
        <f>ROUND((X97*100*1)+(Z97*100*2)+(AA97*100*3),2)</f>
        <v>72.8</v>
      </c>
      <c r="AD97">
        <f>ROUND(AVERAGE(Q97,W97,AC97),2)</f>
        <v>80.8</v>
      </c>
    </row>
    <row r="98" spans="1:30" x14ac:dyDescent="0.2">
      <c r="A98">
        <v>96</v>
      </c>
      <c r="B98">
        <v>1</v>
      </c>
      <c r="C98" t="s">
        <v>502</v>
      </c>
      <c r="D98" t="s">
        <v>503</v>
      </c>
      <c r="E98" t="s">
        <v>504</v>
      </c>
      <c r="F98" t="s">
        <v>505</v>
      </c>
      <c r="G98" t="s">
        <v>506</v>
      </c>
      <c r="H98" t="s">
        <v>25</v>
      </c>
      <c r="I98" t="s">
        <v>25</v>
      </c>
      <c r="J98" t="s">
        <v>92</v>
      </c>
      <c r="K98" t="s">
        <v>86</v>
      </c>
      <c r="L98" s="5">
        <v>0.80486771609774954</v>
      </c>
      <c r="M98" s="5">
        <v>0</v>
      </c>
      <c r="N98" s="5">
        <v>7.6865317434987035E-2</v>
      </c>
      <c r="O98" s="5">
        <v>7.1431348101363146E-3</v>
      </c>
      <c r="P98" s="5">
        <v>0.1111238316571271</v>
      </c>
      <c r="Q98" s="4">
        <f>ROUND((L98*100*1)+(N98*100*2)+(O98*100*3),2)</f>
        <v>98</v>
      </c>
      <c r="R98" s="5">
        <v>0.65773629428594893</v>
      </c>
      <c r="S98" s="5">
        <v>0</v>
      </c>
      <c r="T98" s="5">
        <v>0.10959199018307721</v>
      </c>
      <c r="U98" s="5">
        <v>1.14917129846096E-2</v>
      </c>
      <c r="V98" s="5">
        <v>0.2211800025463643</v>
      </c>
      <c r="W98" s="4">
        <f>ROUND((R98*100*1)+(T98*100*2)+(U98*100*3),2)</f>
        <v>91.14</v>
      </c>
      <c r="X98" s="5">
        <v>0.7440236044487003</v>
      </c>
      <c r="Y98" s="5">
        <v>0</v>
      </c>
      <c r="Z98" s="5">
        <v>9.0837995641759775E-2</v>
      </c>
      <c r="AA98" s="5">
        <v>5.1774447567600381E-3</v>
      </c>
      <c r="AB98" s="5">
        <v>0.15996095515277989</v>
      </c>
      <c r="AC98" s="4">
        <f>ROUND((X98*100*1)+(Z98*100*2)+(AA98*100*3),2)</f>
        <v>94.12</v>
      </c>
      <c r="AD98">
        <f>ROUND(AVERAGE(Q98,W98,AC98),2)</f>
        <v>94.42</v>
      </c>
    </row>
    <row r="99" spans="1:30" x14ac:dyDescent="0.2">
      <c r="A99">
        <v>97</v>
      </c>
      <c r="B99">
        <v>1</v>
      </c>
      <c r="C99" t="s">
        <v>507</v>
      </c>
      <c r="D99" t="s">
        <v>508</v>
      </c>
      <c r="E99" t="s">
        <v>504</v>
      </c>
      <c r="F99" t="s">
        <v>509</v>
      </c>
      <c r="G99" t="s">
        <v>510</v>
      </c>
      <c r="H99" t="s">
        <v>25</v>
      </c>
      <c r="I99" t="s">
        <v>25</v>
      </c>
      <c r="J99" t="s">
        <v>34</v>
      </c>
      <c r="K99" t="s">
        <v>86</v>
      </c>
      <c r="L99" s="5">
        <v>0</v>
      </c>
      <c r="M99" s="5">
        <v>0</v>
      </c>
      <c r="N99" s="5">
        <v>0</v>
      </c>
      <c r="O99" s="5">
        <v>0</v>
      </c>
      <c r="P99" s="5">
        <v>1</v>
      </c>
      <c r="Q99" s="4">
        <f>ROUND((L99*100*1)+(N99*100*2)+(O99*100*3),2)</f>
        <v>0</v>
      </c>
      <c r="R99" s="5">
        <v>0.16388171995379791</v>
      </c>
      <c r="S99" s="5">
        <v>0</v>
      </c>
      <c r="T99" s="5">
        <v>3.7772398631346717E-2</v>
      </c>
      <c r="U99" s="5">
        <v>0</v>
      </c>
      <c r="V99" s="5">
        <v>0.79834588141485541</v>
      </c>
      <c r="W99" s="4">
        <f>ROUND((R99*100*1)+(T99*100*2)+(U99*100*3),2)</f>
        <v>23.94</v>
      </c>
      <c r="X99" s="5">
        <v>0.2080262077718622</v>
      </c>
      <c r="Y99" s="5">
        <v>0</v>
      </c>
      <c r="Z99" s="5">
        <v>3.098506206778618E-2</v>
      </c>
      <c r="AA99" s="5">
        <v>0</v>
      </c>
      <c r="AB99" s="5">
        <v>0.76098873016035162</v>
      </c>
      <c r="AC99" s="4">
        <f>ROUND((X99*100*1)+(Z99*100*2)+(AA99*100*3),2)</f>
        <v>27</v>
      </c>
      <c r="AD99">
        <f>ROUND(AVERAGE(Q99,W99,AC99),2)</f>
        <v>16.98</v>
      </c>
    </row>
    <row r="100" spans="1:30" x14ac:dyDescent="0.2">
      <c r="A100">
        <v>98</v>
      </c>
      <c r="B100">
        <v>1</v>
      </c>
      <c r="C100" t="s">
        <v>511</v>
      </c>
      <c r="D100" t="s">
        <v>512</v>
      </c>
      <c r="E100" t="s">
        <v>513</v>
      </c>
      <c r="F100" t="s">
        <v>514</v>
      </c>
      <c r="G100" t="s">
        <v>515</v>
      </c>
      <c r="H100" t="s">
        <v>67</v>
      </c>
      <c r="I100" t="s">
        <v>67</v>
      </c>
      <c r="J100" t="s">
        <v>34</v>
      </c>
      <c r="K100" t="s">
        <v>210</v>
      </c>
      <c r="L100" s="5">
        <v>0</v>
      </c>
      <c r="M100" s="5">
        <v>0</v>
      </c>
      <c r="N100" s="5">
        <v>0.14181128501457921</v>
      </c>
      <c r="O100" s="5">
        <v>0</v>
      </c>
      <c r="P100" s="5">
        <v>0.85818871498542082</v>
      </c>
      <c r="Q100" s="4">
        <f>ROUND((L100*100*1)+(N100*100*2)+(O100*100*3),2)</f>
        <v>28.36</v>
      </c>
      <c r="R100" s="5">
        <v>0</v>
      </c>
      <c r="S100" s="5">
        <v>0</v>
      </c>
      <c r="T100" s="5">
        <v>0.10962940256746879</v>
      </c>
      <c r="U100" s="5">
        <v>7.435114593330623E-3</v>
      </c>
      <c r="V100" s="5">
        <v>0.88293548283920065</v>
      </c>
      <c r="W100" s="4">
        <f>ROUND((R100*100*1)+(T100*100*2)+(U100*100*3),2)</f>
        <v>24.16</v>
      </c>
      <c r="X100" s="5">
        <v>0</v>
      </c>
      <c r="Y100" s="5">
        <v>0</v>
      </c>
      <c r="Z100" s="5">
        <v>0.11073136945611239</v>
      </c>
      <c r="AA100" s="5">
        <v>3.9539856681010732E-2</v>
      </c>
      <c r="AB100" s="5">
        <v>0.84972877386287693</v>
      </c>
      <c r="AC100" s="4">
        <f>ROUND((X100*100*1)+(Z100*100*2)+(AA100*100*3),2)</f>
        <v>34.01</v>
      </c>
      <c r="AD100">
        <f>ROUND(AVERAGE(Q100,W100,AC100),2)</f>
        <v>28.84</v>
      </c>
    </row>
    <row r="101" spans="1:30" x14ac:dyDescent="0.2">
      <c r="A101">
        <v>99</v>
      </c>
      <c r="B101">
        <v>1</v>
      </c>
      <c r="C101" t="s">
        <v>516</v>
      </c>
      <c r="D101" t="s">
        <v>517</v>
      </c>
      <c r="E101" t="s">
        <v>518</v>
      </c>
      <c r="F101" t="s">
        <v>519</v>
      </c>
      <c r="G101" t="s">
        <v>520</v>
      </c>
      <c r="H101" t="s">
        <v>25</v>
      </c>
      <c r="I101" t="s">
        <v>25</v>
      </c>
      <c r="J101" t="s">
        <v>34</v>
      </c>
      <c r="K101" t="s">
        <v>86</v>
      </c>
      <c r="L101" s="5">
        <v>0</v>
      </c>
      <c r="M101" s="5">
        <v>0</v>
      </c>
      <c r="N101" s="5">
        <v>6.5991419173244428E-2</v>
      </c>
      <c r="O101" s="5">
        <v>0.2097152685045969</v>
      </c>
      <c r="P101" s="5">
        <v>0.72429331232215866</v>
      </c>
      <c r="Q101" s="4">
        <f>ROUND((L101*100*1)+(N101*100*2)+(O101*100*3),2)</f>
        <v>76.11</v>
      </c>
      <c r="R101" s="5">
        <v>1.151616609167706E-2</v>
      </c>
      <c r="S101" s="5">
        <v>0</v>
      </c>
      <c r="T101" s="5">
        <v>0.1110555073645241</v>
      </c>
      <c r="U101" s="5">
        <v>0.20550157654604689</v>
      </c>
      <c r="V101" s="5">
        <v>0.67192674999775193</v>
      </c>
      <c r="W101" s="4">
        <f>ROUND((R101*100*1)+(T101*100*2)+(U101*100*3),2)</f>
        <v>85.01</v>
      </c>
      <c r="X101" s="5">
        <v>7.30821064615432E-3</v>
      </c>
      <c r="Y101" s="5">
        <v>0</v>
      </c>
      <c r="Z101" s="5">
        <v>0.1143565725807512</v>
      </c>
      <c r="AA101" s="5">
        <v>0.1167354567581399</v>
      </c>
      <c r="AB101" s="5">
        <v>0.76159976001495455</v>
      </c>
      <c r="AC101" s="4">
        <f>ROUND((X101*100*1)+(Z101*100*2)+(AA101*100*3),2)</f>
        <v>58.62</v>
      </c>
      <c r="AD101">
        <f>ROUND(AVERAGE(Q101,W101,AC101),2)</f>
        <v>73.25</v>
      </c>
    </row>
    <row r="102" spans="1:30" x14ac:dyDescent="0.2">
      <c r="A102">
        <v>100</v>
      </c>
      <c r="B102">
        <v>1</v>
      </c>
      <c r="C102" t="s">
        <v>521</v>
      </c>
      <c r="D102" t="s">
        <v>522</v>
      </c>
      <c r="E102" t="s">
        <v>523</v>
      </c>
      <c r="F102" t="s">
        <v>524</v>
      </c>
      <c r="G102" t="s">
        <v>525</v>
      </c>
      <c r="H102" t="s">
        <v>25</v>
      </c>
      <c r="I102" t="s">
        <v>25</v>
      </c>
      <c r="J102" t="s">
        <v>92</v>
      </c>
      <c r="K102" t="s">
        <v>86</v>
      </c>
      <c r="L102" s="5">
        <v>0</v>
      </c>
      <c r="M102" s="5">
        <v>0</v>
      </c>
      <c r="N102" s="5">
        <v>0.28020316575254223</v>
      </c>
      <c r="O102" s="5">
        <v>2.86592048363886E-3</v>
      </c>
      <c r="P102" s="5">
        <v>0.7169309137638189</v>
      </c>
      <c r="Q102" s="4">
        <f>ROUND((L102*100*1)+(N102*100*2)+(O102*100*3),2)</f>
        <v>56.9</v>
      </c>
      <c r="R102" s="5">
        <v>0.2482576998707485</v>
      </c>
      <c r="S102" s="5">
        <v>0</v>
      </c>
      <c r="T102" s="5">
        <v>0.1834438507220793</v>
      </c>
      <c r="U102" s="5">
        <v>1.304551582509699E-3</v>
      </c>
      <c r="V102" s="5">
        <v>0.56699389782466247</v>
      </c>
      <c r="W102" s="4">
        <f>ROUND((R102*100*1)+(T102*100*2)+(U102*100*3),2)</f>
        <v>61.91</v>
      </c>
      <c r="X102" s="5">
        <v>0.34887939326205653</v>
      </c>
      <c r="Y102" s="5">
        <v>0</v>
      </c>
      <c r="Z102" s="5">
        <v>0.157832694058645</v>
      </c>
      <c r="AA102" s="5">
        <v>9.0948638174109687E-3</v>
      </c>
      <c r="AB102" s="5">
        <v>0.48419304886188752</v>
      </c>
      <c r="AC102" s="4">
        <f>ROUND((X102*100*1)+(Z102*100*2)+(AA102*100*3),2)</f>
        <v>69.180000000000007</v>
      </c>
      <c r="AD102">
        <f>ROUND(AVERAGE(Q102,W102,AC102),2)</f>
        <v>62.66</v>
      </c>
    </row>
    <row r="103" spans="1:30" x14ac:dyDescent="0.2">
      <c r="A103">
        <v>101</v>
      </c>
      <c r="B103">
        <v>1</v>
      </c>
      <c r="C103" t="s">
        <v>526</v>
      </c>
      <c r="D103" t="s">
        <v>527</v>
      </c>
      <c r="E103" t="s">
        <v>523</v>
      </c>
      <c r="F103" t="s">
        <v>528</v>
      </c>
      <c r="G103" t="s">
        <v>529</v>
      </c>
      <c r="H103" t="s">
        <v>25</v>
      </c>
      <c r="I103" t="s">
        <v>25</v>
      </c>
      <c r="J103" t="s">
        <v>34</v>
      </c>
      <c r="K103" t="s">
        <v>86</v>
      </c>
      <c r="L103" s="5">
        <v>0.94923882881497668</v>
      </c>
      <c r="M103" s="5">
        <v>0</v>
      </c>
      <c r="N103" s="5">
        <v>4.9911997724430592E-2</v>
      </c>
      <c r="O103" s="5">
        <v>0</v>
      </c>
      <c r="P103" s="5">
        <v>8.4917346059276699E-4</v>
      </c>
      <c r="Q103" s="4">
        <f>ROUND((L103*100*1)+(N103*100*2)+(O103*100*3),2)</f>
        <v>104.91</v>
      </c>
      <c r="R103" s="5">
        <v>0.45461371933491551</v>
      </c>
      <c r="S103" s="5">
        <v>0</v>
      </c>
      <c r="T103" s="5">
        <v>0.16539949692727071</v>
      </c>
      <c r="U103" s="5">
        <v>3.4855721478124651E-3</v>
      </c>
      <c r="V103" s="5">
        <v>0.37650121159000138</v>
      </c>
      <c r="W103" s="4">
        <f>ROUND((R103*100*1)+(T103*100*2)+(U103*100*3),2)</f>
        <v>79.59</v>
      </c>
      <c r="X103" s="5">
        <v>0.3746761862096219</v>
      </c>
      <c r="Y103" s="5">
        <v>0</v>
      </c>
      <c r="Z103" s="5">
        <v>0.1417485670290595</v>
      </c>
      <c r="AA103" s="5">
        <v>3.0665149529767728E-3</v>
      </c>
      <c r="AB103" s="5">
        <v>0.48050873180834192</v>
      </c>
      <c r="AC103" s="4">
        <f>ROUND((X103*100*1)+(Z103*100*2)+(AA103*100*3),2)</f>
        <v>66.739999999999995</v>
      </c>
      <c r="AD103">
        <f>ROUND(AVERAGE(Q103,W103,AC103),2)</f>
        <v>83.75</v>
      </c>
    </row>
    <row r="104" spans="1:30" x14ac:dyDescent="0.2">
      <c r="A104">
        <v>102</v>
      </c>
      <c r="B104">
        <v>1</v>
      </c>
      <c r="C104" t="s">
        <v>530</v>
      </c>
      <c r="D104" t="s">
        <v>531</v>
      </c>
      <c r="E104" t="s">
        <v>532</v>
      </c>
      <c r="F104" t="s">
        <v>533</v>
      </c>
      <c r="G104" t="s">
        <v>534</v>
      </c>
      <c r="H104" t="s">
        <v>25</v>
      </c>
      <c r="I104" t="s">
        <v>25</v>
      </c>
      <c r="J104" t="s">
        <v>34</v>
      </c>
      <c r="K104" t="s">
        <v>86</v>
      </c>
      <c r="L104" s="5">
        <v>0.28611683231948021</v>
      </c>
      <c r="M104" s="5">
        <v>0</v>
      </c>
      <c r="N104" s="5">
        <v>0</v>
      </c>
      <c r="O104" s="5">
        <v>0</v>
      </c>
      <c r="P104" s="5">
        <v>0.71388316768051974</v>
      </c>
      <c r="Q104" s="4">
        <f>ROUND((L104*100*1)+(N104*100*2)+(O104*100*3),2)</f>
        <v>28.61</v>
      </c>
      <c r="R104" s="5">
        <v>0.20621013608686911</v>
      </c>
      <c r="S104" s="5">
        <v>0</v>
      </c>
      <c r="T104" s="5">
        <v>0</v>
      </c>
      <c r="U104" s="5">
        <v>0</v>
      </c>
      <c r="V104" s="5">
        <v>0.79378986391313089</v>
      </c>
      <c r="W104" s="4">
        <f>ROUND((R104*100*1)+(T104*100*2)+(U104*100*3),2)</f>
        <v>20.62</v>
      </c>
      <c r="X104" s="5">
        <v>7.2863917887517823E-2</v>
      </c>
      <c r="Y104" s="5">
        <v>0</v>
      </c>
      <c r="Z104" s="5">
        <v>4.9269364852078936E-3</v>
      </c>
      <c r="AA104" s="5">
        <v>0</v>
      </c>
      <c r="AB104" s="5">
        <v>0.9222091456272743</v>
      </c>
      <c r="AC104" s="4">
        <f>ROUND((X104*100*1)+(Z104*100*2)+(AA104*100*3),2)</f>
        <v>8.27</v>
      </c>
      <c r="AD104">
        <f>ROUND(AVERAGE(Q104,W104,AC104),2)</f>
        <v>19.170000000000002</v>
      </c>
    </row>
    <row r="105" spans="1:30" x14ac:dyDescent="0.2">
      <c r="A105">
        <v>103</v>
      </c>
      <c r="B105">
        <v>1</v>
      </c>
      <c r="C105" t="s">
        <v>535</v>
      </c>
      <c r="D105" t="s">
        <v>536</v>
      </c>
      <c r="E105" t="s">
        <v>537</v>
      </c>
      <c r="F105" t="s">
        <v>538</v>
      </c>
      <c r="G105" t="s">
        <v>539</v>
      </c>
      <c r="H105" t="s">
        <v>25</v>
      </c>
      <c r="I105" t="s">
        <v>25</v>
      </c>
      <c r="J105" t="s">
        <v>92</v>
      </c>
      <c r="K105" t="s">
        <v>540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  <c r="Q105" s="4">
        <f>ROUND((L105*100*1)+(N105*100*2)+(O105*100*3),2)</f>
        <v>0</v>
      </c>
      <c r="R105" s="5">
        <v>0</v>
      </c>
      <c r="S105" s="5">
        <v>0</v>
      </c>
      <c r="T105" s="5">
        <v>9.3864112116464213E-2</v>
      </c>
      <c r="U105" s="5">
        <v>0</v>
      </c>
      <c r="V105" s="5">
        <v>0.90613588788353594</v>
      </c>
      <c r="W105" s="4">
        <f>ROUND((R105*100*1)+(T105*100*2)+(U105*100*3),2)</f>
        <v>18.77</v>
      </c>
      <c r="X105" s="5">
        <v>8.9902771625639567E-3</v>
      </c>
      <c r="Y105" s="5">
        <v>0</v>
      </c>
      <c r="Z105" s="5">
        <v>0.1093989918460196</v>
      </c>
      <c r="AA105" s="5">
        <v>2.0543262902887958E-2</v>
      </c>
      <c r="AB105" s="5">
        <v>0.86106746808852852</v>
      </c>
      <c r="AC105" s="4">
        <f>ROUND((X105*100*1)+(Z105*100*2)+(AA105*100*3),2)</f>
        <v>28.94</v>
      </c>
      <c r="AD105">
        <f>ROUND(AVERAGE(Q105,W105,AC105),2)</f>
        <v>15.9</v>
      </c>
    </row>
    <row r="106" spans="1:30" x14ac:dyDescent="0.2">
      <c r="A106">
        <v>104</v>
      </c>
      <c r="B106">
        <v>1</v>
      </c>
      <c r="C106" t="s">
        <v>541</v>
      </c>
      <c r="D106" t="s">
        <v>542</v>
      </c>
      <c r="E106" t="s">
        <v>537</v>
      </c>
      <c r="F106" t="s">
        <v>543</v>
      </c>
      <c r="G106" t="s">
        <v>544</v>
      </c>
      <c r="H106" t="s">
        <v>25</v>
      </c>
      <c r="I106" t="s">
        <v>25</v>
      </c>
      <c r="J106" t="s">
        <v>92</v>
      </c>
      <c r="K106" t="s">
        <v>540</v>
      </c>
      <c r="L106" s="5">
        <v>0</v>
      </c>
      <c r="M106" s="5">
        <v>0</v>
      </c>
      <c r="N106" s="5">
        <v>0.20371015434285181</v>
      </c>
      <c r="O106" s="5">
        <v>0</v>
      </c>
      <c r="P106" s="5">
        <v>0.79628984565714822</v>
      </c>
      <c r="Q106" s="4">
        <f>ROUND((L106*100*1)+(N106*100*2)+(O106*100*3),2)</f>
        <v>40.74</v>
      </c>
      <c r="R106" s="5">
        <v>3.9887526481169867E-2</v>
      </c>
      <c r="S106" s="5">
        <v>0</v>
      </c>
      <c r="T106" s="5">
        <v>8.0945613562823052E-2</v>
      </c>
      <c r="U106" s="5">
        <v>1.276135728670999E-3</v>
      </c>
      <c r="V106" s="5">
        <v>0.87789072422733616</v>
      </c>
      <c r="W106" s="4">
        <f>ROUND((R106*100*1)+(T106*100*2)+(U106*100*3),2)</f>
        <v>20.56</v>
      </c>
      <c r="X106" s="5">
        <v>6.2567692515055201E-2</v>
      </c>
      <c r="Y106" s="5">
        <v>0</v>
      </c>
      <c r="Z106" s="5">
        <v>7.4520908391328702E-2</v>
      </c>
      <c r="AA106" s="5">
        <v>8.2608047259841437E-4</v>
      </c>
      <c r="AB106" s="5">
        <v>0.86208531862101767</v>
      </c>
      <c r="AC106" s="4">
        <f>ROUND((X106*100*1)+(Z106*100*2)+(AA106*100*3),2)</f>
        <v>21.41</v>
      </c>
      <c r="AD106">
        <f>ROUND(AVERAGE(Q106,W106,AC106),2)</f>
        <v>27.57</v>
      </c>
    </row>
    <row r="107" spans="1:30" x14ac:dyDescent="0.2">
      <c r="A107">
        <v>105</v>
      </c>
      <c r="B107">
        <v>1</v>
      </c>
      <c r="C107" t="s">
        <v>545</v>
      </c>
      <c r="D107" t="s">
        <v>546</v>
      </c>
      <c r="E107" t="s">
        <v>547</v>
      </c>
      <c r="F107" t="s">
        <v>186</v>
      </c>
      <c r="G107" t="s">
        <v>160</v>
      </c>
      <c r="H107" t="s">
        <v>25</v>
      </c>
      <c r="I107" t="s">
        <v>25</v>
      </c>
      <c r="J107" t="s">
        <v>92</v>
      </c>
      <c r="K107" t="s">
        <v>86</v>
      </c>
      <c r="L107" s="5">
        <v>0.23662113082228639</v>
      </c>
      <c r="M107" s="5">
        <v>0</v>
      </c>
      <c r="N107" s="5">
        <v>0.23653832570823599</v>
      </c>
      <c r="O107" s="5">
        <v>0</v>
      </c>
      <c r="P107" s="5">
        <v>0.52684054346947762</v>
      </c>
      <c r="Q107" s="4">
        <f>ROUND((L107*100*1)+(N107*100*2)+(O107*100*3),2)</f>
        <v>70.97</v>
      </c>
      <c r="R107" s="5">
        <v>0.1154536754606762</v>
      </c>
      <c r="S107" s="5">
        <v>0</v>
      </c>
      <c r="T107" s="5">
        <v>0.2324979554605455</v>
      </c>
      <c r="U107" s="5">
        <v>0.13982753416414009</v>
      </c>
      <c r="V107" s="5">
        <v>0.51222083491463821</v>
      </c>
      <c r="W107" s="4">
        <f>ROUND((R107*100*1)+(T107*100*2)+(U107*100*3),2)</f>
        <v>99.99</v>
      </c>
      <c r="X107" s="5">
        <v>5.4121640555405019E-2</v>
      </c>
      <c r="Y107" s="5">
        <v>0</v>
      </c>
      <c r="Z107" s="5">
        <v>0.27262832119309383</v>
      </c>
      <c r="AA107" s="5">
        <v>0.29222163549941987</v>
      </c>
      <c r="AB107" s="5">
        <v>0.38102840275208122</v>
      </c>
      <c r="AC107" s="4">
        <f>ROUND((X107*100*1)+(Z107*100*2)+(AA107*100*3),2)</f>
        <v>147.6</v>
      </c>
      <c r="AD107">
        <f>ROUND(AVERAGE(Q107,W107,AC107),2)</f>
        <v>106.19</v>
      </c>
    </row>
    <row r="108" spans="1:30" x14ac:dyDescent="0.2">
      <c r="A108">
        <v>106</v>
      </c>
      <c r="B108">
        <v>1</v>
      </c>
      <c r="C108" t="s">
        <v>548</v>
      </c>
      <c r="D108" t="s">
        <v>549</v>
      </c>
      <c r="E108" t="s">
        <v>547</v>
      </c>
      <c r="F108" t="s">
        <v>550</v>
      </c>
      <c r="G108" t="s">
        <v>551</v>
      </c>
      <c r="H108" t="s">
        <v>25</v>
      </c>
      <c r="I108" t="s">
        <v>25</v>
      </c>
      <c r="J108" t="s">
        <v>26</v>
      </c>
      <c r="K108" t="s">
        <v>86</v>
      </c>
      <c r="L108" s="5">
        <v>0</v>
      </c>
      <c r="M108" s="5">
        <v>0</v>
      </c>
      <c r="N108" s="5">
        <v>0.29252019299746512</v>
      </c>
      <c r="O108" s="5">
        <v>0.70747980700266244</v>
      </c>
      <c r="P108" s="5">
        <v>0</v>
      </c>
      <c r="Q108" s="4">
        <f>ROUND((L108*100*1)+(N108*100*2)+(O108*100*3),2)</f>
        <v>270.75</v>
      </c>
      <c r="R108" s="5">
        <v>5.5648758548417408E-2</v>
      </c>
      <c r="S108" s="5">
        <v>0</v>
      </c>
      <c r="T108" s="5">
        <v>0.2901035277495379</v>
      </c>
      <c r="U108" s="5">
        <v>0.40692630513915912</v>
      </c>
      <c r="V108" s="5">
        <v>0.24732140856288559</v>
      </c>
      <c r="W108" s="4">
        <f>ROUND((R108*100*1)+(T108*100*2)+(U108*100*3),2)</f>
        <v>185.66</v>
      </c>
      <c r="X108" s="5">
        <v>0.1239901619744883</v>
      </c>
      <c r="Y108" s="5">
        <v>0</v>
      </c>
      <c r="Z108" s="5">
        <v>0.2777708490710743</v>
      </c>
      <c r="AA108" s="5">
        <v>0.31638145159116648</v>
      </c>
      <c r="AB108" s="5">
        <v>0.2818575373632709</v>
      </c>
      <c r="AC108" s="4">
        <f>ROUND((X108*100*1)+(Z108*100*2)+(AA108*100*3),2)</f>
        <v>162.87</v>
      </c>
      <c r="AD108">
        <f>ROUND(AVERAGE(Q108,W108,AC108),2)</f>
        <v>206.43</v>
      </c>
    </row>
    <row r="109" spans="1:30" x14ac:dyDescent="0.2">
      <c r="A109">
        <v>107</v>
      </c>
      <c r="B109">
        <v>1</v>
      </c>
      <c r="C109" t="s">
        <v>552</v>
      </c>
      <c r="D109" t="s">
        <v>553</v>
      </c>
      <c r="E109" t="s">
        <v>547</v>
      </c>
      <c r="F109" t="s">
        <v>554</v>
      </c>
      <c r="G109" t="s">
        <v>555</v>
      </c>
      <c r="H109" t="s">
        <v>25</v>
      </c>
      <c r="I109" t="s">
        <v>25</v>
      </c>
      <c r="J109" t="s">
        <v>92</v>
      </c>
      <c r="K109" t="s">
        <v>86</v>
      </c>
      <c r="L109" s="5">
        <v>5.0997433229544257E-3</v>
      </c>
      <c r="M109" s="5">
        <v>0</v>
      </c>
      <c r="N109" s="5">
        <v>0.35643311172879238</v>
      </c>
      <c r="O109" s="5">
        <v>0.56615413998075248</v>
      </c>
      <c r="P109" s="5">
        <v>7.2313004967500705E-2</v>
      </c>
      <c r="Q109" s="4">
        <f>ROUND((L109*100*1)+(N109*100*2)+(O109*100*3),2)</f>
        <v>241.64</v>
      </c>
      <c r="R109" s="5">
        <v>2.0125145075896252E-2</v>
      </c>
      <c r="S109" s="5">
        <v>0</v>
      </c>
      <c r="T109" s="5">
        <v>0.34889153420361818</v>
      </c>
      <c r="U109" s="5">
        <v>0.49243999323324977</v>
      </c>
      <c r="V109" s="5">
        <v>0.13854332748723569</v>
      </c>
      <c r="W109" s="4">
        <f>ROUND((R109*100*1)+(T109*100*2)+(U109*100*3),2)</f>
        <v>219.52</v>
      </c>
      <c r="X109" s="5">
        <v>5.5567272678232901E-2</v>
      </c>
      <c r="Y109" s="5">
        <v>0</v>
      </c>
      <c r="Z109" s="5">
        <v>0.31458373453057131</v>
      </c>
      <c r="AA109" s="5">
        <v>0.45658384964898457</v>
      </c>
      <c r="AB109" s="5">
        <v>0.1732651431422112</v>
      </c>
      <c r="AC109" s="4">
        <f>ROUND((X109*100*1)+(Z109*100*2)+(AA109*100*3),2)</f>
        <v>205.45</v>
      </c>
      <c r="AD109">
        <f>ROUND(AVERAGE(Q109,W109,AC109),2)</f>
        <v>222.2</v>
      </c>
    </row>
    <row r="110" spans="1:30" x14ac:dyDescent="0.2">
      <c r="A110">
        <v>108</v>
      </c>
      <c r="B110">
        <v>1</v>
      </c>
      <c r="C110" t="s">
        <v>556</v>
      </c>
      <c r="D110" t="s">
        <v>557</v>
      </c>
      <c r="E110" t="s">
        <v>558</v>
      </c>
      <c r="F110" t="s">
        <v>559</v>
      </c>
      <c r="G110" t="s">
        <v>560</v>
      </c>
      <c r="H110" t="s">
        <v>25</v>
      </c>
      <c r="I110" t="s">
        <v>25</v>
      </c>
      <c r="J110" t="s">
        <v>34</v>
      </c>
      <c r="K110" t="s">
        <v>561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4">
        <f>ROUND((L110*100*1)+(N110*100*2)+(O110*100*3),2)</f>
        <v>100</v>
      </c>
      <c r="R110" s="5">
        <v>0.94673302837487394</v>
      </c>
      <c r="S110" s="5">
        <v>0</v>
      </c>
      <c r="T110" s="5">
        <v>3.8923200022240798E-2</v>
      </c>
      <c r="U110" s="5">
        <v>1.154806045936086E-4</v>
      </c>
      <c r="V110" s="5">
        <v>1.4228290998291589E-2</v>
      </c>
      <c r="W110" s="4">
        <f>ROUND((R110*100*1)+(T110*100*2)+(U110*100*3),2)</f>
        <v>102.49</v>
      </c>
      <c r="X110" s="5">
        <v>0.88766811272260127</v>
      </c>
      <c r="Y110" s="5">
        <v>0</v>
      </c>
      <c r="Z110" s="5">
        <v>4.0015995711527502E-2</v>
      </c>
      <c r="AA110" s="5">
        <v>1.184203046223112E-4</v>
      </c>
      <c r="AB110" s="5">
        <v>7.219747126124898E-2</v>
      </c>
      <c r="AC110" s="4">
        <f>ROUND((X110*100*1)+(Z110*100*2)+(AA110*100*3),2)</f>
        <v>96.81</v>
      </c>
      <c r="AD110">
        <f>ROUND(AVERAGE(Q110,W110,AC110),2)</f>
        <v>99.77</v>
      </c>
    </row>
    <row r="111" spans="1:30" x14ac:dyDescent="0.2">
      <c r="A111">
        <v>109</v>
      </c>
      <c r="B111">
        <v>1</v>
      </c>
      <c r="C111" t="s">
        <v>562</v>
      </c>
      <c r="D111" t="s">
        <v>563</v>
      </c>
      <c r="E111" t="s">
        <v>564</v>
      </c>
      <c r="F111" t="s">
        <v>565</v>
      </c>
      <c r="G111" t="s">
        <v>566</v>
      </c>
      <c r="H111" t="s">
        <v>25</v>
      </c>
      <c r="I111" t="s">
        <v>25</v>
      </c>
      <c r="J111" t="s">
        <v>92</v>
      </c>
      <c r="K111" t="s">
        <v>567</v>
      </c>
      <c r="L111" s="5">
        <v>0</v>
      </c>
      <c r="M111" s="5">
        <v>0</v>
      </c>
      <c r="N111" s="5">
        <v>0.14127337892401531</v>
      </c>
      <c r="O111" s="5">
        <v>0</v>
      </c>
      <c r="P111" s="5">
        <v>0.85872662107598474</v>
      </c>
      <c r="Q111" s="4">
        <f>ROUND((L111*100*1)+(N111*100*2)+(O111*100*3),2)</f>
        <v>28.25</v>
      </c>
      <c r="R111" s="5">
        <v>3.8633063853094601E-3</v>
      </c>
      <c r="S111" s="5">
        <v>0</v>
      </c>
      <c r="T111" s="5">
        <v>7.8601258341054789E-2</v>
      </c>
      <c r="U111" s="5">
        <v>1.635165350322997E-3</v>
      </c>
      <c r="V111" s="5">
        <v>0.91590026992331264</v>
      </c>
      <c r="W111" s="4">
        <f>ROUND((R111*100*1)+(T111*100*2)+(U111*100*3),2)</f>
        <v>16.600000000000001</v>
      </c>
      <c r="X111" s="5">
        <v>1.480747932471862E-3</v>
      </c>
      <c r="Y111" s="5">
        <v>0</v>
      </c>
      <c r="Z111" s="5">
        <v>8.987188241207944E-2</v>
      </c>
      <c r="AA111" s="5">
        <v>9.0589237727332784E-3</v>
      </c>
      <c r="AB111" s="5">
        <v>0.89958844588271547</v>
      </c>
      <c r="AC111" s="4">
        <f>ROUND((X111*100*1)+(Z111*100*2)+(AA111*100*3),2)</f>
        <v>20.84</v>
      </c>
      <c r="AD111">
        <f>ROUND(AVERAGE(Q111,W111,AC111),2)</f>
        <v>21.9</v>
      </c>
    </row>
    <row r="112" spans="1:30" x14ac:dyDescent="0.2">
      <c r="A112">
        <v>110</v>
      </c>
      <c r="B112">
        <v>2</v>
      </c>
      <c r="C112" t="s">
        <v>568</v>
      </c>
      <c r="D112" t="s">
        <v>569</v>
      </c>
      <c r="E112" t="s">
        <v>570</v>
      </c>
      <c r="F112" t="s">
        <v>571</v>
      </c>
      <c r="G112" t="s">
        <v>572</v>
      </c>
      <c r="H112" t="s">
        <v>25</v>
      </c>
      <c r="I112" t="s">
        <v>25</v>
      </c>
      <c r="J112" t="s">
        <v>26</v>
      </c>
      <c r="K112" t="s">
        <v>112</v>
      </c>
      <c r="L112" s="5">
        <v>0.15975311804363451</v>
      </c>
      <c r="M112" s="5">
        <v>0</v>
      </c>
      <c r="N112" s="5">
        <v>0.21478930900176199</v>
      </c>
      <c r="O112" s="5">
        <v>0</v>
      </c>
      <c r="P112" s="5">
        <v>0.62545757295460358</v>
      </c>
      <c r="Q112" s="4">
        <f>ROUND((L112*100*1)+(N112*100*2)+(O112*100*3),2)</f>
        <v>58.93</v>
      </c>
      <c r="R112" s="5">
        <v>0.39815884163333981</v>
      </c>
      <c r="S112" s="5">
        <v>0</v>
      </c>
      <c r="T112" s="5">
        <v>0.13407874990820229</v>
      </c>
      <c r="U112" s="5">
        <v>0</v>
      </c>
      <c r="V112" s="5">
        <v>0.46776240845845801</v>
      </c>
      <c r="W112" s="4">
        <f>ROUND((R112*100*1)+(T112*100*2)+(U112*100*3),2)</f>
        <v>66.63</v>
      </c>
      <c r="X112" s="5">
        <v>0.22231707574486401</v>
      </c>
      <c r="Y112" s="5">
        <v>0</v>
      </c>
      <c r="Z112" s="5">
        <v>0.1151386534362959</v>
      </c>
      <c r="AA112" s="5">
        <v>1.382443370498786E-2</v>
      </c>
      <c r="AB112" s="5">
        <v>0.64871983711385217</v>
      </c>
      <c r="AC112" s="4">
        <f>ROUND((X112*100*1)+(Z112*100*2)+(AA112*100*3),2)</f>
        <v>49.41</v>
      </c>
      <c r="AD112">
        <f>ROUND(AVERAGE(Q112,W112,AC112),2)</f>
        <v>58.32</v>
      </c>
    </row>
    <row r="113" spans="1:30" x14ac:dyDescent="0.2">
      <c r="A113">
        <v>111</v>
      </c>
      <c r="B113">
        <v>1</v>
      </c>
      <c r="C113" t="s">
        <v>573</v>
      </c>
      <c r="D113" t="s">
        <v>574</v>
      </c>
      <c r="E113" t="s">
        <v>351</v>
      </c>
      <c r="F113" t="s">
        <v>575</v>
      </c>
      <c r="G113" t="s">
        <v>576</v>
      </c>
      <c r="H113" t="s">
        <v>25</v>
      </c>
      <c r="I113" t="s">
        <v>25</v>
      </c>
      <c r="J113" t="s">
        <v>34</v>
      </c>
      <c r="K113" t="s">
        <v>86</v>
      </c>
      <c r="L113" s="5">
        <v>1.598532368019014E-2</v>
      </c>
      <c r="M113" s="5">
        <v>0</v>
      </c>
      <c r="N113" s="5">
        <v>0.25946329067521412</v>
      </c>
      <c r="O113" s="5">
        <v>0</v>
      </c>
      <c r="P113" s="5">
        <v>0.72455138564459576</v>
      </c>
      <c r="Q113" s="4">
        <f>ROUND((L113*100*1)+(N113*100*2)+(O113*100*3),2)</f>
        <v>53.49</v>
      </c>
      <c r="R113" s="5">
        <v>1.144704182709776E-2</v>
      </c>
      <c r="S113" s="5">
        <v>0</v>
      </c>
      <c r="T113" s="5">
        <v>0.225272240314111</v>
      </c>
      <c r="U113" s="5">
        <v>0</v>
      </c>
      <c r="V113" s="5">
        <v>0.76328071785879126</v>
      </c>
      <c r="W113" s="4">
        <f>ROUND((R113*100*1)+(T113*100*2)+(U113*100*3),2)</f>
        <v>46.2</v>
      </c>
      <c r="X113" s="5">
        <v>2.2902343218280451E-2</v>
      </c>
      <c r="Y113" s="5">
        <v>0</v>
      </c>
      <c r="Z113" s="5">
        <v>0.22382737601241109</v>
      </c>
      <c r="AA113" s="5">
        <v>0</v>
      </c>
      <c r="AB113" s="5">
        <v>0.75327028076930846</v>
      </c>
      <c r="AC113" s="4">
        <f>ROUND((X113*100*1)+(Z113*100*2)+(AA113*100*3),2)</f>
        <v>47.06</v>
      </c>
      <c r="AD113">
        <f>ROUND(AVERAGE(Q113,W113,AC113),2)</f>
        <v>48.92</v>
      </c>
    </row>
    <row r="114" spans="1:30" x14ac:dyDescent="0.2">
      <c r="A114">
        <v>112</v>
      </c>
      <c r="B114">
        <v>1</v>
      </c>
      <c r="C114" t="s">
        <v>577</v>
      </c>
      <c r="D114" t="s">
        <v>578</v>
      </c>
      <c r="E114" t="s">
        <v>579</v>
      </c>
      <c r="F114" t="s">
        <v>171</v>
      </c>
      <c r="G114" t="s">
        <v>172</v>
      </c>
      <c r="H114" t="s">
        <v>80</v>
      </c>
      <c r="I114" t="s">
        <v>80</v>
      </c>
      <c r="J114" t="s">
        <v>34</v>
      </c>
      <c r="K114" t="s">
        <v>283</v>
      </c>
      <c r="L114" s="5">
        <v>0.69924917851144008</v>
      </c>
      <c r="M114" s="5">
        <v>0</v>
      </c>
      <c r="N114" s="5">
        <v>0.13170191502827511</v>
      </c>
      <c r="O114" s="5">
        <v>0.1690086013180557</v>
      </c>
      <c r="P114" s="5">
        <v>4.0305142229191133E-5</v>
      </c>
      <c r="Q114" s="4">
        <f>ROUND((L114*100*1)+(N114*100*2)+(O114*100*3),2)</f>
        <v>146.97</v>
      </c>
      <c r="R114" s="5">
        <v>0.51631084170630659</v>
      </c>
      <c r="S114" s="5">
        <v>0</v>
      </c>
      <c r="T114" s="5">
        <v>0.18583367222022709</v>
      </c>
      <c r="U114" s="5">
        <v>0.1323476161938113</v>
      </c>
      <c r="V114" s="5">
        <v>0.16550786987965491</v>
      </c>
      <c r="W114" s="4">
        <f>ROUND((R114*100*1)+(T114*100*2)+(U114*100*3),2)</f>
        <v>128.5</v>
      </c>
      <c r="X114" s="5">
        <v>0.4192330934172061</v>
      </c>
      <c r="Y114" s="5">
        <v>0</v>
      </c>
      <c r="Z114" s="5">
        <v>0.14726910331826659</v>
      </c>
      <c r="AA114" s="5">
        <v>0.1049614824382471</v>
      </c>
      <c r="AB114" s="5">
        <v>0.32853632082628009</v>
      </c>
      <c r="AC114" s="4">
        <f>ROUND((X114*100*1)+(Z114*100*2)+(AA114*100*3),2)</f>
        <v>102.87</v>
      </c>
      <c r="AD114">
        <f>ROUND(AVERAGE(Q114,W114,AC114),2)</f>
        <v>126.11</v>
      </c>
    </row>
    <row r="115" spans="1:30" x14ac:dyDescent="0.2">
      <c r="A115">
        <v>113</v>
      </c>
      <c r="B115">
        <v>1</v>
      </c>
      <c r="C115" t="s">
        <v>580</v>
      </c>
      <c r="D115" t="s">
        <v>581</v>
      </c>
      <c r="E115" t="s">
        <v>582</v>
      </c>
      <c r="F115" t="s">
        <v>583</v>
      </c>
      <c r="G115" t="s">
        <v>584</v>
      </c>
      <c r="H115" t="s">
        <v>80</v>
      </c>
      <c r="I115" t="s">
        <v>80</v>
      </c>
      <c r="J115" t="s">
        <v>26</v>
      </c>
      <c r="K115" t="s">
        <v>585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4">
        <f>ROUND((L115*100*1)+(N115*100*2)+(O115*100*3),2)</f>
        <v>100</v>
      </c>
      <c r="R115" s="5">
        <v>0.93509638958398344</v>
      </c>
      <c r="S115" s="5">
        <v>0</v>
      </c>
      <c r="T115" s="5">
        <v>6.4637954195674932E-2</v>
      </c>
      <c r="U115" s="5">
        <v>0</v>
      </c>
      <c r="V115" s="5">
        <v>2.6565622034158132E-4</v>
      </c>
      <c r="W115" s="4">
        <f>ROUND((R115*100*1)+(T115*100*2)+(U115*100*3),2)</f>
        <v>106.44</v>
      </c>
      <c r="X115" s="5">
        <v>0.87092711581738069</v>
      </c>
      <c r="Y115" s="5">
        <v>0</v>
      </c>
      <c r="Z115" s="5">
        <v>5.6362642240100798E-2</v>
      </c>
      <c r="AA115" s="5">
        <v>0</v>
      </c>
      <c r="AB115" s="5">
        <v>7.2710241942518516E-2</v>
      </c>
      <c r="AC115" s="4">
        <f>ROUND((X115*100*1)+(Z115*100*2)+(AA115*100*3),2)</f>
        <v>98.37</v>
      </c>
      <c r="AD115">
        <f>ROUND(AVERAGE(Q115,W115,AC115),2)</f>
        <v>101.6</v>
      </c>
    </row>
    <row r="116" spans="1:30" x14ac:dyDescent="0.2">
      <c r="A116">
        <v>114</v>
      </c>
      <c r="B116">
        <v>1</v>
      </c>
      <c r="C116" t="s">
        <v>586</v>
      </c>
      <c r="D116" t="s">
        <v>587</v>
      </c>
      <c r="E116" t="s">
        <v>186</v>
      </c>
      <c r="F116" t="s">
        <v>588</v>
      </c>
      <c r="G116" t="s">
        <v>589</v>
      </c>
      <c r="H116" t="s">
        <v>67</v>
      </c>
      <c r="I116" t="s">
        <v>67</v>
      </c>
      <c r="J116" t="s">
        <v>92</v>
      </c>
      <c r="K116" t="s">
        <v>561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4">
        <f>ROUND((L116*100*1)+(N116*100*2)+(O116*100*3),2)</f>
        <v>100</v>
      </c>
      <c r="R116" s="5">
        <v>0.99999999999999989</v>
      </c>
      <c r="S116" s="5">
        <v>0</v>
      </c>
      <c r="T116" s="5">
        <v>0</v>
      </c>
      <c r="U116" s="5">
        <v>0</v>
      </c>
      <c r="V116" s="5">
        <v>1.110223024625157E-16</v>
      </c>
      <c r="W116" s="4">
        <f>ROUND((R116*100*1)+(T116*100*2)+(U116*100*3),2)</f>
        <v>100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  <c r="AC116" s="4">
        <f>ROUND((X116*100*1)+(Z116*100*2)+(AA116*100*3),2)</f>
        <v>100</v>
      </c>
      <c r="AD116">
        <f>ROUND(AVERAGE(Q116,W116,AC116),2)</f>
        <v>100</v>
      </c>
    </row>
    <row r="117" spans="1:30" x14ac:dyDescent="0.2">
      <c r="A117">
        <v>115</v>
      </c>
      <c r="B117">
        <v>1</v>
      </c>
      <c r="C117" t="s">
        <v>590</v>
      </c>
      <c r="D117" t="s">
        <v>591</v>
      </c>
      <c r="E117" t="s">
        <v>592</v>
      </c>
      <c r="F117" t="s">
        <v>593</v>
      </c>
      <c r="G117" t="s">
        <v>594</v>
      </c>
      <c r="H117" t="s">
        <v>25</v>
      </c>
      <c r="I117" t="s">
        <v>25</v>
      </c>
      <c r="J117" t="s">
        <v>34</v>
      </c>
      <c r="K117" t="s">
        <v>249</v>
      </c>
      <c r="L117" s="5">
        <v>0.1641505349859127</v>
      </c>
      <c r="M117" s="5">
        <v>0</v>
      </c>
      <c r="N117" s="5">
        <v>0.1790105772549567</v>
      </c>
      <c r="O117" s="5">
        <v>2.90033475504162E-3</v>
      </c>
      <c r="P117" s="5">
        <v>0.65393855300408887</v>
      </c>
      <c r="Q117" s="4">
        <f>ROUND((L117*100*1)+(N117*100*2)+(O117*100*3),2)</f>
        <v>53.09</v>
      </c>
      <c r="R117" s="5">
        <v>5.0922052226216423E-2</v>
      </c>
      <c r="S117" s="5">
        <v>0</v>
      </c>
      <c r="T117" s="5">
        <v>8.6809072021590328E-2</v>
      </c>
      <c r="U117" s="5">
        <v>3.0889226708300302E-4</v>
      </c>
      <c r="V117" s="5">
        <v>0.86195998348511027</v>
      </c>
      <c r="W117" s="4">
        <f>ROUND((R117*100*1)+(T117*100*2)+(U117*100*3),2)</f>
        <v>22.55</v>
      </c>
      <c r="X117" s="5">
        <v>3.9207766860232751E-2</v>
      </c>
      <c r="Y117" s="5">
        <v>0</v>
      </c>
      <c r="Z117" s="5">
        <v>0.1033358101486278</v>
      </c>
      <c r="AA117" s="5">
        <v>1.409477762591458E-3</v>
      </c>
      <c r="AB117" s="5">
        <v>0.85604694522854796</v>
      </c>
      <c r="AC117" s="4">
        <f>ROUND((X117*100*1)+(Z117*100*2)+(AA117*100*3),2)</f>
        <v>25.01</v>
      </c>
      <c r="AD117">
        <f>ROUND(AVERAGE(Q117,W117,AC117),2)</f>
        <v>33.549999999999997</v>
      </c>
    </row>
    <row r="118" spans="1:30" x14ac:dyDescent="0.2">
      <c r="A118">
        <v>116</v>
      </c>
      <c r="B118">
        <v>1</v>
      </c>
      <c r="C118" t="s">
        <v>595</v>
      </c>
      <c r="D118" t="s">
        <v>596</v>
      </c>
      <c r="E118" t="s">
        <v>597</v>
      </c>
      <c r="F118" t="s">
        <v>598</v>
      </c>
      <c r="G118" t="s">
        <v>599</v>
      </c>
      <c r="H118" t="s">
        <v>67</v>
      </c>
      <c r="I118" t="s">
        <v>67</v>
      </c>
      <c r="J118" t="s">
        <v>34</v>
      </c>
      <c r="K118" t="s">
        <v>204</v>
      </c>
      <c r="L118" s="5">
        <v>0.27571319462127247</v>
      </c>
      <c r="M118" s="5">
        <v>0</v>
      </c>
      <c r="N118" s="5">
        <v>0.16861451376505651</v>
      </c>
      <c r="O118" s="5">
        <v>0</v>
      </c>
      <c r="P118" s="5">
        <v>0.55567229161367104</v>
      </c>
      <c r="Q118" s="4">
        <f>ROUND((L118*100*1)+(N118*100*2)+(O118*100*3),2)</f>
        <v>61.29</v>
      </c>
      <c r="R118" s="5">
        <v>0.24426791675801859</v>
      </c>
      <c r="S118" s="5">
        <v>0</v>
      </c>
      <c r="T118" s="5">
        <v>0.1023736222103917</v>
      </c>
      <c r="U118" s="5">
        <v>1.4157740550695319E-3</v>
      </c>
      <c r="V118" s="5">
        <v>0.65194268697652014</v>
      </c>
      <c r="W118" s="4">
        <f>ROUND((R118*100*1)+(T118*100*2)+(U118*100*3),2)</f>
        <v>45.33</v>
      </c>
      <c r="X118" s="5">
        <v>0.1658198670211235</v>
      </c>
      <c r="Y118" s="5">
        <v>0</v>
      </c>
      <c r="Z118" s="5">
        <v>0.1021568214470486</v>
      </c>
      <c r="AA118" s="5">
        <v>9.319335250713342E-4</v>
      </c>
      <c r="AB118" s="5">
        <v>0.7310913780067565</v>
      </c>
      <c r="AC118" s="4">
        <f>ROUND((X118*100*1)+(Z118*100*2)+(AA118*100*3),2)</f>
        <v>37.29</v>
      </c>
      <c r="AD118">
        <f>ROUND(AVERAGE(Q118,W118,AC118),2)</f>
        <v>47.97</v>
      </c>
    </row>
    <row r="119" spans="1:30" x14ac:dyDescent="0.2">
      <c r="A119">
        <v>118</v>
      </c>
      <c r="B119">
        <v>1</v>
      </c>
      <c r="C119" t="s">
        <v>600</v>
      </c>
      <c r="D119" t="s">
        <v>601</v>
      </c>
      <c r="E119" t="s">
        <v>602</v>
      </c>
      <c r="F119" t="s">
        <v>603</v>
      </c>
      <c r="G119" t="s">
        <v>604</v>
      </c>
      <c r="H119" t="s">
        <v>67</v>
      </c>
      <c r="I119" t="s">
        <v>67</v>
      </c>
      <c r="J119" t="s">
        <v>26</v>
      </c>
      <c r="K119" t="s">
        <v>56</v>
      </c>
      <c r="L119" s="5">
        <v>0.2365224615033788</v>
      </c>
      <c r="M119" s="5">
        <v>0</v>
      </c>
      <c r="N119" s="5">
        <v>0.16317525108244621</v>
      </c>
      <c r="O119" s="5">
        <v>0</v>
      </c>
      <c r="P119" s="5">
        <v>0.60030228741417502</v>
      </c>
      <c r="Q119" s="4">
        <f>ROUND((L119*100*1)+(N119*100*2)+(O119*100*3),2)</f>
        <v>56.29</v>
      </c>
      <c r="R119" s="5">
        <v>0.41168751681519172</v>
      </c>
      <c r="S119" s="5">
        <v>0</v>
      </c>
      <c r="T119" s="5">
        <v>8.1763402984116648E-2</v>
      </c>
      <c r="U119" s="5">
        <v>5.6011124822827427E-2</v>
      </c>
      <c r="V119" s="5">
        <v>0.45053795537786417</v>
      </c>
      <c r="W119" s="4">
        <f>ROUND((R119*100*1)+(T119*100*2)+(U119*100*3),2)</f>
        <v>74.319999999999993</v>
      </c>
      <c r="X119" s="5">
        <v>0.3949113198833738</v>
      </c>
      <c r="Y119" s="5">
        <v>0</v>
      </c>
      <c r="Z119" s="5">
        <v>8.4728082385154543E-2</v>
      </c>
      <c r="AA119" s="5">
        <v>7.0107972702897883E-2</v>
      </c>
      <c r="AB119" s="5">
        <v>0.45025262502857383</v>
      </c>
      <c r="AC119" s="4">
        <f>ROUND((X119*100*1)+(Z119*100*2)+(AA119*100*3),2)</f>
        <v>77.47</v>
      </c>
      <c r="AD119">
        <f>ROUND(AVERAGE(Q119,W119,AC119),2)</f>
        <v>69.36</v>
      </c>
    </row>
    <row r="120" spans="1:30" x14ac:dyDescent="0.2">
      <c r="A120">
        <v>119</v>
      </c>
      <c r="B120">
        <v>1</v>
      </c>
      <c r="C120" t="s">
        <v>605</v>
      </c>
      <c r="D120" t="s">
        <v>606</v>
      </c>
      <c r="E120" t="s">
        <v>607</v>
      </c>
      <c r="F120" t="s">
        <v>608</v>
      </c>
      <c r="G120" t="s">
        <v>609</v>
      </c>
      <c r="H120" t="s">
        <v>25</v>
      </c>
      <c r="I120" t="s">
        <v>25</v>
      </c>
      <c r="J120" t="s">
        <v>34</v>
      </c>
      <c r="K120" t="s">
        <v>149</v>
      </c>
      <c r="L120" s="5">
        <v>3.1174887825421538E-2</v>
      </c>
      <c r="M120" s="5">
        <v>0</v>
      </c>
      <c r="N120" s="5">
        <v>0.37815221066290627</v>
      </c>
      <c r="O120" s="5">
        <v>0.1020194024802117</v>
      </c>
      <c r="P120" s="5">
        <v>0.48865349903146033</v>
      </c>
      <c r="Q120" s="4">
        <f>ROUND((L120*100*1)+(N120*100*2)+(O120*100*3),2)</f>
        <v>109.35</v>
      </c>
      <c r="R120" s="5">
        <v>0.1235151522624859</v>
      </c>
      <c r="S120" s="5">
        <v>0</v>
      </c>
      <c r="T120" s="5">
        <v>9.3525167728069278E-2</v>
      </c>
      <c r="U120" s="5">
        <v>1.568876381853173E-2</v>
      </c>
      <c r="V120" s="5">
        <v>0.76727091619091303</v>
      </c>
      <c r="W120" s="4">
        <f>ROUND((R120*100*1)+(T120*100*2)+(U120*100*3),2)</f>
        <v>35.76</v>
      </c>
      <c r="X120" s="5">
        <v>8.3065184215183371E-2</v>
      </c>
      <c r="Y120" s="5">
        <v>0</v>
      </c>
      <c r="Z120" s="5">
        <v>6.9563059159292159E-2</v>
      </c>
      <c r="AA120" s="5">
        <v>1.116303165218286E-2</v>
      </c>
      <c r="AB120" s="5">
        <v>0.83620872497334164</v>
      </c>
      <c r="AC120" s="4">
        <f>ROUND((X120*100*1)+(Z120*100*2)+(AA120*100*3),2)</f>
        <v>25.57</v>
      </c>
      <c r="AD120">
        <f>ROUND(AVERAGE(Q120,W120,AC120),2)</f>
        <v>56.89</v>
      </c>
    </row>
    <row r="121" spans="1:30" x14ac:dyDescent="0.2">
      <c r="A121">
        <v>120</v>
      </c>
      <c r="B121">
        <v>1</v>
      </c>
      <c r="C121" t="s">
        <v>610</v>
      </c>
      <c r="D121" t="s">
        <v>611</v>
      </c>
      <c r="E121" t="s">
        <v>612</v>
      </c>
      <c r="H121" t="s">
        <v>67</v>
      </c>
      <c r="I121" t="s">
        <v>67</v>
      </c>
      <c r="J121" t="s">
        <v>92</v>
      </c>
      <c r="K121" t="s">
        <v>585</v>
      </c>
      <c r="L121" s="5">
        <v>0</v>
      </c>
      <c r="M121" s="5">
        <v>0</v>
      </c>
      <c r="N121" s="5">
        <v>0.10423995462959321</v>
      </c>
      <c r="O121" s="5">
        <v>0</v>
      </c>
      <c r="P121" s="5">
        <v>0.89576004537040677</v>
      </c>
      <c r="Q121" s="4">
        <f>ROUND((L121*100*1)+(N121*100*2)+(O121*100*3),2)</f>
        <v>20.85</v>
      </c>
      <c r="R121" s="5">
        <v>0</v>
      </c>
      <c r="S121" s="5">
        <v>0</v>
      </c>
      <c r="T121" s="5">
        <v>3.2352207047569463E-2</v>
      </c>
      <c r="U121" s="5">
        <v>2.5922591100762341E-2</v>
      </c>
      <c r="V121" s="5">
        <v>0.94172520185166819</v>
      </c>
      <c r="W121" s="4">
        <f>ROUND((R121*100*1)+(T121*100*2)+(U121*100*3),2)</f>
        <v>14.25</v>
      </c>
      <c r="X121" s="5">
        <v>0</v>
      </c>
      <c r="Y121" s="5">
        <v>0</v>
      </c>
      <c r="Z121" s="5">
        <v>2.3715427379708359E-2</v>
      </c>
      <c r="AA121" s="5">
        <v>0.18212476876921899</v>
      </c>
      <c r="AB121" s="5">
        <v>0.79415980385107265</v>
      </c>
      <c r="AC121" s="4">
        <f>ROUND((X121*100*1)+(Z121*100*2)+(AA121*100*3),2)</f>
        <v>59.38</v>
      </c>
      <c r="AD121">
        <f>ROUND(AVERAGE(Q121,W121,AC121),2)</f>
        <v>31.49</v>
      </c>
    </row>
    <row r="122" spans="1:30" x14ac:dyDescent="0.2">
      <c r="A122">
        <v>121</v>
      </c>
      <c r="B122">
        <v>1</v>
      </c>
      <c r="C122" t="s">
        <v>613</v>
      </c>
      <c r="D122" t="s">
        <v>614</v>
      </c>
      <c r="E122" t="s">
        <v>615</v>
      </c>
      <c r="H122" t="s">
        <v>80</v>
      </c>
      <c r="I122" t="s">
        <v>80</v>
      </c>
      <c r="J122" t="s">
        <v>26</v>
      </c>
      <c r="K122" t="s">
        <v>616</v>
      </c>
      <c r="L122" s="5">
        <v>0</v>
      </c>
      <c r="M122" s="5">
        <v>0</v>
      </c>
      <c r="N122" s="5">
        <v>0.47419266148725842</v>
      </c>
      <c r="O122" s="5">
        <v>0.49950228464193391</v>
      </c>
      <c r="P122" s="5">
        <v>2.630505387080773E-2</v>
      </c>
      <c r="Q122" s="4">
        <f>ROUND((L122*100*1)+(N122*100*2)+(O122*100*3),2)</f>
        <v>244.69</v>
      </c>
      <c r="R122" s="5">
        <v>3.3556139682469979E-4</v>
      </c>
      <c r="S122" s="5">
        <v>0</v>
      </c>
      <c r="T122" s="5">
        <v>0.33223775343270262</v>
      </c>
      <c r="U122" s="5">
        <v>0.3218686925465421</v>
      </c>
      <c r="V122" s="5">
        <v>0.34555799262393039</v>
      </c>
      <c r="W122" s="4">
        <f>ROUND((R122*100*1)+(T122*100*2)+(U122*100*3),2)</f>
        <v>163.04</v>
      </c>
      <c r="X122" s="5">
        <v>6.1155132025913779E-2</v>
      </c>
      <c r="Y122" s="5">
        <v>0</v>
      </c>
      <c r="Z122" s="5">
        <v>0.24222032824433021</v>
      </c>
      <c r="AA122" s="5">
        <v>0.22596244130262019</v>
      </c>
      <c r="AB122" s="5">
        <v>0.47066209842713591</v>
      </c>
      <c r="AC122" s="4">
        <f>ROUND((X122*100*1)+(Z122*100*2)+(AA122*100*3),2)</f>
        <v>122.35</v>
      </c>
      <c r="AD122">
        <f>ROUND(AVERAGE(Q122,W122,AC122),2)</f>
        <v>176.69</v>
      </c>
    </row>
    <row r="123" spans="1:30" x14ac:dyDescent="0.2">
      <c r="A123">
        <v>122</v>
      </c>
      <c r="B123">
        <v>1</v>
      </c>
      <c r="C123" t="s">
        <v>617</v>
      </c>
      <c r="D123" t="s">
        <v>618</v>
      </c>
      <c r="E123" t="s">
        <v>371</v>
      </c>
      <c r="H123" t="s">
        <v>25</v>
      </c>
      <c r="I123" t="s">
        <v>25</v>
      </c>
      <c r="J123" t="s">
        <v>34</v>
      </c>
      <c r="K123" t="s">
        <v>230</v>
      </c>
      <c r="L123" s="5">
        <v>0</v>
      </c>
      <c r="M123" s="5">
        <v>0</v>
      </c>
      <c r="N123" s="5">
        <v>0.32899919662995131</v>
      </c>
      <c r="O123" s="5">
        <v>0.59053632454309313</v>
      </c>
      <c r="P123" s="5">
        <v>8.046447882695551E-2</v>
      </c>
      <c r="Q123" s="4">
        <f>ROUND((L123*100*1)+(N123*100*2)+(O123*100*3),2)</f>
        <v>242.96</v>
      </c>
      <c r="R123" s="5">
        <v>3.2312536592115013E-2</v>
      </c>
      <c r="S123" s="5">
        <v>0</v>
      </c>
      <c r="T123" s="5">
        <v>0.25334017410660159</v>
      </c>
      <c r="U123" s="5">
        <v>0.38014799310532088</v>
      </c>
      <c r="V123" s="5">
        <v>0.33419929619596228</v>
      </c>
      <c r="W123" s="4">
        <f>ROUND((R123*100*1)+(T123*100*2)+(U123*100*3),2)</f>
        <v>167.94</v>
      </c>
      <c r="X123" s="5">
        <v>2.5332707459312549E-2</v>
      </c>
      <c r="Y123" s="5">
        <v>0</v>
      </c>
      <c r="Z123" s="5">
        <v>0.1975132467175576</v>
      </c>
      <c r="AA123" s="5">
        <v>0.27789241582474411</v>
      </c>
      <c r="AB123" s="5">
        <v>0.49926162999838569</v>
      </c>
      <c r="AC123" s="4">
        <f>ROUND((X123*100*1)+(Z123*100*2)+(AA123*100*3),2)</f>
        <v>125.4</v>
      </c>
      <c r="AD123">
        <f>ROUND(AVERAGE(Q123,W123,AC123),2)</f>
        <v>178.77</v>
      </c>
    </row>
    <row r="124" spans="1:30" x14ac:dyDescent="0.2">
      <c r="A124">
        <v>123</v>
      </c>
      <c r="B124">
        <v>1</v>
      </c>
      <c r="C124" t="s">
        <v>619</v>
      </c>
      <c r="D124" t="s">
        <v>620</v>
      </c>
      <c r="E124" t="s">
        <v>109</v>
      </c>
      <c r="F124" t="s">
        <v>410</v>
      </c>
      <c r="G124" t="s">
        <v>411</v>
      </c>
      <c r="H124" t="s">
        <v>67</v>
      </c>
      <c r="I124" t="s">
        <v>67</v>
      </c>
      <c r="J124" t="s">
        <v>26</v>
      </c>
      <c r="K124" t="s">
        <v>621</v>
      </c>
      <c r="L124" s="5">
        <v>0.75478732269535875</v>
      </c>
      <c r="M124" s="5">
        <v>0</v>
      </c>
      <c r="N124" s="5">
        <v>8.6062220370672501E-2</v>
      </c>
      <c r="O124" s="5">
        <v>0</v>
      </c>
      <c r="P124" s="5">
        <v>0.15915045693396879</v>
      </c>
      <c r="Q124" s="4">
        <f>ROUND((L124*100*1)+(N124*100*2)+(O124*100*3),2)</f>
        <v>92.69</v>
      </c>
      <c r="R124" s="5">
        <v>0.48872490984329031</v>
      </c>
      <c r="S124" s="5">
        <v>0</v>
      </c>
      <c r="T124" s="5">
        <v>7.6374102529384577E-2</v>
      </c>
      <c r="U124" s="5">
        <v>0</v>
      </c>
      <c r="V124" s="5">
        <v>0.4349009876273251</v>
      </c>
      <c r="W124" s="4">
        <f>ROUND((R124*100*1)+(T124*100*2)+(U124*100*3),2)</f>
        <v>64.150000000000006</v>
      </c>
      <c r="X124" s="5">
        <v>0.43020701453942789</v>
      </c>
      <c r="Y124" s="5">
        <v>0</v>
      </c>
      <c r="Z124" s="5">
        <v>9.8805020553837941E-2</v>
      </c>
      <c r="AA124" s="5">
        <v>4.8453151155040024E-3</v>
      </c>
      <c r="AB124" s="5">
        <v>0.4661426497912301</v>
      </c>
      <c r="AC124" s="4">
        <f>ROUND((X124*100*1)+(Z124*100*2)+(AA124*100*3),2)</f>
        <v>64.239999999999995</v>
      </c>
      <c r="AD124">
        <f>ROUND(AVERAGE(Q124,W124,AC124),2)</f>
        <v>73.69</v>
      </c>
    </row>
    <row r="125" spans="1:30" x14ac:dyDescent="0.2">
      <c r="A125">
        <v>124</v>
      </c>
      <c r="B125">
        <v>1</v>
      </c>
      <c r="C125" t="s">
        <v>622</v>
      </c>
      <c r="D125" t="s">
        <v>623</v>
      </c>
      <c r="E125" t="s">
        <v>83</v>
      </c>
      <c r="F125" t="s">
        <v>624</v>
      </c>
      <c r="G125" t="s">
        <v>625</v>
      </c>
      <c r="H125" t="s">
        <v>67</v>
      </c>
      <c r="I125" t="s">
        <v>67</v>
      </c>
      <c r="J125" t="s">
        <v>34</v>
      </c>
      <c r="K125" t="s">
        <v>626</v>
      </c>
      <c r="L125" s="5">
        <v>0.59821846676372237</v>
      </c>
      <c r="M125" s="5">
        <v>0</v>
      </c>
      <c r="N125" s="5">
        <v>8.0597753558916255E-2</v>
      </c>
      <c r="O125" s="5">
        <v>0</v>
      </c>
      <c r="P125" s="5">
        <v>0.32118377967736128</v>
      </c>
      <c r="Q125" s="4">
        <f>ROUND((L125*100*1)+(N125*100*2)+(O125*100*3),2)</f>
        <v>75.94</v>
      </c>
      <c r="R125" s="5">
        <v>0.29460237198152739</v>
      </c>
      <c r="S125" s="5">
        <v>0</v>
      </c>
      <c r="T125" s="5">
        <v>0.14980117862035081</v>
      </c>
      <c r="U125" s="5">
        <v>3.2746869183080331E-3</v>
      </c>
      <c r="V125" s="5">
        <v>0.55232176247981368</v>
      </c>
      <c r="W125" s="4">
        <f>ROUND((R125*100*1)+(T125*100*2)+(U125*100*3),2)</f>
        <v>60.4</v>
      </c>
      <c r="X125" s="5">
        <v>0.31006183775791551</v>
      </c>
      <c r="Y125" s="5">
        <v>0</v>
      </c>
      <c r="Z125" s="5">
        <v>0.1122850411633908</v>
      </c>
      <c r="AA125" s="5">
        <v>3.171733912207304E-3</v>
      </c>
      <c r="AB125" s="5">
        <v>0.57448138716648645</v>
      </c>
      <c r="AC125" s="4">
        <f>ROUND((X125*100*1)+(Z125*100*2)+(AA125*100*3),2)</f>
        <v>54.41</v>
      </c>
      <c r="AD125">
        <f>ROUND(AVERAGE(Q125,W125,AC125),2)</f>
        <v>63.58</v>
      </c>
    </row>
    <row r="126" spans="1:30" x14ac:dyDescent="0.2">
      <c r="A126">
        <v>125</v>
      </c>
      <c r="B126">
        <v>1</v>
      </c>
      <c r="C126" t="s">
        <v>627</v>
      </c>
      <c r="D126" t="s">
        <v>628</v>
      </c>
      <c r="E126" t="s">
        <v>629</v>
      </c>
      <c r="H126" t="s">
        <v>67</v>
      </c>
      <c r="I126" t="s">
        <v>67</v>
      </c>
      <c r="J126" t="s">
        <v>34</v>
      </c>
      <c r="K126" t="s">
        <v>86</v>
      </c>
      <c r="L126" s="5">
        <v>0.1199780837405427</v>
      </c>
      <c r="M126" s="5">
        <v>0</v>
      </c>
      <c r="N126" s="5">
        <v>0.39304527949786072</v>
      </c>
      <c r="O126" s="5">
        <v>0.48697663676158998</v>
      </c>
      <c r="P126" s="5">
        <v>6.4392935428259079E-15</v>
      </c>
      <c r="Q126" s="4">
        <f>ROUND((L126*100*1)+(N126*100*2)+(O126*100*3),2)</f>
        <v>236.7</v>
      </c>
      <c r="R126" s="5">
        <v>0.62510310275219438</v>
      </c>
      <c r="S126" s="5">
        <v>0</v>
      </c>
      <c r="T126" s="5">
        <v>0.21627118139508661</v>
      </c>
      <c r="U126" s="5">
        <v>0.15862571585280241</v>
      </c>
      <c r="V126" s="5">
        <v>0</v>
      </c>
      <c r="W126" s="4">
        <f>ROUND((R126*100*1)+(T126*100*2)+(U126*100*3),2)</f>
        <v>153.35</v>
      </c>
      <c r="X126" s="5">
        <v>0.75939689293843915</v>
      </c>
      <c r="Y126" s="5">
        <v>0</v>
      </c>
      <c r="Z126" s="5">
        <v>0.17385157048503039</v>
      </c>
      <c r="AA126" s="5">
        <v>6.6751536576521067E-2</v>
      </c>
      <c r="AB126" s="5">
        <v>9.4368957093138306E-15</v>
      </c>
      <c r="AC126" s="4">
        <f>ROUND((X126*100*1)+(Z126*100*2)+(AA126*100*3),2)</f>
        <v>130.74</v>
      </c>
      <c r="AD126">
        <f>ROUND(AVERAGE(Q126,W126,AC126),2)</f>
        <v>173.6</v>
      </c>
    </row>
    <row r="127" spans="1:30" x14ac:dyDescent="0.2">
      <c r="A127">
        <v>126</v>
      </c>
      <c r="B127">
        <v>2</v>
      </c>
      <c r="C127" t="s">
        <v>630</v>
      </c>
      <c r="D127" t="s">
        <v>631</v>
      </c>
      <c r="E127" t="s">
        <v>632</v>
      </c>
      <c r="F127" t="s">
        <v>633</v>
      </c>
      <c r="G127" t="s">
        <v>634</v>
      </c>
      <c r="H127" t="s">
        <v>67</v>
      </c>
      <c r="I127" t="s">
        <v>67</v>
      </c>
      <c r="J127" t="s">
        <v>34</v>
      </c>
      <c r="K127" t="s">
        <v>635</v>
      </c>
      <c r="L127" s="5">
        <v>0</v>
      </c>
      <c r="M127" s="5">
        <v>0</v>
      </c>
      <c r="N127" s="5">
        <v>0.21416809103964271</v>
      </c>
      <c r="O127" s="5">
        <v>0.78583190896043886</v>
      </c>
      <c r="P127" s="5">
        <v>0</v>
      </c>
      <c r="Q127" s="4">
        <f>ROUND((L127*100*1)+(N127*100*2)+(O127*100*3),2)</f>
        <v>278.58</v>
      </c>
      <c r="R127" s="5">
        <v>0.2993906952090144</v>
      </c>
      <c r="S127" s="5">
        <v>0</v>
      </c>
      <c r="T127" s="5">
        <v>0.25505104303354281</v>
      </c>
      <c r="U127" s="5">
        <v>0.44555826175740038</v>
      </c>
      <c r="V127" s="5">
        <v>4.241051954068098E-14</v>
      </c>
      <c r="W127" s="4">
        <f>ROUND((R127*100*1)+(T127*100*2)+(U127*100*3),2)</f>
        <v>214.62</v>
      </c>
      <c r="X127" s="5">
        <v>0.54705623070715736</v>
      </c>
      <c r="Y127" s="5">
        <v>0</v>
      </c>
      <c r="Z127" s="5">
        <v>0.21455253106687139</v>
      </c>
      <c r="AA127" s="5">
        <v>0.2383912382259688</v>
      </c>
      <c r="AB127" s="5">
        <v>2.55351295663786E-15</v>
      </c>
      <c r="AC127" s="4">
        <f>ROUND((X127*100*1)+(Z127*100*2)+(AA127*100*3),2)</f>
        <v>169.13</v>
      </c>
      <c r="AD127">
        <f>ROUND(AVERAGE(Q127,W127,AC127),2)</f>
        <v>220.78</v>
      </c>
    </row>
    <row r="128" spans="1:30" x14ac:dyDescent="0.2">
      <c r="A128">
        <v>127</v>
      </c>
      <c r="B128">
        <v>1</v>
      </c>
      <c r="C128" t="s">
        <v>636</v>
      </c>
      <c r="D128" t="s">
        <v>637</v>
      </c>
      <c r="E128" t="s">
        <v>638</v>
      </c>
      <c r="H128" t="s">
        <v>25</v>
      </c>
      <c r="I128" t="s">
        <v>25</v>
      </c>
      <c r="J128" t="s">
        <v>34</v>
      </c>
      <c r="K128" t="s">
        <v>639</v>
      </c>
      <c r="L128" s="5">
        <v>0</v>
      </c>
      <c r="M128" s="5">
        <v>0</v>
      </c>
      <c r="N128" s="5">
        <v>0.1179444554509025</v>
      </c>
      <c r="O128" s="5">
        <v>4.429067061224163E-2</v>
      </c>
      <c r="P128" s="5">
        <v>0.83776487393685584</v>
      </c>
      <c r="Q128" s="4">
        <f>ROUND((L128*100*1)+(N128*100*2)+(O128*100*3),2)</f>
        <v>36.880000000000003</v>
      </c>
      <c r="R128" s="5">
        <v>4.5346353018362501E-4</v>
      </c>
      <c r="S128" s="5">
        <v>0</v>
      </c>
      <c r="T128" s="5">
        <v>0.18162331123735659</v>
      </c>
      <c r="U128" s="5">
        <v>0.17784943389703861</v>
      </c>
      <c r="V128" s="5">
        <v>0.64007379133542108</v>
      </c>
      <c r="W128" s="4">
        <f>ROUND((R128*100*1)+(T128*100*2)+(U128*100*3),2)</f>
        <v>89.72</v>
      </c>
      <c r="X128" s="5">
        <v>4.8191952054804999E-3</v>
      </c>
      <c r="Y128" s="5">
        <v>0</v>
      </c>
      <c r="Z128" s="5">
        <v>0.15125199434302231</v>
      </c>
      <c r="AA128" s="5">
        <v>9.3965617454330685E-2</v>
      </c>
      <c r="AB128" s="5">
        <v>0.74996319299716652</v>
      </c>
      <c r="AC128" s="4">
        <f>ROUND((X128*100*1)+(Z128*100*2)+(AA128*100*3),2)</f>
        <v>58.92</v>
      </c>
      <c r="AD128">
        <f>ROUND(AVERAGE(Q128,W128,AC128),2)</f>
        <v>61.84</v>
      </c>
    </row>
    <row r="129" spans="1:30" x14ac:dyDescent="0.2">
      <c r="A129">
        <v>128</v>
      </c>
      <c r="B129">
        <v>1</v>
      </c>
      <c r="C129" t="s">
        <v>640</v>
      </c>
      <c r="D129" t="s">
        <v>641</v>
      </c>
      <c r="E129" t="s">
        <v>252</v>
      </c>
      <c r="F129" t="s">
        <v>642</v>
      </c>
      <c r="G129" t="s">
        <v>643</v>
      </c>
      <c r="H129" t="s">
        <v>336</v>
      </c>
      <c r="I129" t="s">
        <v>336</v>
      </c>
      <c r="J129" t="s">
        <v>92</v>
      </c>
      <c r="K129" t="s">
        <v>644</v>
      </c>
      <c r="L129" s="5">
        <v>0</v>
      </c>
      <c r="M129" s="5">
        <v>0</v>
      </c>
      <c r="N129" s="5">
        <v>0</v>
      </c>
      <c r="O129" s="5">
        <v>0</v>
      </c>
      <c r="P129" s="5">
        <v>1</v>
      </c>
      <c r="Q129" s="4">
        <f>ROUND((L129*100*1)+(N129*100*2)+(O129*100*3),2)</f>
        <v>0</v>
      </c>
      <c r="R129" s="5">
        <v>6.9841833959357447E-2</v>
      </c>
      <c r="S129" s="5">
        <v>0</v>
      </c>
      <c r="T129" s="5">
        <v>0.144190803938927</v>
      </c>
      <c r="U129" s="5">
        <v>4.7009060561104703E-2</v>
      </c>
      <c r="V129" s="5">
        <v>0.73895830154061104</v>
      </c>
      <c r="W129" s="4">
        <f>ROUND((R129*100*1)+(T129*100*2)+(U129*100*3),2)</f>
        <v>49.93</v>
      </c>
      <c r="X129" s="5">
        <v>0.22105384714917559</v>
      </c>
      <c r="Y129" s="5">
        <v>0</v>
      </c>
      <c r="Z129" s="5">
        <v>0.12949891926236051</v>
      </c>
      <c r="AA129" s="5">
        <v>6.8394374898527954E-2</v>
      </c>
      <c r="AB129" s="5">
        <v>0.58105285868993595</v>
      </c>
      <c r="AC129" s="4">
        <f>ROUND((X129*100*1)+(Z129*100*2)+(AA129*100*3),2)</f>
        <v>68.52</v>
      </c>
      <c r="AD129">
        <f>ROUND(AVERAGE(Q129,W129,AC129),2)</f>
        <v>39.479999999999997</v>
      </c>
    </row>
    <row r="130" spans="1:30" x14ac:dyDescent="0.2">
      <c r="A130">
        <v>129</v>
      </c>
      <c r="B130">
        <v>1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67</v>
      </c>
      <c r="I130" t="s">
        <v>67</v>
      </c>
      <c r="J130" t="s">
        <v>34</v>
      </c>
      <c r="K130" t="s">
        <v>650</v>
      </c>
      <c r="L130" s="5">
        <v>0.22235609525171099</v>
      </c>
      <c r="M130" s="5">
        <v>0</v>
      </c>
      <c r="N130" s="5">
        <v>0.1229567740919484</v>
      </c>
      <c r="O130" s="5">
        <v>2.9711769995194259E-2</v>
      </c>
      <c r="P130" s="5">
        <v>0.62497536066114634</v>
      </c>
      <c r="Q130" s="4">
        <f>ROUND((L130*100*1)+(N130*100*2)+(O130*100*3),2)</f>
        <v>55.74</v>
      </c>
      <c r="R130" s="5">
        <v>0.18983043891115961</v>
      </c>
      <c r="S130" s="5">
        <v>0</v>
      </c>
      <c r="T130" s="5">
        <v>0.17638941753079221</v>
      </c>
      <c r="U130" s="5">
        <v>8.7070577448139744E-2</v>
      </c>
      <c r="V130" s="5">
        <v>0.5467095661099084</v>
      </c>
      <c r="W130" s="4">
        <f>ROUND((R130*100*1)+(T130*100*2)+(U130*100*3),2)</f>
        <v>80.38</v>
      </c>
      <c r="X130" s="5">
        <v>0.1194741936485056</v>
      </c>
      <c r="Y130" s="5">
        <v>0</v>
      </c>
      <c r="Z130" s="5">
        <v>0.197891397362815</v>
      </c>
      <c r="AA130" s="5">
        <v>6.5083491526022511E-2</v>
      </c>
      <c r="AB130" s="5">
        <v>0.61755091746265678</v>
      </c>
      <c r="AC130" s="4">
        <f>ROUND((X130*100*1)+(Z130*100*2)+(AA130*100*3),2)</f>
        <v>71.05</v>
      </c>
      <c r="AD130">
        <f>ROUND(AVERAGE(Q130,W130,AC130),2)</f>
        <v>69.06</v>
      </c>
    </row>
    <row r="131" spans="1:30" x14ac:dyDescent="0.2">
      <c r="A131">
        <v>130</v>
      </c>
      <c r="B131">
        <v>1</v>
      </c>
      <c r="C131" t="s">
        <v>651</v>
      </c>
      <c r="D131" t="s">
        <v>652</v>
      </c>
      <c r="E131" t="s">
        <v>647</v>
      </c>
      <c r="F131" t="s">
        <v>653</v>
      </c>
      <c r="G131" t="s">
        <v>654</v>
      </c>
      <c r="H131" t="s">
        <v>67</v>
      </c>
      <c r="I131" t="s">
        <v>67</v>
      </c>
      <c r="J131" t="s">
        <v>34</v>
      </c>
      <c r="K131" t="s">
        <v>655</v>
      </c>
      <c r="L131" s="5">
        <v>0.19217967784817749</v>
      </c>
      <c r="M131" s="5">
        <v>0</v>
      </c>
      <c r="N131" s="5">
        <v>0.19741231856135491</v>
      </c>
      <c r="O131" s="5">
        <v>4.2569360126465769E-2</v>
      </c>
      <c r="P131" s="5">
        <v>0.5678386434640017</v>
      </c>
      <c r="Q131" s="4">
        <f>ROUND((L131*100*1)+(N131*100*2)+(O131*100*3),2)</f>
        <v>71.47</v>
      </c>
      <c r="R131" s="5">
        <v>8.1003777691037337E-2</v>
      </c>
      <c r="S131" s="5">
        <v>0</v>
      </c>
      <c r="T131" s="5">
        <v>0.24011128920165689</v>
      </c>
      <c r="U131" s="5">
        <v>0.12372542581628</v>
      </c>
      <c r="V131" s="5">
        <v>0.55515950729102581</v>
      </c>
      <c r="W131" s="4">
        <f>ROUND((R131*100*1)+(T131*100*2)+(U131*100*3),2)</f>
        <v>93.24</v>
      </c>
      <c r="X131" s="5">
        <v>0.1145474814486024</v>
      </c>
      <c r="Y131" s="5">
        <v>0</v>
      </c>
      <c r="Z131" s="5">
        <v>0.1955754621090097</v>
      </c>
      <c r="AA131" s="5">
        <v>6.9058876062256191E-2</v>
      </c>
      <c r="AB131" s="5">
        <v>0.6208181803801317</v>
      </c>
      <c r="AC131" s="4">
        <f>ROUND((X131*100*1)+(Z131*100*2)+(AA131*100*3),2)</f>
        <v>71.290000000000006</v>
      </c>
      <c r="AD131">
        <f>ROUND(AVERAGE(Q131,W131,AC131),2)</f>
        <v>78.67</v>
      </c>
    </row>
    <row r="132" spans="1:30" x14ac:dyDescent="0.2">
      <c r="A132">
        <v>131</v>
      </c>
      <c r="B132">
        <v>1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336</v>
      </c>
      <c r="I132" t="s">
        <v>336</v>
      </c>
      <c r="J132" t="s">
        <v>34</v>
      </c>
      <c r="K132" t="s">
        <v>661</v>
      </c>
      <c r="L132" s="5">
        <v>0</v>
      </c>
      <c r="M132" s="5">
        <v>0</v>
      </c>
      <c r="N132" s="5">
        <v>0.33761758279466242</v>
      </c>
      <c r="O132" s="5">
        <v>0.66238241720544255</v>
      </c>
      <c r="P132" s="5">
        <v>0</v>
      </c>
      <c r="Q132" s="4">
        <f>ROUND((L132*100*1)+(N132*100*2)+(O132*100*3),2)</f>
        <v>266.24</v>
      </c>
      <c r="R132" s="5">
        <v>3.4330343598069198E-2</v>
      </c>
      <c r="S132" s="5">
        <v>0</v>
      </c>
      <c r="T132" s="5">
        <v>0.30609059447564668</v>
      </c>
      <c r="U132" s="5">
        <v>0.65932381189328371</v>
      </c>
      <c r="V132" s="5">
        <v>2.5525003300042037E-4</v>
      </c>
      <c r="W132" s="4">
        <f>ROUND((R132*100*1)+(T132*100*2)+(U132*100*3),2)</f>
        <v>262.45</v>
      </c>
      <c r="X132" s="5">
        <v>0.21407484977272309</v>
      </c>
      <c r="Y132" s="5">
        <v>0</v>
      </c>
      <c r="Z132" s="5">
        <v>0.25618339774410148</v>
      </c>
      <c r="AA132" s="5">
        <v>0.47697657999738408</v>
      </c>
      <c r="AB132" s="5">
        <v>5.2765172485791378E-2</v>
      </c>
      <c r="AC132" s="4">
        <f>ROUND((X132*100*1)+(Z132*100*2)+(AA132*100*3),2)</f>
        <v>215.74</v>
      </c>
      <c r="AD132">
        <f>ROUND(AVERAGE(Q132,W132,AC132),2)</f>
        <v>248.14</v>
      </c>
    </row>
    <row r="133" spans="1:30" x14ac:dyDescent="0.2">
      <c r="A133">
        <v>132</v>
      </c>
      <c r="B133">
        <v>1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  <c r="H133" t="s">
        <v>67</v>
      </c>
      <c r="I133" t="s">
        <v>67</v>
      </c>
      <c r="J133" t="s">
        <v>92</v>
      </c>
      <c r="K133" t="s">
        <v>667</v>
      </c>
      <c r="L133" s="5">
        <v>0.77967245630443738</v>
      </c>
      <c r="M133" s="5">
        <v>0</v>
      </c>
      <c r="N133" s="5">
        <v>0.1013720108410351</v>
      </c>
      <c r="O133" s="5">
        <v>0</v>
      </c>
      <c r="P133" s="5">
        <v>0.11895553285452749</v>
      </c>
      <c r="Q133" s="4">
        <f>ROUND((L133*100*1)+(N133*100*2)+(O133*100*3),2)</f>
        <v>98.24</v>
      </c>
      <c r="R133" s="5">
        <v>0.35525146709934619</v>
      </c>
      <c r="S133" s="5">
        <v>0</v>
      </c>
      <c r="T133" s="5">
        <v>0.20313995127564091</v>
      </c>
      <c r="U133" s="5">
        <v>4.1492515619466472E-2</v>
      </c>
      <c r="V133" s="5">
        <v>0.40011606600554661</v>
      </c>
      <c r="W133" s="4">
        <f>ROUND((R133*100*1)+(T133*100*2)+(U133*100*3),2)</f>
        <v>88.6</v>
      </c>
      <c r="X133" s="5">
        <v>0.29460997678057238</v>
      </c>
      <c r="Y133" s="5">
        <v>0</v>
      </c>
      <c r="Z133" s="5">
        <v>0.17873328328012561</v>
      </c>
      <c r="AA133" s="5">
        <v>7.2834147314560296E-2</v>
      </c>
      <c r="AB133" s="5">
        <v>0.45382259262474173</v>
      </c>
      <c r="AC133" s="4">
        <f>ROUND((X133*100*1)+(Z133*100*2)+(AA133*100*3),2)</f>
        <v>87.06</v>
      </c>
      <c r="AD133">
        <f>ROUND(AVERAGE(Q133,W133,AC133),2)</f>
        <v>91.3</v>
      </c>
    </row>
    <row r="134" spans="1:30" x14ac:dyDescent="0.2">
      <c r="A134">
        <v>133</v>
      </c>
      <c r="B134">
        <v>2</v>
      </c>
      <c r="C134" t="s">
        <v>668</v>
      </c>
      <c r="D134" t="s">
        <v>669</v>
      </c>
      <c r="E134" t="s">
        <v>664</v>
      </c>
      <c r="F134" t="s">
        <v>670</v>
      </c>
      <c r="G134" t="s">
        <v>671</v>
      </c>
      <c r="H134" t="s">
        <v>67</v>
      </c>
      <c r="I134" t="s">
        <v>67</v>
      </c>
      <c r="J134" t="s">
        <v>34</v>
      </c>
      <c r="K134" t="s">
        <v>567</v>
      </c>
      <c r="L134" s="5">
        <v>0.86649121268701013</v>
      </c>
      <c r="M134" s="5">
        <v>0</v>
      </c>
      <c r="N134" s="5">
        <v>0.1335087873130277</v>
      </c>
      <c r="O134" s="5">
        <v>0</v>
      </c>
      <c r="P134" s="5">
        <v>0</v>
      </c>
      <c r="Q134" s="4">
        <f>ROUND((L134*100*1)+(N134*100*2)+(O134*100*3),2)</f>
        <v>113.35</v>
      </c>
      <c r="R134" s="5">
        <v>0.92763362625359558</v>
      </c>
      <c r="S134" s="5">
        <v>0</v>
      </c>
      <c r="T134" s="5">
        <v>4.0334845686904909E-2</v>
      </c>
      <c r="U134" s="5">
        <v>0</v>
      </c>
      <c r="V134" s="5">
        <v>3.2031528059499492E-2</v>
      </c>
      <c r="W134" s="4">
        <f>ROUND((R134*100*1)+(T134*100*2)+(U134*100*3),2)</f>
        <v>100.83</v>
      </c>
      <c r="X134" s="5">
        <v>0.79938686289754679</v>
      </c>
      <c r="Y134" s="5">
        <v>0</v>
      </c>
      <c r="Z134" s="5">
        <v>6.3207296092154849E-2</v>
      </c>
      <c r="AA134" s="5">
        <v>0</v>
      </c>
      <c r="AB134" s="5">
        <v>0.1374058410102984</v>
      </c>
      <c r="AC134" s="4">
        <f>ROUND((X134*100*1)+(Z134*100*2)+(AA134*100*3),2)</f>
        <v>92.58</v>
      </c>
      <c r="AD134">
        <f>ROUND(AVERAGE(Q134,W134,AC134),2)</f>
        <v>102.25</v>
      </c>
    </row>
    <row r="135" spans="1:30" x14ac:dyDescent="0.2">
      <c r="A135">
        <v>134</v>
      </c>
      <c r="B135">
        <v>1</v>
      </c>
      <c r="C135" t="s">
        <v>672</v>
      </c>
      <c r="D135" t="s">
        <v>673</v>
      </c>
      <c r="E135" t="s">
        <v>170</v>
      </c>
      <c r="F135" t="s">
        <v>674</v>
      </c>
      <c r="G135" t="s">
        <v>675</v>
      </c>
      <c r="H135" t="s">
        <v>67</v>
      </c>
      <c r="I135" t="s">
        <v>67</v>
      </c>
      <c r="J135" t="s">
        <v>26</v>
      </c>
      <c r="K135" t="s">
        <v>585</v>
      </c>
      <c r="L135" s="5">
        <v>0</v>
      </c>
      <c r="M135" s="5">
        <v>0</v>
      </c>
      <c r="N135" s="5">
        <v>0.34688596624222751</v>
      </c>
      <c r="O135" s="5">
        <v>0.57378926994405843</v>
      </c>
      <c r="P135" s="5">
        <v>7.9324763813714005E-2</v>
      </c>
      <c r="Q135" s="4">
        <f>ROUND((L135*100*1)+(N135*100*2)+(O135*100*3),2)</f>
        <v>241.51</v>
      </c>
      <c r="R135" s="5">
        <v>0</v>
      </c>
      <c r="S135" s="5">
        <v>0</v>
      </c>
      <c r="T135" s="5">
        <v>0.32977783486115558</v>
      </c>
      <c r="U135" s="5">
        <v>0.49395404479149041</v>
      </c>
      <c r="V135" s="5">
        <v>0.17626812034735401</v>
      </c>
      <c r="W135" s="4">
        <f>ROUND((R135*100*1)+(T135*100*2)+(U135*100*3),2)</f>
        <v>214.14</v>
      </c>
      <c r="X135" s="5">
        <v>9.9213292211337289E-3</v>
      </c>
      <c r="Y135" s="5">
        <v>0</v>
      </c>
      <c r="Z135" s="5">
        <v>0.25725332479426832</v>
      </c>
      <c r="AA135" s="5">
        <v>0.35291759044495952</v>
      </c>
      <c r="AB135" s="5">
        <v>0.37990775553963863</v>
      </c>
      <c r="AC135" s="4">
        <f>ROUND((X135*100*1)+(Z135*100*2)+(AA135*100*3),2)</f>
        <v>158.32</v>
      </c>
      <c r="AD135">
        <f>ROUND(AVERAGE(Q135,W135,AC135),2)</f>
        <v>204.66</v>
      </c>
    </row>
    <row r="136" spans="1:30" x14ac:dyDescent="0.2">
      <c r="A136">
        <v>135</v>
      </c>
      <c r="B136">
        <v>1</v>
      </c>
      <c r="C136" t="s">
        <v>676</v>
      </c>
      <c r="D136" t="s">
        <v>677</v>
      </c>
      <c r="E136" t="s">
        <v>678</v>
      </c>
      <c r="H136" t="s">
        <v>67</v>
      </c>
      <c r="I136" t="s">
        <v>67</v>
      </c>
      <c r="J136" t="s">
        <v>34</v>
      </c>
      <c r="K136" t="s">
        <v>679</v>
      </c>
      <c r="L136" s="5">
        <v>0</v>
      </c>
      <c r="M136" s="5">
        <v>0</v>
      </c>
      <c r="N136" s="5">
        <v>0.32112790514351008</v>
      </c>
      <c r="O136" s="5">
        <v>0.57764281191156086</v>
      </c>
      <c r="P136" s="5">
        <v>0.1012292829449291</v>
      </c>
      <c r="Q136" s="4">
        <f>ROUND((L136*100*1)+(N136*100*2)+(O136*100*3),2)</f>
        <v>237.52</v>
      </c>
      <c r="R136" s="5">
        <v>1.420805314549812E-3</v>
      </c>
      <c r="S136" s="5">
        <v>0</v>
      </c>
      <c r="T136" s="5">
        <v>0.2319824211940803</v>
      </c>
      <c r="U136" s="5">
        <v>0.13848478625186689</v>
      </c>
      <c r="V136" s="5">
        <v>0.62811198723950301</v>
      </c>
      <c r="W136" s="4">
        <f>ROUND((R136*100*1)+(T136*100*2)+(U136*100*3),2)</f>
        <v>88.08</v>
      </c>
      <c r="X136" s="5">
        <v>5.8102305114398213E-2</v>
      </c>
      <c r="Y136" s="5">
        <v>0</v>
      </c>
      <c r="Z136" s="5">
        <v>0.1358345072013149</v>
      </c>
      <c r="AA136" s="5">
        <v>4.8703347090719593E-2</v>
      </c>
      <c r="AB136" s="5">
        <v>0.75735984059356731</v>
      </c>
      <c r="AC136" s="4">
        <f>ROUND((X136*100*1)+(Z136*100*2)+(AA136*100*3),2)</f>
        <v>47.59</v>
      </c>
      <c r="AD136">
        <f>ROUND(AVERAGE(Q136,W136,AC136),2)</f>
        <v>124.4</v>
      </c>
    </row>
    <row r="137" spans="1:30" x14ac:dyDescent="0.2">
      <c r="A137">
        <v>136</v>
      </c>
      <c r="B137">
        <v>1</v>
      </c>
      <c r="C137" t="s">
        <v>680</v>
      </c>
      <c r="D137" t="s">
        <v>681</v>
      </c>
      <c r="E137" t="s">
        <v>682</v>
      </c>
      <c r="F137" t="s">
        <v>683</v>
      </c>
      <c r="G137" t="s">
        <v>684</v>
      </c>
      <c r="H137" t="s">
        <v>67</v>
      </c>
      <c r="I137" t="s">
        <v>67</v>
      </c>
      <c r="J137" t="s">
        <v>34</v>
      </c>
      <c r="K137" t="s">
        <v>661</v>
      </c>
      <c r="L137" s="5">
        <v>0</v>
      </c>
      <c r="M137" s="5">
        <v>0</v>
      </c>
      <c r="N137" s="5">
        <v>0.1887206448963443</v>
      </c>
      <c r="O137" s="5">
        <v>2.1064943861140419E-2</v>
      </c>
      <c r="P137" s="5">
        <v>0.79021441124251524</v>
      </c>
      <c r="Q137" s="4">
        <f>ROUND((L137*100*1)+(N137*100*2)+(O137*100*3),2)</f>
        <v>44.06</v>
      </c>
      <c r="R137" s="5">
        <v>2.7454624951327731E-4</v>
      </c>
      <c r="S137" s="5">
        <v>0</v>
      </c>
      <c r="T137" s="5">
        <v>0.29124425841024509</v>
      </c>
      <c r="U137" s="5">
        <v>0.19111843664509079</v>
      </c>
      <c r="V137" s="5">
        <v>0.5173627586951508</v>
      </c>
      <c r="W137" s="4">
        <f>ROUND((R137*100*1)+(T137*100*2)+(U137*100*3),2)</f>
        <v>115.61</v>
      </c>
      <c r="X137" s="5">
        <v>1.3021342576837571E-2</v>
      </c>
      <c r="Y137" s="5">
        <v>0</v>
      </c>
      <c r="Z137" s="5">
        <v>0.26409722562246152</v>
      </c>
      <c r="AA137" s="5">
        <v>0.1616807575505152</v>
      </c>
      <c r="AB137" s="5">
        <v>0.56120067425018572</v>
      </c>
      <c r="AC137" s="4">
        <f>ROUND((X137*100*1)+(Z137*100*2)+(AA137*100*3),2)</f>
        <v>102.63</v>
      </c>
      <c r="AD137">
        <f>ROUND(AVERAGE(Q137,W137,AC137),2)</f>
        <v>87.43</v>
      </c>
    </row>
    <row r="138" spans="1:30" x14ac:dyDescent="0.2">
      <c r="A138">
        <v>137</v>
      </c>
      <c r="B138">
        <v>1</v>
      </c>
      <c r="C138" t="s">
        <v>685</v>
      </c>
      <c r="D138" t="s">
        <v>686</v>
      </c>
      <c r="E138" t="s">
        <v>687</v>
      </c>
      <c r="H138" t="s">
        <v>67</v>
      </c>
      <c r="I138" t="s">
        <v>67</v>
      </c>
      <c r="J138" t="s">
        <v>92</v>
      </c>
      <c r="K138" t="s">
        <v>167</v>
      </c>
      <c r="L138" s="5">
        <v>0</v>
      </c>
      <c r="M138" s="5">
        <v>0</v>
      </c>
      <c r="N138" s="5">
        <v>0.45249208290879539</v>
      </c>
      <c r="O138" s="5">
        <v>9.5610861161420743E-2</v>
      </c>
      <c r="P138" s="5">
        <v>0.45189705592978391</v>
      </c>
      <c r="Q138" s="4">
        <f>ROUND((L138*100*1)+(N138*100*2)+(O138*100*3),2)</f>
        <v>119.18</v>
      </c>
      <c r="R138" s="5">
        <v>7.6733468208518382E-2</v>
      </c>
      <c r="S138" s="5">
        <v>0</v>
      </c>
      <c r="T138" s="5">
        <v>0.20467944040766381</v>
      </c>
      <c r="U138" s="5">
        <v>1.534045701996524E-2</v>
      </c>
      <c r="V138" s="5">
        <v>0.70324663436385249</v>
      </c>
      <c r="W138" s="4">
        <f>ROUND((R138*100*1)+(T138*100*2)+(U138*100*3),2)</f>
        <v>53.21</v>
      </c>
      <c r="X138" s="5">
        <v>0.31929135011740289</v>
      </c>
      <c r="Y138" s="5">
        <v>0</v>
      </c>
      <c r="Z138" s="5">
        <v>0.15390867228584171</v>
      </c>
      <c r="AA138" s="5">
        <v>5.4302424680353449E-3</v>
      </c>
      <c r="AB138" s="5">
        <v>0.52136973512871998</v>
      </c>
      <c r="AC138" s="4">
        <f>ROUND((X138*100*1)+(Z138*100*2)+(AA138*100*3),2)</f>
        <v>64.34</v>
      </c>
      <c r="AD138">
        <f>ROUND(AVERAGE(Q138,W138,AC138),2)</f>
        <v>78.91</v>
      </c>
    </row>
    <row r="139" spans="1:30" x14ac:dyDescent="0.2">
      <c r="A139">
        <v>138</v>
      </c>
      <c r="B139">
        <v>1</v>
      </c>
      <c r="C139" t="s">
        <v>688</v>
      </c>
      <c r="D139" t="s">
        <v>689</v>
      </c>
      <c r="E139" t="s">
        <v>687</v>
      </c>
      <c r="F139" t="s">
        <v>690</v>
      </c>
      <c r="G139" t="s">
        <v>691</v>
      </c>
      <c r="H139" t="s">
        <v>67</v>
      </c>
      <c r="I139" t="s">
        <v>67</v>
      </c>
      <c r="J139" t="s">
        <v>34</v>
      </c>
      <c r="K139" t="s">
        <v>692</v>
      </c>
      <c r="L139" s="5">
        <v>0.98849271249867543</v>
      </c>
      <c r="M139" s="5">
        <v>0</v>
      </c>
      <c r="N139" s="5">
        <v>1.150728750133047E-2</v>
      </c>
      <c r="O139" s="5">
        <v>0</v>
      </c>
      <c r="P139" s="5">
        <v>0</v>
      </c>
      <c r="Q139" s="4">
        <f>ROUND((L139*100*1)+(N139*100*2)+(O139*100*3),2)</f>
        <v>101.15</v>
      </c>
      <c r="R139" s="5">
        <v>0.93938973749160792</v>
      </c>
      <c r="S139" s="5">
        <v>0</v>
      </c>
      <c r="T139" s="5">
        <v>3.6460488039122857E-2</v>
      </c>
      <c r="U139" s="5">
        <v>0</v>
      </c>
      <c r="V139" s="5">
        <v>2.4149774469269251E-2</v>
      </c>
      <c r="W139" s="4">
        <f>ROUND((R139*100*1)+(T139*100*2)+(U139*100*3),2)</f>
        <v>101.23</v>
      </c>
      <c r="X139" s="5">
        <v>0.76882251766541976</v>
      </c>
      <c r="Y139" s="5">
        <v>0</v>
      </c>
      <c r="Z139" s="5">
        <v>9.948536173052086E-2</v>
      </c>
      <c r="AA139" s="5">
        <v>3.9020971183892621E-3</v>
      </c>
      <c r="AB139" s="5">
        <v>0.12779002348567001</v>
      </c>
      <c r="AC139" s="4">
        <f>ROUND((X139*100*1)+(Z139*100*2)+(AA139*100*3),2)</f>
        <v>97.95</v>
      </c>
      <c r="AD139">
        <f>ROUND(AVERAGE(Q139,W139,AC139),2)</f>
        <v>100.11</v>
      </c>
    </row>
    <row r="140" spans="1:30" x14ac:dyDescent="0.2">
      <c r="A140">
        <v>139</v>
      </c>
      <c r="B140">
        <v>2</v>
      </c>
      <c r="C140" t="s">
        <v>693</v>
      </c>
      <c r="D140" t="s">
        <v>694</v>
      </c>
      <c r="E140" t="s">
        <v>695</v>
      </c>
      <c r="F140" t="s">
        <v>696</v>
      </c>
      <c r="G140" t="s">
        <v>697</v>
      </c>
      <c r="H140" t="s">
        <v>67</v>
      </c>
      <c r="I140" t="s">
        <v>67</v>
      </c>
      <c r="J140" t="s">
        <v>26</v>
      </c>
      <c r="K140" t="s">
        <v>161</v>
      </c>
      <c r="L140" s="5">
        <v>0</v>
      </c>
      <c r="M140" s="5">
        <v>0</v>
      </c>
      <c r="N140" s="5">
        <v>0.38998301669253987</v>
      </c>
      <c r="O140" s="5">
        <v>0.25906706979476529</v>
      </c>
      <c r="P140" s="5">
        <v>0.35094991351269478</v>
      </c>
      <c r="Q140" s="4">
        <f>ROUND((L140*100*1)+(N140*100*2)+(O140*100*3),2)</f>
        <v>155.72</v>
      </c>
      <c r="R140" s="5">
        <v>3.0143244241576089E-2</v>
      </c>
      <c r="S140" s="5">
        <v>0</v>
      </c>
      <c r="T140" s="5">
        <v>0.54395398103413761</v>
      </c>
      <c r="U140" s="5">
        <v>0.19953151349794371</v>
      </c>
      <c r="V140" s="5">
        <v>0.22637126122634249</v>
      </c>
      <c r="W140" s="4">
        <f>ROUND((R140*100*1)+(T140*100*2)+(U140*100*3),2)</f>
        <v>171.66</v>
      </c>
      <c r="X140" s="5">
        <v>1.6087814418035511E-2</v>
      </c>
      <c r="Y140" s="5">
        <v>0</v>
      </c>
      <c r="Z140" s="5">
        <v>0.48211425955886789</v>
      </c>
      <c r="AA140" s="5">
        <v>0.28952520405506138</v>
      </c>
      <c r="AB140" s="5">
        <v>0.21227272196803509</v>
      </c>
      <c r="AC140" s="4">
        <f>ROUND((X140*100*1)+(Z140*100*2)+(AA140*100*3),2)</f>
        <v>184.89</v>
      </c>
      <c r="AD140">
        <f>ROUND(AVERAGE(Q140,W140,AC140),2)</f>
        <v>170.76</v>
      </c>
    </row>
    <row r="141" spans="1:30" x14ac:dyDescent="0.2">
      <c r="A141">
        <v>140</v>
      </c>
      <c r="B141">
        <v>1</v>
      </c>
      <c r="C141" t="s">
        <v>698</v>
      </c>
      <c r="D141" t="s">
        <v>699</v>
      </c>
      <c r="E141" t="s">
        <v>700</v>
      </c>
      <c r="H141" t="s">
        <v>80</v>
      </c>
      <c r="I141" t="s">
        <v>701</v>
      </c>
      <c r="J141" t="s">
        <v>34</v>
      </c>
      <c r="K141" t="s">
        <v>635</v>
      </c>
      <c r="L141" s="5">
        <v>0</v>
      </c>
      <c r="M141" s="5">
        <v>0</v>
      </c>
      <c r="N141" s="5">
        <v>0.45836736254773669</v>
      </c>
      <c r="O141" s="5">
        <v>0.39552013385905638</v>
      </c>
      <c r="P141" s="5">
        <v>0.14611250359320679</v>
      </c>
      <c r="Q141" s="4">
        <f>ROUND((L141*100*1)+(N141*100*2)+(O141*100*3),2)</f>
        <v>210.33</v>
      </c>
      <c r="R141" s="5">
        <v>1.6156374207119011E-2</v>
      </c>
      <c r="S141" s="5">
        <v>0</v>
      </c>
      <c r="T141" s="5">
        <v>0.17356405490921481</v>
      </c>
      <c r="U141" s="5">
        <v>6.5590107559540728E-2</v>
      </c>
      <c r="V141" s="5">
        <v>0.74468946332412533</v>
      </c>
      <c r="W141" s="4">
        <f>ROUND((R141*100*1)+(T141*100*2)+(U141*100*3),2)</f>
        <v>56.01</v>
      </c>
      <c r="X141" s="5">
        <v>5.4247719939574952E-2</v>
      </c>
      <c r="Y141" s="5">
        <v>0</v>
      </c>
      <c r="Z141" s="5">
        <v>0.125194415926697</v>
      </c>
      <c r="AA141" s="5">
        <v>2.2844606126624228E-2</v>
      </c>
      <c r="AB141" s="5">
        <v>0.7977132580071038</v>
      </c>
      <c r="AC141" s="4">
        <f>ROUND((X141*100*1)+(Z141*100*2)+(AA141*100*3),2)</f>
        <v>37.32</v>
      </c>
      <c r="AD141">
        <f>ROUND(AVERAGE(Q141,W141,AC141),2)</f>
        <v>101.22</v>
      </c>
    </row>
    <row r="142" spans="1:30" x14ac:dyDescent="0.2">
      <c r="A142">
        <v>141</v>
      </c>
      <c r="B142">
        <v>1</v>
      </c>
      <c r="C142" t="s">
        <v>702</v>
      </c>
      <c r="D142" t="s">
        <v>703</v>
      </c>
      <c r="E142" t="s">
        <v>704</v>
      </c>
      <c r="H142" t="s">
        <v>25</v>
      </c>
      <c r="I142" t="s">
        <v>25</v>
      </c>
      <c r="J142" t="s">
        <v>34</v>
      </c>
      <c r="K142" t="s">
        <v>705</v>
      </c>
      <c r="L142" s="5">
        <v>0</v>
      </c>
      <c r="M142" s="5">
        <v>0</v>
      </c>
      <c r="N142" s="5">
        <v>0.14837820852201961</v>
      </c>
      <c r="O142" s="5">
        <v>5.2684395158386268E-3</v>
      </c>
      <c r="P142" s="5">
        <v>0.84635335196214179</v>
      </c>
      <c r="Q142" s="4">
        <f>ROUND((L142*100*1)+(N142*100*2)+(O142*100*3),2)</f>
        <v>31.26</v>
      </c>
      <c r="R142" s="5">
        <v>1.437042610118657E-2</v>
      </c>
      <c r="S142" s="5">
        <v>0</v>
      </c>
      <c r="T142" s="5">
        <v>0.1215043924836938</v>
      </c>
      <c r="U142" s="5">
        <v>8.2341709552797543E-2</v>
      </c>
      <c r="V142" s="5">
        <v>0.78178347186232222</v>
      </c>
      <c r="W142" s="4">
        <f>ROUND((R142*100*1)+(T142*100*2)+(U142*100*3),2)</f>
        <v>50.44</v>
      </c>
      <c r="X142" s="5">
        <v>2.9980269015704671E-2</v>
      </c>
      <c r="Y142" s="5">
        <v>0</v>
      </c>
      <c r="Z142" s="5">
        <v>0.1317105034293497</v>
      </c>
      <c r="AA142" s="5">
        <v>6.4659082083118422E-2</v>
      </c>
      <c r="AB142" s="5">
        <v>0.7736501454718272</v>
      </c>
      <c r="AC142" s="4">
        <f>ROUND((X142*100*1)+(Z142*100*2)+(AA142*100*3),2)</f>
        <v>48.74</v>
      </c>
      <c r="AD142">
        <f>ROUND(AVERAGE(Q142,W142,AC142),2)</f>
        <v>43.48</v>
      </c>
    </row>
    <row r="143" spans="1:30" x14ac:dyDescent="0.2">
      <c r="A143">
        <v>142</v>
      </c>
      <c r="B143">
        <v>1</v>
      </c>
      <c r="C143" t="s">
        <v>706</v>
      </c>
      <c r="D143" t="s">
        <v>707</v>
      </c>
      <c r="E143" t="s">
        <v>708</v>
      </c>
      <c r="F143" t="s">
        <v>709</v>
      </c>
      <c r="G143" t="s">
        <v>710</v>
      </c>
      <c r="H143" t="s">
        <v>67</v>
      </c>
      <c r="I143" t="s">
        <v>67</v>
      </c>
      <c r="J143" t="s">
        <v>26</v>
      </c>
      <c r="K143" t="s">
        <v>277</v>
      </c>
      <c r="L143" s="5">
        <v>0</v>
      </c>
      <c r="M143" s="5">
        <v>0</v>
      </c>
      <c r="N143" s="5">
        <v>0.33431213499340662</v>
      </c>
      <c r="O143" s="5">
        <v>0.66360583850507671</v>
      </c>
      <c r="P143" s="5">
        <v>2.0820265015166761E-3</v>
      </c>
      <c r="Q143" s="4">
        <f>ROUND((L143*100*1)+(N143*100*2)+(O143*100*3),2)</f>
        <v>265.94</v>
      </c>
      <c r="R143" s="5">
        <v>0</v>
      </c>
      <c r="S143" s="5">
        <v>0</v>
      </c>
      <c r="T143" s="5">
        <v>0.29258746790861062</v>
      </c>
      <c r="U143" s="5">
        <v>0.51652534248019299</v>
      </c>
      <c r="V143" s="5">
        <v>0.19088718961119641</v>
      </c>
      <c r="W143" s="4">
        <f>ROUND((R143*100*1)+(T143*100*2)+(U143*100*3),2)</f>
        <v>213.48</v>
      </c>
      <c r="X143" s="5">
        <v>3.7496887860226949E-4</v>
      </c>
      <c r="Y143" s="5">
        <v>0</v>
      </c>
      <c r="Z143" s="5">
        <v>0.26834334066670468</v>
      </c>
      <c r="AA143" s="5">
        <v>0.43128715690073988</v>
      </c>
      <c r="AB143" s="5">
        <v>0.29999453355395311</v>
      </c>
      <c r="AC143" s="4">
        <f>ROUND((X143*100*1)+(Z143*100*2)+(AA143*100*3),2)</f>
        <v>183.09</v>
      </c>
      <c r="AD143">
        <f>ROUND(AVERAGE(Q143,W143,AC143),2)</f>
        <v>220.84</v>
      </c>
    </row>
    <row r="144" spans="1:30" x14ac:dyDescent="0.2">
      <c r="A144">
        <v>143</v>
      </c>
      <c r="B144">
        <v>2</v>
      </c>
      <c r="C144" t="s">
        <v>711</v>
      </c>
      <c r="D144" t="s">
        <v>712</v>
      </c>
      <c r="E144" t="s">
        <v>708</v>
      </c>
      <c r="F144" t="s">
        <v>713</v>
      </c>
      <c r="G144" t="s">
        <v>714</v>
      </c>
      <c r="H144" t="s">
        <v>67</v>
      </c>
      <c r="I144" t="s">
        <v>67</v>
      </c>
      <c r="J144" t="s">
        <v>92</v>
      </c>
      <c r="K144" t="s">
        <v>661</v>
      </c>
      <c r="L144" s="5">
        <v>0</v>
      </c>
      <c r="M144" s="5">
        <v>0</v>
      </c>
      <c r="N144" s="5">
        <v>0.42205087563700677</v>
      </c>
      <c r="O144" s="5">
        <v>0.57794912436263446</v>
      </c>
      <c r="P144" s="5">
        <v>3.5882408155885059E-13</v>
      </c>
      <c r="Q144" s="4">
        <f>ROUND((L144*100*1)+(N144*100*2)+(O144*100*3),2)</f>
        <v>257.79000000000002</v>
      </c>
      <c r="R144" s="5">
        <v>0</v>
      </c>
      <c r="S144" s="5">
        <v>0</v>
      </c>
      <c r="T144" s="5">
        <v>0.37603358027737721</v>
      </c>
      <c r="U144" s="5">
        <v>0.62396641972253808</v>
      </c>
      <c r="V144" s="5">
        <v>8.4710016778899444E-14</v>
      </c>
      <c r="W144" s="4">
        <f>ROUND((R144*100*1)+(T144*100*2)+(U144*100*3),2)</f>
        <v>262.39999999999998</v>
      </c>
      <c r="X144" s="5">
        <v>0</v>
      </c>
      <c r="Y144" s="5">
        <v>0</v>
      </c>
      <c r="Z144" s="5">
        <v>0.37726637088256298</v>
      </c>
      <c r="AA144" s="5">
        <v>0.60188854420319171</v>
      </c>
      <c r="AB144" s="5">
        <v>2.084508491424519E-2</v>
      </c>
      <c r="AC144" s="4">
        <f>ROUND((X144*100*1)+(Z144*100*2)+(AA144*100*3),2)</f>
        <v>256.02</v>
      </c>
      <c r="AD144">
        <f>ROUND(AVERAGE(Q144,W144,AC144),2)</f>
        <v>258.74</v>
      </c>
    </row>
    <row r="145" spans="1:30" x14ac:dyDescent="0.2">
      <c r="A145">
        <v>144</v>
      </c>
      <c r="B145">
        <v>1</v>
      </c>
      <c r="C145" t="s">
        <v>715</v>
      </c>
      <c r="D145" t="s">
        <v>716</v>
      </c>
      <c r="E145" t="s">
        <v>708</v>
      </c>
      <c r="F145" t="s">
        <v>717</v>
      </c>
      <c r="G145" t="s">
        <v>718</v>
      </c>
      <c r="H145" t="s">
        <v>67</v>
      </c>
      <c r="I145" t="s">
        <v>67</v>
      </c>
      <c r="J145" t="s">
        <v>26</v>
      </c>
      <c r="K145" t="s">
        <v>567</v>
      </c>
      <c r="L145" s="5">
        <v>0</v>
      </c>
      <c r="M145" s="5">
        <v>0</v>
      </c>
      <c r="N145" s="5">
        <v>0.1444041625362284</v>
      </c>
      <c r="O145" s="5">
        <v>0</v>
      </c>
      <c r="P145" s="5">
        <v>0.85559583746377155</v>
      </c>
      <c r="Q145" s="4">
        <f>ROUND((L145*100*1)+(N145*100*2)+(O145*100*3),2)</f>
        <v>28.88</v>
      </c>
      <c r="R145" s="5">
        <v>1.436594480190345E-2</v>
      </c>
      <c r="S145" s="5">
        <v>0</v>
      </c>
      <c r="T145" s="5">
        <v>0.26614237985133488</v>
      </c>
      <c r="U145" s="5">
        <v>0.14880912878657171</v>
      </c>
      <c r="V145" s="5">
        <v>0.57068254656018991</v>
      </c>
      <c r="W145" s="4">
        <f>ROUND((R145*100*1)+(T145*100*2)+(U145*100*3),2)</f>
        <v>99.31</v>
      </c>
      <c r="X145" s="5">
        <v>6.6187872428246823E-3</v>
      </c>
      <c r="Y145" s="5">
        <v>0</v>
      </c>
      <c r="Z145" s="5">
        <v>0.29233153033688719</v>
      </c>
      <c r="AA145" s="5">
        <v>0.22337261595883379</v>
      </c>
      <c r="AB145" s="5">
        <v>0.47767706646145441</v>
      </c>
      <c r="AC145" s="4">
        <f>ROUND((X145*100*1)+(Z145*100*2)+(AA145*100*3),2)</f>
        <v>126.14</v>
      </c>
      <c r="AD145">
        <f>ROUND(AVERAGE(Q145,W145,AC145),2)</f>
        <v>84.78</v>
      </c>
    </row>
    <row r="146" spans="1:30" x14ac:dyDescent="0.2">
      <c r="A146">
        <v>145</v>
      </c>
      <c r="B146">
        <v>1</v>
      </c>
      <c r="C146" t="s">
        <v>719</v>
      </c>
      <c r="D146" t="s">
        <v>720</v>
      </c>
      <c r="E146" t="s">
        <v>721</v>
      </c>
      <c r="F146" t="s">
        <v>722</v>
      </c>
      <c r="G146" t="s">
        <v>723</v>
      </c>
      <c r="H146" t="s">
        <v>25</v>
      </c>
      <c r="I146" t="s">
        <v>25</v>
      </c>
      <c r="J146" t="s">
        <v>34</v>
      </c>
      <c r="K146" t="s">
        <v>363</v>
      </c>
      <c r="L146" s="5">
        <v>0</v>
      </c>
      <c r="M146" s="5">
        <v>0</v>
      </c>
      <c r="N146" s="5">
        <v>0.25109730180680978</v>
      </c>
      <c r="O146" s="5">
        <v>0.58397602976304264</v>
      </c>
      <c r="P146" s="5">
        <v>0.16492666843014761</v>
      </c>
      <c r="Q146" s="4">
        <f>ROUND((L146*100*1)+(N146*100*2)+(O146*100*3),2)</f>
        <v>225.41</v>
      </c>
      <c r="R146" s="5">
        <v>8.013964334213336E-2</v>
      </c>
      <c r="S146" s="5">
        <v>0</v>
      </c>
      <c r="T146" s="5">
        <v>0.25301658469378158</v>
      </c>
      <c r="U146" s="5">
        <v>0.34169277947302162</v>
      </c>
      <c r="V146" s="5">
        <v>0.32515099249106338</v>
      </c>
      <c r="W146" s="4">
        <f>ROUND((R146*100*1)+(T146*100*2)+(U146*100*3),2)</f>
        <v>161.13</v>
      </c>
      <c r="X146" s="5">
        <v>0.2101372039829521</v>
      </c>
      <c r="Y146" s="5">
        <v>0</v>
      </c>
      <c r="Z146" s="5">
        <v>0.21035032225681211</v>
      </c>
      <c r="AA146" s="5">
        <v>0.14155658398404589</v>
      </c>
      <c r="AB146" s="5">
        <v>0.43795588977618988</v>
      </c>
      <c r="AC146" s="4">
        <f>ROUND((X146*100*1)+(Z146*100*2)+(AA146*100*3),2)</f>
        <v>105.55</v>
      </c>
      <c r="AD146">
        <f>ROUND(AVERAGE(Q146,W146,AC146),2)</f>
        <v>164.03</v>
      </c>
    </row>
    <row r="147" spans="1:30" x14ac:dyDescent="0.2">
      <c r="A147">
        <v>146</v>
      </c>
      <c r="B147">
        <v>2</v>
      </c>
      <c r="C147" t="s">
        <v>724</v>
      </c>
      <c r="D147" t="s">
        <v>725</v>
      </c>
      <c r="E147" t="s">
        <v>726</v>
      </c>
      <c r="F147" t="s">
        <v>727</v>
      </c>
      <c r="G147" t="s">
        <v>728</v>
      </c>
      <c r="H147" t="s">
        <v>25</v>
      </c>
      <c r="I147" t="s">
        <v>25</v>
      </c>
      <c r="J147" t="s">
        <v>92</v>
      </c>
      <c r="K147" t="s">
        <v>729</v>
      </c>
      <c r="L147" s="5">
        <v>0</v>
      </c>
      <c r="M147" s="5">
        <v>0</v>
      </c>
      <c r="N147" s="5">
        <v>4.5830213581116476E-3</v>
      </c>
      <c r="O147" s="5">
        <v>5.2931748541425086E-4</v>
      </c>
      <c r="P147" s="5">
        <v>0.99488766115647409</v>
      </c>
      <c r="Q147" s="4">
        <f>ROUND((L147*100*1)+(N147*100*2)+(O147*100*3),2)</f>
        <v>1.08</v>
      </c>
      <c r="R147" s="5">
        <v>3.9398086589317108E-2</v>
      </c>
      <c r="S147" s="5">
        <v>0</v>
      </c>
      <c r="T147" s="5">
        <v>7.4833716719178503E-2</v>
      </c>
      <c r="U147" s="5">
        <v>1.2807409347310559E-2</v>
      </c>
      <c r="V147" s="5">
        <v>0.8729607873441938</v>
      </c>
      <c r="W147" s="4">
        <f>ROUND((R147*100*1)+(T147*100*2)+(U147*100*3),2)</f>
        <v>22.75</v>
      </c>
      <c r="X147" s="5">
        <v>6.7601229259237866E-2</v>
      </c>
      <c r="Y147" s="5">
        <v>0</v>
      </c>
      <c r="Z147" s="5">
        <v>6.6081293611017056E-2</v>
      </c>
      <c r="AA147" s="5">
        <v>9.4581036229243343E-3</v>
      </c>
      <c r="AB147" s="5">
        <v>0.85685937350682073</v>
      </c>
      <c r="AC147" s="4">
        <f>ROUND((X147*100*1)+(Z147*100*2)+(AA147*100*3),2)</f>
        <v>22.81</v>
      </c>
      <c r="AD147">
        <f>ROUND(AVERAGE(Q147,W147,AC147),2)</f>
        <v>15.55</v>
      </c>
    </row>
    <row r="148" spans="1:30" x14ac:dyDescent="0.2">
      <c r="A148">
        <v>147</v>
      </c>
      <c r="B148">
        <v>1</v>
      </c>
      <c r="C148" t="s">
        <v>730</v>
      </c>
      <c r="D148" t="s">
        <v>731</v>
      </c>
      <c r="E148" t="s">
        <v>732</v>
      </c>
      <c r="F148" t="s">
        <v>733</v>
      </c>
      <c r="G148" t="s">
        <v>734</v>
      </c>
      <c r="H148" t="s">
        <v>67</v>
      </c>
      <c r="I148" t="s">
        <v>67</v>
      </c>
      <c r="J148" t="s">
        <v>34</v>
      </c>
      <c r="K148" t="s">
        <v>149</v>
      </c>
      <c r="L148" s="5">
        <v>4.0509870787975917E-2</v>
      </c>
      <c r="M148" s="5">
        <v>0</v>
      </c>
      <c r="N148" s="5">
        <v>8.1106102402424038E-2</v>
      </c>
      <c r="O148" s="5">
        <v>0.52864514486431824</v>
      </c>
      <c r="P148" s="5">
        <v>0.3497388819452818</v>
      </c>
      <c r="Q148" s="4">
        <f>ROUND((L148*100*1)+(N148*100*2)+(O148*100*3),2)</f>
        <v>178.87</v>
      </c>
      <c r="R148" s="5">
        <v>0.220918922089719</v>
      </c>
      <c r="S148" s="5">
        <v>0</v>
      </c>
      <c r="T148" s="5">
        <v>0.19394893543936381</v>
      </c>
      <c r="U148" s="5">
        <v>0.26770532716454642</v>
      </c>
      <c r="V148" s="5">
        <v>0.31742681530637079</v>
      </c>
      <c r="W148" s="4">
        <f>ROUND((R148*100*1)+(T148*100*2)+(U148*100*3),2)</f>
        <v>141.19</v>
      </c>
      <c r="X148" s="5">
        <v>0.23064246311253589</v>
      </c>
      <c r="Y148" s="5">
        <v>0</v>
      </c>
      <c r="Z148" s="5">
        <v>0.20038766813248571</v>
      </c>
      <c r="AA148" s="5">
        <v>0.26978941035580301</v>
      </c>
      <c r="AB148" s="5">
        <v>0.29918045839917529</v>
      </c>
      <c r="AC148" s="4">
        <f>ROUND((X148*100*1)+(Z148*100*2)+(AA148*100*3),2)</f>
        <v>144.08000000000001</v>
      </c>
      <c r="AD148">
        <f>ROUND(AVERAGE(Q148,W148,AC148),2)</f>
        <v>154.71</v>
      </c>
    </row>
    <row r="149" spans="1:30" x14ac:dyDescent="0.2">
      <c r="A149">
        <v>148</v>
      </c>
      <c r="B149">
        <v>1</v>
      </c>
      <c r="C149" t="s">
        <v>735</v>
      </c>
      <c r="D149" t="s">
        <v>736</v>
      </c>
      <c r="E149" t="s">
        <v>737</v>
      </c>
      <c r="H149" t="s">
        <v>25</v>
      </c>
      <c r="I149" t="s">
        <v>25</v>
      </c>
      <c r="J149" t="s">
        <v>34</v>
      </c>
      <c r="K149" t="s">
        <v>705</v>
      </c>
      <c r="L149" s="5">
        <v>6.4129301111105919E-3</v>
      </c>
      <c r="M149" s="5">
        <v>0</v>
      </c>
      <c r="N149" s="5">
        <v>0.28123430741266109</v>
      </c>
      <c r="O149" s="5">
        <v>0.69179764553342105</v>
      </c>
      <c r="P149" s="5">
        <v>2.055511694280732E-2</v>
      </c>
      <c r="Q149" s="4">
        <f>ROUND((L149*100*1)+(N149*100*2)+(O149*100*3),2)</f>
        <v>264.43</v>
      </c>
      <c r="R149" s="5">
        <v>0.17006013473148629</v>
      </c>
      <c r="S149" s="5">
        <v>0</v>
      </c>
      <c r="T149" s="5">
        <v>0.25629721917768822</v>
      </c>
      <c r="U149" s="5">
        <v>0.38327985872334269</v>
      </c>
      <c r="V149" s="5">
        <v>0.1903627873674828</v>
      </c>
      <c r="W149" s="4">
        <f>ROUND((R149*100*1)+(T149*100*2)+(U149*100*3),2)</f>
        <v>183.25</v>
      </c>
      <c r="X149" s="5">
        <v>0.27158291751902458</v>
      </c>
      <c r="Y149" s="5">
        <v>0</v>
      </c>
      <c r="Z149" s="5">
        <v>0.17826099510950491</v>
      </c>
      <c r="AA149" s="5">
        <v>0.1877536473136987</v>
      </c>
      <c r="AB149" s="5">
        <v>0.36240244005777189</v>
      </c>
      <c r="AC149" s="4">
        <f>ROUND((X149*100*1)+(Z149*100*2)+(AA149*100*3),2)</f>
        <v>119.14</v>
      </c>
      <c r="AD149">
        <f>ROUND(AVERAGE(Q149,W149,AC149),2)</f>
        <v>188.94</v>
      </c>
    </row>
    <row r="150" spans="1:30" x14ac:dyDescent="0.2">
      <c r="A150">
        <v>149</v>
      </c>
      <c r="B150">
        <v>1</v>
      </c>
      <c r="C150" t="s">
        <v>738</v>
      </c>
      <c r="D150" t="s">
        <v>739</v>
      </c>
      <c r="E150" t="s">
        <v>291</v>
      </c>
      <c r="F150" t="s">
        <v>740</v>
      </c>
      <c r="G150" t="s">
        <v>741</v>
      </c>
      <c r="H150" t="s">
        <v>67</v>
      </c>
      <c r="I150" t="s">
        <v>67</v>
      </c>
      <c r="J150" t="s">
        <v>34</v>
      </c>
      <c r="K150" t="s">
        <v>204</v>
      </c>
      <c r="L150" s="5">
        <v>0</v>
      </c>
      <c r="M150" s="5">
        <v>0</v>
      </c>
      <c r="N150" s="5">
        <v>0.33835510947058622</v>
      </c>
      <c r="O150" s="5">
        <v>0.5672631683800452</v>
      </c>
      <c r="P150" s="5">
        <v>9.4381722149368574E-2</v>
      </c>
      <c r="Q150" s="4">
        <f>ROUND((L150*100*1)+(N150*100*2)+(O150*100*3),2)</f>
        <v>237.85</v>
      </c>
      <c r="R150" s="5">
        <v>3.7499694280933568E-2</v>
      </c>
      <c r="S150" s="5">
        <v>0</v>
      </c>
      <c r="T150" s="5">
        <v>0.25208998936806631</v>
      </c>
      <c r="U150" s="5">
        <v>0.30540342178484448</v>
      </c>
      <c r="V150" s="5">
        <v>0.40500689456615552</v>
      </c>
      <c r="W150" s="4">
        <f>ROUND((R150*100*1)+(T150*100*2)+(U150*100*3),2)</f>
        <v>145.79</v>
      </c>
      <c r="X150" s="5">
        <v>5.7625199512272393E-2</v>
      </c>
      <c r="Y150" s="5">
        <v>0</v>
      </c>
      <c r="Z150" s="5">
        <v>0.24722468800491651</v>
      </c>
      <c r="AA150" s="5">
        <v>0.31404996231776738</v>
      </c>
      <c r="AB150" s="5">
        <v>0.38110015016504373</v>
      </c>
      <c r="AC150" s="4">
        <f>ROUND((X150*100*1)+(Z150*100*2)+(AA150*100*3),2)</f>
        <v>149.41999999999999</v>
      </c>
      <c r="AD150">
        <f>ROUND(AVERAGE(Q150,W150,AC150),2)</f>
        <v>177.69</v>
      </c>
    </row>
    <row r="151" spans="1:30" x14ac:dyDescent="0.2">
      <c r="A151">
        <v>150</v>
      </c>
      <c r="B151">
        <v>1</v>
      </c>
      <c r="C151" t="s">
        <v>742</v>
      </c>
      <c r="D151" t="s">
        <v>743</v>
      </c>
      <c r="E151" t="s">
        <v>291</v>
      </c>
      <c r="F151" t="s">
        <v>744</v>
      </c>
      <c r="G151" t="s">
        <v>745</v>
      </c>
      <c r="H151" t="s">
        <v>67</v>
      </c>
      <c r="I151" t="s">
        <v>67</v>
      </c>
      <c r="J151" t="s">
        <v>26</v>
      </c>
      <c r="K151" t="s">
        <v>149</v>
      </c>
      <c r="L151" s="5">
        <v>0</v>
      </c>
      <c r="M151" s="5">
        <v>0</v>
      </c>
      <c r="N151" s="5">
        <v>0.29136378010143832</v>
      </c>
      <c r="O151" s="5">
        <v>0.70863621989844783</v>
      </c>
      <c r="P151" s="5">
        <v>1.1390888232654111E-13</v>
      </c>
      <c r="Q151" s="4">
        <f>ROUND((L151*100*1)+(N151*100*2)+(O151*100*3),2)</f>
        <v>270.86</v>
      </c>
      <c r="R151" s="5">
        <v>3.2361630486991817E-2</v>
      </c>
      <c r="S151" s="5">
        <v>0</v>
      </c>
      <c r="T151" s="5">
        <v>0.29066439676567779</v>
      </c>
      <c r="U151" s="5">
        <v>0.58433743409990291</v>
      </c>
      <c r="V151" s="5">
        <v>9.2636538647427491E-2</v>
      </c>
      <c r="W151" s="4">
        <f>ROUND((R151*100*1)+(T151*100*2)+(U151*100*3),2)</f>
        <v>236.67</v>
      </c>
      <c r="X151" s="5">
        <v>4.5638870377361022E-2</v>
      </c>
      <c r="Y151" s="5">
        <v>6.8823498967444142E-3</v>
      </c>
      <c r="Z151" s="5">
        <v>0.26600926772599842</v>
      </c>
      <c r="AA151" s="5">
        <v>0.50945149185172711</v>
      </c>
      <c r="AB151" s="5">
        <v>0.17201802014816911</v>
      </c>
      <c r="AC151" s="4">
        <f>ROUND((X151*100*1)+(Z151*100*2)+(AA151*100*3),2)</f>
        <v>210.6</v>
      </c>
      <c r="AD151">
        <f>ROUND(AVERAGE(Q151,W151,AC151),2)</f>
        <v>239.38</v>
      </c>
    </row>
    <row r="152" spans="1:30" x14ac:dyDescent="0.2">
      <c r="A152">
        <v>151</v>
      </c>
      <c r="B152">
        <v>1</v>
      </c>
      <c r="C152" t="s">
        <v>746</v>
      </c>
      <c r="D152" t="s">
        <v>747</v>
      </c>
      <c r="E152" t="s">
        <v>360</v>
      </c>
      <c r="F152" t="s">
        <v>748</v>
      </c>
      <c r="G152" t="s">
        <v>749</v>
      </c>
      <c r="H152" t="s">
        <v>67</v>
      </c>
      <c r="I152" t="s">
        <v>67</v>
      </c>
      <c r="J152" t="s">
        <v>92</v>
      </c>
      <c r="K152" t="s">
        <v>750</v>
      </c>
      <c r="L152" s="5">
        <v>0</v>
      </c>
      <c r="M152" s="5">
        <v>0</v>
      </c>
      <c r="N152" s="5">
        <v>0.1240855268172957</v>
      </c>
      <c r="O152" s="5">
        <v>0</v>
      </c>
      <c r="P152" s="5">
        <v>0.87591447318270421</v>
      </c>
      <c r="Q152" s="4">
        <f>ROUND((L152*100*1)+(N152*100*2)+(O152*100*3),2)</f>
        <v>24.82</v>
      </c>
      <c r="R152" s="5">
        <v>5.5258801469646311E-2</v>
      </c>
      <c r="S152" s="5">
        <v>0</v>
      </c>
      <c r="T152" s="5">
        <v>0.13107547436492481</v>
      </c>
      <c r="U152" s="5">
        <v>1.353116378541346E-3</v>
      </c>
      <c r="V152" s="5">
        <v>0.81231260778688763</v>
      </c>
      <c r="W152" s="4">
        <f>ROUND((R152*100*1)+(T152*100*2)+(U152*100*3),2)</f>
        <v>32.15</v>
      </c>
      <c r="X152" s="5">
        <v>9.6430344243463265E-2</v>
      </c>
      <c r="Y152" s="5">
        <v>0</v>
      </c>
      <c r="Z152" s="5">
        <v>9.1372313562028615E-2</v>
      </c>
      <c r="AA152" s="5">
        <v>4.7128159811600788E-4</v>
      </c>
      <c r="AB152" s="5">
        <v>0.81172606059639207</v>
      </c>
      <c r="AC152" s="4">
        <f>ROUND((X152*100*1)+(Z152*100*2)+(AA152*100*3),2)</f>
        <v>28.06</v>
      </c>
      <c r="AD152">
        <f>ROUND(AVERAGE(Q152,W152,AC152),2)</f>
        <v>28.34</v>
      </c>
    </row>
    <row r="153" spans="1:30" x14ac:dyDescent="0.2">
      <c r="A153">
        <v>152</v>
      </c>
      <c r="B153">
        <v>1</v>
      </c>
      <c r="C153" t="s">
        <v>751</v>
      </c>
      <c r="D153" t="s">
        <v>752</v>
      </c>
      <c r="E153" t="s">
        <v>371</v>
      </c>
      <c r="H153" t="s">
        <v>67</v>
      </c>
      <c r="I153" t="s">
        <v>67</v>
      </c>
      <c r="J153" t="s">
        <v>34</v>
      </c>
      <c r="K153" t="s">
        <v>753</v>
      </c>
      <c r="L153" s="5">
        <v>0</v>
      </c>
      <c r="M153" s="5">
        <v>0</v>
      </c>
      <c r="N153" s="5">
        <v>0.33657201992207142</v>
      </c>
      <c r="O153" s="5">
        <v>0.66342798007809745</v>
      </c>
      <c r="P153" s="5">
        <v>0</v>
      </c>
      <c r="Q153" s="4">
        <f>ROUND((L153*100*1)+(N153*100*2)+(O153*100*3),2)</f>
        <v>266.33999999999997</v>
      </c>
      <c r="R153" s="5">
        <v>1.973251331292666E-2</v>
      </c>
      <c r="S153" s="5">
        <v>0</v>
      </c>
      <c r="T153" s="5">
        <v>0.27048808078343212</v>
      </c>
      <c r="U153" s="5">
        <v>0.45486895966524982</v>
      </c>
      <c r="V153" s="5">
        <v>0.25491044623839149</v>
      </c>
      <c r="W153" s="4">
        <f>ROUND((R153*100*1)+(T153*100*2)+(U153*100*3),2)</f>
        <v>192.53</v>
      </c>
      <c r="X153" s="5">
        <v>2.306113517668669E-2</v>
      </c>
      <c r="Y153" s="5">
        <v>0</v>
      </c>
      <c r="Z153" s="5">
        <v>0.204283427397532</v>
      </c>
      <c r="AA153" s="5">
        <v>0.30024954794611569</v>
      </c>
      <c r="AB153" s="5">
        <v>0.47240588947966572</v>
      </c>
      <c r="AC153" s="4">
        <f>ROUND((X153*100*1)+(Z153*100*2)+(AA153*100*3),2)</f>
        <v>133.24</v>
      </c>
      <c r="AD153">
        <f>ROUND(AVERAGE(Q153,W153,AC153),2)</f>
        <v>197.37</v>
      </c>
    </row>
    <row r="154" spans="1:30" x14ac:dyDescent="0.2">
      <c r="A154">
        <v>153</v>
      </c>
      <c r="B154">
        <v>1</v>
      </c>
      <c r="C154" t="s">
        <v>754</v>
      </c>
      <c r="D154" t="s">
        <v>755</v>
      </c>
      <c r="E154" t="s">
        <v>756</v>
      </c>
      <c r="H154" t="s">
        <v>25</v>
      </c>
      <c r="I154" t="s">
        <v>25</v>
      </c>
      <c r="J154" t="s">
        <v>34</v>
      </c>
      <c r="K154" t="s">
        <v>230</v>
      </c>
      <c r="L154" s="5">
        <v>0</v>
      </c>
      <c r="M154" s="5">
        <v>0</v>
      </c>
      <c r="N154" s="5">
        <v>0.34349602228995768</v>
      </c>
      <c r="O154" s="5">
        <v>0.65650397770991364</v>
      </c>
      <c r="P154" s="5">
        <v>1.2867484855405559E-13</v>
      </c>
      <c r="Q154" s="4">
        <f>ROUND((L154*100*1)+(N154*100*2)+(O154*100*3),2)</f>
        <v>265.64999999999998</v>
      </c>
      <c r="R154" s="5">
        <v>0</v>
      </c>
      <c r="S154" s="5">
        <v>0</v>
      </c>
      <c r="T154" s="5">
        <v>0.32801263360569899</v>
      </c>
      <c r="U154" s="5">
        <v>0.59976507790505995</v>
      </c>
      <c r="V154" s="5">
        <v>7.2222288489240949E-2</v>
      </c>
      <c r="W154" s="4">
        <f>ROUND((R154*100*1)+(T154*100*2)+(U154*100*3),2)</f>
        <v>245.53</v>
      </c>
      <c r="X154" s="5">
        <v>5.8655363169616587E-2</v>
      </c>
      <c r="Y154" s="5">
        <v>0</v>
      </c>
      <c r="Z154" s="5">
        <v>0.24507659240852081</v>
      </c>
      <c r="AA154" s="5">
        <v>0.40802698752025252</v>
      </c>
      <c r="AB154" s="5">
        <v>0.28824105690161012</v>
      </c>
      <c r="AC154" s="4">
        <f>ROUND((X154*100*1)+(Z154*100*2)+(AA154*100*3),2)</f>
        <v>177.29</v>
      </c>
      <c r="AD154">
        <f>ROUND(AVERAGE(Q154,W154,AC154),2)</f>
        <v>229.49</v>
      </c>
    </row>
    <row r="155" spans="1:30" x14ac:dyDescent="0.2">
      <c r="A155">
        <v>154</v>
      </c>
      <c r="B155">
        <v>1</v>
      </c>
      <c r="C155" t="s">
        <v>757</v>
      </c>
      <c r="D155" t="s">
        <v>758</v>
      </c>
      <c r="E155" t="s">
        <v>759</v>
      </c>
      <c r="F155" t="s">
        <v>760</v>
      </c>
      <c r="G155" t="s">
        <v>761</v>
      </c>
      <c r="H155" t="s">
        <v>67</v>
      </c>
      <c r="I155" t="s">
        <v>67</v>
      </c>
      <c r="J155" t="s">
        <v>34</v>
      </c>
      <c r="K155" t="s">
        <v>271</v>
      </c>
      <c r="L155" s="5">
        <v>6.3193819836766169E-2</v>
      </c>
      <c r="M155" s="5">
        <v>0</v>
      </c>
      <c r="N155" s="5">
        <v>0.25687077556898202</v>
      </c>
      <c r="O155" s="5">
        <v>0</v>
      </c>
      <c r="P155" s="5">
        <v>0.67993540459425184</v>
      </c>
      <c r="Q155" s="4">
        <f>ROUND((L155*100*1)+(N155*100*2)+(O155*100*3),2)</f>
        <v>57.69</v>
      </c>
      <c r="R155" s="5">
        <v>8.5736232231520118E-2</v>
      </c>
      <c r="S155" s="5">
        <v>0</v>
      </c>
      <c r="T155" s="5">
        <v>0.13927757307809749</v>
      </c>
      <c r="U155" s="5">
        <v>0</v>
      </c>
      <c r="V155" s="5">
        <v>0.77498619469038244</v>
      </c>
      <c r="W155" s="4">
        <f>ROUND((R155*100*1)+(T155*100*2)+(U155*100*3),2)</f>
        <v>36.43</v>
      </c>
      <c r="X155" s="5">
        <v>0.1510326103216883</v>
      </c>
      <c r="Y155" s="5">
        <v>0</v>
      </c>
      <c r="Z155" s="5">
        <v>0.1105527250944342</v>
      </c>
      <c r="AA155" s="5">
        <v>0</v>
      </c>
      <c r="AB155" s="5">
        <v>0.7384146645838775</v>
      </c>
      <c r="AC155" s="4">
        <f>ROUND((X155*100*1)+(Z155*100*2)+(AA155*100*3),2)</f>
        <v>37.21</v>
      </c>
      <c r="AD155">
        <f>ROUND(AVERAGE(Q155,W155,AC155),2)</f>
        <v>43.78</v>
      </c>
    </row>
    <row r="156" spans="1:30" x14ac:dyDescent="0.2">
      <c r="A156">
        <v>155</v>
      </c>
      <c r="B156">
        <v>1</v>
      </c>
      <c r="C156" t="s">
        <v>762</v>
      </c>
      <c r="D156" t="s">
        <v>763</v>
      </c>
      <c r="E156" t="s">
        <v>303</v>
      </c>
      <c r="H156" t="s">
        <v>67</v>
      </c>
      <c r="I156" t="s">
        <v>67</v>
      </c>
      <c r="J156" t="s">
        <v>26</v>
      </c>
      <c r="K156" t="s">
        <v>705</v>
      </c>
      <c r="L156" s="5">
        <v>0.16193086371786189</v>
      </c>
      <c r="M156" s="5">
        <v>0</v>
      </c>
      <c r="N156" s="5">
        <v>0.37129863864335411</v>
      </c>
      <c r="O156" s="5">
        <v>8.4343847513555961E-2</v>
      </c>
      <c r="P156" s="5">
        <v>0.38242665012522808</v>
      </c>
      <c r="Q156" s="4">
        <f>ROUND((L156*100*1)+(N156*100*2)+(O156*100*3),2)</f>
        <v>115.76</v>
      </c>
      <c r="R156" s="5">
        <v>7.4796162136014296E-2</v>
      </c>
      <c r="S156" s="5">
        <v>0</v>
      </c>
      <c r="T156" s="5">
        <v>0.13187103662361521</v>
      </c>
      <c r="U156" s="5">
        <v>1.6536718562146158E-2</v>
      </c>
      <c r="V156" s="5">
        <v>0.77679608267822431</v>
      </c>
      <c r="W156" s="4">
        <f>ROUND((R156*100*1)+(T156*100*2)+(U156*100*3),2)</f>
        <v>38.81</v>
      </c>
      <c r="X156" s="5">
        <v>9.8489382280502843E-2</v>
      </c>
      <c r="Y156" s="5">
        <v>0</v>
      </c>
      <c r="Z156" s="5">
        <v>0.1063568422008946</v>
      </c>
      <c r="AA156" s="5">
        <v>1.9755095383344849E-2</v>
      </c>
      <c r="AB156" s="5">
        <v>0.7753986801352577</v>
      </c>
      <c r="AC156" s="4">
        <f>ROUND((X156*100*1)+(Z156*100*2)+(AA156*100*3),2)</f>
        <v>37.049999999999997</v>
      </c>
      <c r="AD156">
        <f>ROUND(AVERAGE(Q156,W156,AC156),2)</f>
        <v>63.87</v>
      </c>
    </row>
    <row r="157" spans="1:30" x14ac:dyDescent="0.2">
      <c r="A157">
        <v>156</v>
      </c>
      <c r="B157">
        <v>3</v>
      </c>
      <c r="C157" t="s">
        <v>764</v>
      </c>
      <c r="D157" t="s">
        <v>765</v>
      </c>
      <c r="E157" t="s">
        <v>383</v>
      </c>
      <c r="H157" t="s">
        <v>67</v>
      </c>
      <c r="I157" t="s">
        <v>67</v>
      </c>
      <c r="J157" t="s">
        <v>34</v>
      </c>
      <c r="K157" t="s">
        <v>56</v>
      </c>
      <c r="L157" s="5">
        <v>0</v>
      </c>
      <c r="M157" s="5">
        <v>0</v>
      </c>
      <c r="N157" s="5">
        <v>0.2079824497383192</v>
      </c>
      <c r="O157" s="5">
        <v>7.046597998622446E-3</v>
      </c>
      <c r="P157" s="5">
        <v>0.78497095226305824</v>
      </c>
      <c r="Q157" s="4">
        <f>ROUND((L157*100*1)+(N157*100*2)+(O157*100*3),2)</f>
        <v>43.71</v>
      </c>
      <c r="R157" s="5">
        <v>0.2372972713402163</v>
      </c>
      <c r="S157" s="5">
        <v>0</v>
      </c>
      <c r="T157" s="5">
        <v>0.15538898863476391</v>
      </c>
      <c r="U157" s="5">
        <v>1.453136781582307E-3</v>
      </c>
      <c r="V157" s="5">
        <v>0.6058606032434376</v>
      </c>
      <c r="W157" s="4">
        <f>ROUND((R157*100*1)+(T157*100*2)+(U157*100*3),2)</f>
        <v>55.24</v>
      </c>
      <c r="X157" s="5">
        <v>0.22040113612662421</v>
      </c>
      <c r="Y157" s="5">
        <v>0</v>
      </c>
      <c r="Z157" s="5">
        <v>0.1206817099432184</v>
      </c>
      <c r="AA157" s="5">
        <v>3.1305792287007299E-3</v>
      </c>
      <c r="AB157" s="5">
        <v>0.65578657470145663</v>
      </c>
      <c r="AC157" s="4">
        <f>ROUND((X157*100*1)+(Z157*100*2)+(AA157*100*3),2)</f>
        <v>47.12</v>
      </c>
      <c r="AD157">
        <f>ROUND(AVERAGE(Q157,W157,AC157),2)</f>
        <v>48.69</v>
      </c>
    </row>
    <row r="158" spans="1:30" x14ac:dyDescent="0.2">
      <c r="A158">
        <v>157</v>
      </c>
      <c r="B158">
        <v>1</v>
      </c>
      <c r="C158" t="s">
        <v>766</v>
      </c>
      <c r="D158" t="s">
        <v>767</v>
      </c>
      <c r="E158" t="s">
        <v>768</v>
      </c>
      <c r="F158" t="s">
        <v>769</v>
      </c>
      <c r="G158" t="s">
        <v>770</v>
      </c>
      <c r="H158" t="s">
        <v>67</v>
      </c>
      <c r="I158" t="s">
        <v>67</v>
      </c>
      <c r="J158" t="s">
        <v>34</v>
      </c>
      <c r="K158" t="s">
        <v>771</v>
      </c>
      <c r="L158" s="5">
        <v>0</v>
      </c>
      <c r="M158" s="5">
        <v>0</v>
      </c>
      <c r="N158" s="5">
        <v>0.1045845468161838</v>
      </c>
      <c r="O158" s="5">
        <v>0.89541545318381888</v>
      </c>
      <c r="P158" s="5">
        <v>0</v>
      </c>
      <c r="Q158" s="4">
        <f>ROUND((L158*100*1)+(N158*100*2)+(O158*100*3),2)</f>
        <v>289.54000000000002</v>
      </c>
      <c r="R158" s="5">
        <v>0</v>
      </c>
      <c r="S158" s="5">
        <v>0</v>
      </c>
      <c r="T158" s="5">
        <v>8.4548872134100866E-2</v>
      </c>
      <c r="U158" s="5">
        <v>0.86748995558973396</v>
      </c>
      <c r="V158" s="5">
        <v>4.7961172276165143E-2</v>
      </c>
      <c r="W158" s="4">
        <f>ROUND((R158*100*1)+(T158*100*2)+(U158*100*3),2)</f>
        <v>277.16000000000003</v>
      </c>
      <c r="X158" s="5">
        <v>3.0448170152634888E-3</v>
      </c>
      <c r="Y158" s="5">
        <v>0</v>
      </c>
      <c r="Z158" s="5">
        <v>7.7599720043971254E-2</v>
      </c>
      <c r="AA158" s="5">
        <v>0.71934327923958186</v>
      </c>
      <c r="AB158" s="5">
        <v>0.20001218370118351</v>
      </c>
      <c r="AC158" s="4">
        <f>ROUND((X158*100*1)+(Z158*100*2)+(AA158*100*3),2)</f>
        <v>231.63</v>
      </c>
      <c r="AD158">
        <f>ROUND(AVERAGE(Q158,W158,AC158),2)</f>
        <v>266.11</v>
      </c>
    </row>
    <row r="159" spans="1:30" x14ac:dyDescent="0.2">
      <c r="A159">
        <v>158</v>
      </c>
      <c r="B159">
        <v>2</v>
      </c>
      <c r="C159" t="s">
        <v>772</v>
      </c>
      <c r="D159" t="s">
        <v>773</v>
      </c>
      <c r="E159" t="s">
        <v>774</v>
      </c>
      <c r="H159" t="s">
        <v>67</v>
      </c>
      <c r="I159" t="s">
        <v>67</v>
      </c>
      <c r="J159" t="s">
        <v>34</v>
      </c>
      <c r="K159" t="s">
        <v>775</v>
      </c>
      <c r="L159" s="5">
        <v>0.20545935228958731</v>
      </c>
      <c r="M159" s="5">
        <v>0</v>
      </c>
      <c r="N159" s="5">
        <v>0.24628359825232149</v>
      </c>
      <c r="O159" s="5">
        <v>0.33509593934434379</v>
      </c>
      <c r="P159" s="5">
        <v>0.21316111011374739</v>
      </c>
      <c r="Q159" s="4">
        <f>ROUND((L159*100*1)+(N159*100*2)+(O159*100*3),2)</f>
        <v>170.33</v>
      </c>
      <c r="R159" s="5">
        <v>0.2194465747104106</v>
      </c>
      <c r="S159" s="5">
        <v>0</v>
      </c>
      <c r="T159" s="5">
        <v>0.19954343908210681</v>
      </c>
      <c r="U159" s="5">
        <v>0.1684003466532282</v>
      </c>
      <c r="V159" s="5">
        <v>0.41260963955425439</v>
      </c>
      <c r="W159" s="4">
        <f>ROUND((R159*100*1)+(T159*100*2)+(U159*100*3),2)</f>
        <v>112.37</v>
      </c>
      <c r="X159" s="5">
        <v>8.0781471371158389E-2</v>
      </c>
      <c r="Y159" s="5">
        <v>0</v>
      </c>
      <c r="Z159" s="5">
        <v>0.1607124743979492</v>
      </c>
      <c r="AA159" s="5">
        <v>0.13973582336311741</v>
      </c>
      <c r="AB159" s="5">
        <v>0.61877023086777505</v>
      </c>
      <c r="AC159" s="4">
        <f>ROUND((X159*100*1)+(Z159*100*2)+(AA159*100*3),2)</f>
        <v>82.14</v>
      </c>
      <c r="AD159">
        <f>ROUND(AVERAGE(Q159,W159,AC159),2)</f>
        <v>121.61</v>
      </c>
    </row>
    <row r="160" spans="1:30" x14ac:dyDescent="0.2">
      <c r="A160">
        <v>159</v>
      </c>
      <c r="B160">
        <v>3</v>
      </c>
      <c r="C160" t="s">
        <v>776</v>
      </c>
      <c r="D160" t="s">
        <v>777</v>
      </c>
      <c r="E160" t="s">
        <v>778</v>
      </c>
      <c r="F160" t="s">
        <v>779</v>
      </c>
      <c r="G160" t="s">
        <v>780</v>
      </c>
      <c r="H160" t="s">
        <v>67</v>
      </c>
      <c r="I160" t="s">
        <v>781</v>
      </c>
      <c r="J160" t="s">
        <v>26</v>
      </c>
      <c r="K160" t="s">
        <v>705</v>
      </c>
      <c r="L160" s="5">
        <v>0</v>
      </c>
      <c r="M160" s="5">
        <v>0</v>
      </c>
      <c r="N160" s="5">
        <v>0.15240242586076469</v>
      </c>
      <c r="O160" s="5">
        <v>0.71495153906174602</v>
      </c>
      <c r="P160" s="5">
        <v>0.1326460350774892</v>
      </c>
      <c r="Q160" s="4">
        <f>ROUND((L160*100*1)+(N160*100*2)+(O160*100*3),2)</f>
        <v>244.97</v>
      </c>
      <c r="R160" s="5">
        <v>7.1484200934203157E-2</v>
      </c>
      <c r="S160" s="5">
        <v>0</v>
      </c>
      <c r="T160" s="5">
        <v>0.36995030936894768</v>
      </c>
      <c r="U160" s="5">
        <v>0.35028109720222511</v>
      </c>
      <c r="V160" s="5">
        <v>0.20828439249462419</v>
      </c>
      <c r="W160" s="4">
        <f>ROUND((R160*100*1)+(T160*100*2)+(U160*100*3),2)</f>
        <v>186.22</v>
      </c>
      <c r="X160" s="5">
        <v>6.6739341617220047E-2</v>
      </c>
      <c r="Y160" s="5">
        <v>0</v>
      </c>
      <c r="Z160" s="5">
        <v>0.33302760657071762</v>
      </c>
      <c r="AA160" s="5">
        <v>0.37320328027500499</v>
      </c>
      <c r="AB160" s="5">
        <v>0.22702977153705731</v>
      </c>
      <c r="AC160" s="4">
        <f>ROUND((X160*100*1)+(Z160*100*2)+(AA160*100*3),2)</f>
        <v>185.24</v>
      </c>
      <c r="AD160">
        <f>ROUND(AVERAGE(Q160,W160,AC160),2)</f>
        <v>205.48</v>
      </c>
    </row>
    <row r="161" spans="1:30" x14ac:dyDescent="0.2">
      <c r="A161">
        <v>160</v>
      </c>
      <c r="B161">
        <v>1</v>
      </c>
      <c r="C161" t="s">
        <v>782</v>
      </c>
      <c r="D161" t="s">
        <v>783</v>
      </c>
      <c r="E161" t="s">
        <v>784</v>
      </c>
      <c r="H161" t="s">
        <v>67</v>
      </c>
      <c r="I161" t="s">
        <v>67</v>
      </c>
      <c r="J161" t="s">
        <v>34</v>
      </c>
      <c r="K161" t="s">
        <v>585</v>
      </c>
      <c r="L161" s="5">
        <v>0.12528484086625161</v>
      </c>
      <c r="M161" s="5">
        <v>0</v>
      </c>
      <c r="N161" s="5">
        <v>0.17002327617942761</v>
      </c>
      <c r="O161" s="5">
        <v>0</v>
      </c>
      <c r="P161" s="5">
        <v>0.70469188295432073</v>
      </c>
      <c r="Q161" s="4">
        <f>ROUND((L161*100*1)+(N161*100*2)+(O161*100*3),2)</f>
        <v>46.53</v>
      </c>
      <c r="R161" s="5">
        <v>6.368795553386089E-2</v>
      </c>
      <c r="S161" s="5">
        <v>0</v>
      </c>
      <c r="T161" s="5">
        <v>0.17968537931175499</v>
      </c>
      <c r="U161" s="5">
        <v>0</v>
      </c>
      <c r="V161" s="5">
        <v>0.75662666515438404</v>
      </c>
      <c r="W161" s="4">
        <f>ROUND((R161*100*1)+(T161*100*2)+(U161*100*3),2)</f>
        <v>42.31</v>
      </c>
      <c r="X161" s="5">
        <v>4.5797040702209607E-2</v>
      </c>
      <c r="Y161" s="5">
        <v>0</v>
      </c>
      <c r="Z161" s="5">
        <v>0.15055282698603711</v>
      </c>
      <c r="AA161" s="5">
        <v>0</v>
      </c>
      <c r="AB161" s="5">
        <v>0.80365013231175331</v>
      </c>
      <c r="AC161" s="4">
        <f>ROUND((X161*100*1)+(Z161*100*2)+(AA161*100*3),2)</f>
        <v>34.69</v>
      </c>
      <c r="AD161">
        <f>ROUND(AVERAGE(Q161,W161,AC161),2)</f>
        <v>41.18</v>
      </c>
    </row>
    <row r="162" spans="1:30" x14ac:dyDescent="0.2">
      <c r="A162">
        <v>161</v>
      </c>
      <c r="B162">
        <v>1</v>
      </c>
      <c r="C162" t="s">
        <v>785</v>
      </c>
      <c r="D162" t="s">
        <v>786</v>
      </c>
      <c r="E162" t="s">
        <v>787</v>
      </c>
      <c r="H162" t="s">
        <v>67</v>
      </c>
      <c r="I162" t="s">
        <v>67</v>
      </c>
      <c r="J162" t="s">
        <v>34</v>
      </c>
      <c r="K162" t="s">
        <v>705</v>
      </c>
      <c r="L162" s="5">
        <v>1.7082307638725449E-2</v>
      </c>
      <c r="M162" s="5">
        <v>0</v>
      </c>
      <c r="N162" s="5">
        <v>0.18990201015560701</v>
      </c>
      <c r="O162" s="5">
        <v>0.18316689629361521</v>
      </c>
      <c r="P162" s="5">
        <v>0.60984878591205238</v>
      </c>
      <c r="Q162" s="4">
        <f>ROUND((L162*100*1)+(N162*100*2)+(O162*100*3),2)</f>
        <v>94.64</v>
      </c>
      <c r="R162" s="5">
        <v>9.1959195874509486E-2</v>
      </c>
      <c r="S162" s="5">
        <v>0</v>
      </c>
      <c r="T162" s="5">
        <v>8.624399004001615E-2</v>
      </c>
      <c r="U162" s="5">
        <v>4.1180973738401842E-2</v>
      </c>
      <c r="V162" s="5">
        <v>0.78061584034707254</v>
      </c>
      <c r="W162" s="4">
        <f>ROUND((R162*100*1)+(T162*100*2)+(U162*100*3),2)</f>
        <v>38.799999999999997</v>
      </c>
      <c r="X162" s="5">
        <v>0.1870422232611946</v>
      </c>
      <c r="Y162" s="5">
        <v>0</v>
      </c>
      <c r="Z162" s="5">
        <v>8.4717480585784655E-2</v>
      </c>
      <c r="AA162" s="5">
        <v>2.9830431447608521E-2</v>
      </c>
      <c r="AB162" s="5">
        <v>0.69840986470541222</v>
      </c>
      <c r="AC162" s="4">
        <f>ROUND((X162*100*1)+(Z162*100*2)+(AA162*100*3),2)</f>
        <v>44.6</v>
      </c>
      <c r="AD162">
        <f>ROUND(AVERAGE(Q162,W162,AC162),2)</f>
        <v>59.35</v>
      </c>
    </row>
    <row r="163" spans="1:30" x14ac:dyDescent="0.2">
      <c r="A163">
        <v>162</v>
      </c>
      <c r="B163">
        <v>4</v>
      </c>
      <c r="C163" t="s">
        <v>788</v>
      </c>
      <c r="D163" t="s">
        <v>789</v>
      </c>
      <c r="E163" t="s">
        <v>790</v>
      </c>
      <c r="F163" t="s">
        <v>791</v>
      </c>
      <c r="G163" t="s">
        <v>792</v>
      </c>
      <c r="H163" t="s">
        <v>80</v>
      </c>
      <c r="I163" t="s">
        <v>793</v>
      </c>
      <c r="J163" t="s">
        <v>92</v>
      </c>
      <c r="K163" t="s">
        <v>626</v>
      </c>
      <c r="L163" s="5">
        <v>1</v>
      </c>
      <c r="M163" s="5">
        <v>0</v>
      </c>
      <c r="N163" s="5">
        <v>0</v>
      </c>
      <c r="O163" s="5">
        <v>0</v>
      </c>
      <c r="P163" s="5">
        <v>0</v>
      </c>
      <c r="Q163" s="4">
        <f>ROUND((L163*100*1)+(N163*100*2)+(O163*100*3),2)</f>
        <v>100</v>
      </c>
      <c r="R163" s="5">
        <v>0.81461387953385489</v>
      </c>
      <c r="S163" s="5">
        <v>0</v>
      </c>
      <c r="T163" s="5">
        <v>9.7575082890264786E-2</v>
      </c>
      <c r="U163" s="5">
        <v>7.7480903139752705E-4</v>
      </c>
      <c r="V163" s="5">
        <v>8.7036228544482785E-2</v>
      </c>
      <c r="W163" s="4">
        <f>ROUND((R163*100*1)+(T163*100*2)+(U163*100*3),2)</f>
        <v>101.21</v>
      </c>
      <c r="X163" s="5">
        <v>0.75879039827229355</v>
      </c>
      <c r="Y163" s="5">
        <v>0</v>
      </c>
      <c r="Z163" s="5">
        <v>9.6499332145148109E-2</v>
      </c>
      <c r="AA163" s="5">
        <v>3.4411181057236018E-4</v>
      </c>
      <c r="AB163" s="5">
        <v>0.144366157771986</v>
      </c>
      <c r="AC163" s="4">
        <f>ROUND((X163*100*1)+(Z163*100*2)+(AA163*100*3),2)</f>
        <v>95.28</v>
      </c>
      <c r="AD163">
        <f>ROUND(AVERAGE(Q163,W163,AC163),2)</f>
        <v>98.83</v>
      </c>
    </row>
    <row r="164" spans="1:30" x14ac:dyDescent="0.2">
      <c r="A164">
        <v>163</v>
      </c>
      <c r="B164">
        <v>1</v>
      </c>
      <c r="C164" t="s">
        <v>794</v>
      </c>
      <c r="D164" t="s">
        <v>795</v>
      </c>
      <c r="E164" t="s">
        <v>796</v>
      </c>
      <c r="F164" t="s">
        <v>797</v>
      </c>
      <c r="G164" t="s">
        <v>798</v>
      </c>
      <c r="H164" t="s">
        <v>67</v>
      </c>
      <c r="I164" t="s">
        <v>67</v>
      </c>
      <c r="J164" t="s">
        <v>34</v>
      </c>
      <c r="K164" t="s">
        <v>149</v>
      </c>
      <c r="L164" s="5">
        <v>0.30741489805451372</v>
      </c>
      <c r="M164" s="5">
        <v>0</v>
      </c>
      <c r="N164" s="5">
        <v>0.19225844690204991</v>
      </c>
      <c r="O164" s="5">
        <v>0</v>
      </c>
      <c r="P164" s="5">
        <v>0.50032665504343643</v>
      </c>
      <c r="Q164" s="4">
        <f>ROUND((L164*100*1)+(N164*100*2)+(O164*100*3),2)</f>
        <v>69.19</v>
      </c>
      <c r="R164" s="5">
        <v>0.45311235009386153</v>
      </c>
      <c r="S164" s="5">
        <v>0</v>
      </c>
      <c r="T164" s="5">
        <v>8.9569088474427516E-2</v>
      </c>
      <c r="U164" s="5">
        <v>7.7480903139752705E-4</v>
      </c>
      <c r="V164" s="5">
        <v>0.45654375240031347</v>
      </c>
      <c r="W164" s="4">
        <f>ROUND((R164*100*1)+(T164*100*2)+(U164*100*3),2)</f>
        <v>63.46</v>
      </c>
      <c r="X164" s="5">
        <v>0.52188199489377707</v>
      </c>
      <c r="Y164" s="5">
        <v>0</v>
      </c>
      <c r="Z164" s="5">
        <v>0.1017511929141578</v>
      </c>
      <c r="AA164" s="5">
        <v>5.5149441657325585E-4</v>
      </c>
      <c r="AB164" s="5">
        <v>0.37581531777549188</v>
      </c>
      <c r="AC164" s="4">
        <f>ROUND((X164*100*1)+(Z164*100*2)+(AA164*100*3),2)</f>
        <v>72.7</v>
      </c>
      <c r="AD164">
        <f>ROUND(AVERAGE(Q164,W164,AC164),2)</f>
        <v>68.45</v>
      </c>
    </row>
    <row r="165" spans="1:30" x14ac:dyDescent="0.2">
      <c r="A165">
        <v>164</v>
      </c>
      <c r="B165">
        <v>1</v>
      </c>
      <c r="C165" t="s">
        <v>799</v>
      </c>
      <c r="D165" t="s">
        <v>800</v>
      </c>
      <c r="E165" t="s">
        <v>801</v>
      </c>
      <c r="H165" t="s">
        <v>25</v>
      </c>
      <c r="I165" t="s">
        <v>25</v>
      </c>
      <c r="J165" t="s">
        <v>26</v>
      </c>
      <c r="K165" t="s">
        <v>86</v>
      </c>
      <c r="L165" s="5">
        <v>0</v>
      </c>
      <c r="M165" s="5">
        <v>0</v>
      </c>
      <c r="N165" s="5">
        <v>0.17903679602170261</v>
      </c>
      <c r="O165" s="5">
        <v>0.4398192634335546</v>
      </c>
      <c r="P165" s="5">
        <v>0.38114394054474282</v>
      </c>
      <c r="Q165" s="4">
        <f>ROUND((L165*100*1)+(N165*100*2)+(O165*100*3),2)</f>
        <v>167.75</v>
      </c>
      <c r="R165" s="5">
        <v>0</v>
      </c>
      <c r="S165" s="5">
        <v>0</v>
      </c>
      <c r="T165" s="5">
        <v>0.28633301015630619</v>
      </c>
      <c r="U165" s="5">
        <v>0.28429003031810479</v>
      </c>
      <c r="V165" s="5">
        <v>0.42937695952558907</v>
      </c>
      <c r="W165" s="4">
        <f>ROUND((R165*100*1)+(T165*100*2)+(U165*100*3),2)</f>
        <v>142.55000000000001</v>
      </c>
      <c r="X165" s="5">
        <v>4.2190881736583162E-3</v>
      </c>
      <c r="Y165" s="5">
        <v>0</v>
      </c>
      <c r="Z165" s="5">
        <v>0.28197856765282742</v>
      </c>
      <c r="AA165" s="5">
        <v>0.2099208494269092</v>
      </c>
      <c r="AB165" s="5">
        <v>0.50388149474660515</v>
      </c>
      <c r="AC165" s="4">
        <f>ROUND((X165*100*1)+(Z165*100*2)+(AA165*100*3),2)</f>
        <v>119.79</v>
      </c>
      <c r="AD165">
        <f>ROUND(AVERAGE(Q165,W165,AC165),2)</f>
        <v>143.36000000000001</v>
      </c>
    </row>
    <row r="166" spans="1:30" x14ac:dyDescent="0.2">
      <c r="A166">
        <v>166</v>
      </c>
      <c r="B166">
        <v>2</v>
      </c>
      <c r="C166" t="s">
        <v>802</v>
      </c>
      <c r="D166" t="s">
        <v>803</v>
      </c>
      <c r="E166" t="s">
        <v>804</v>
      </c>
      <c r="H166" t="s">
        <v>67</v>
      </c>
      <c r="I166" t="s">
        <v>67</v>
      </c>
      <c r="J166" t="s">
        <v>92</v>
      </c>
      <c r="K166" t="s">
        <v>210</v>
      </c>
      <c r="L166" s="5">
        <v>0</v>
      </c>
      <c r="M166" s="5">
        <v>0</v>
      </c>
      <c r="N166" s="5">
        <v>0.49540290487871941</v>
      </c>
      <c r="O166" s="5">
        <v>0.50459709512117734</v>
      </c>
      <c r="P166" s="5">
        <v>1.032507412901396E-13</v>
      </c>
      <c r="Q166" s="4">
        <f>ROUND((L166*100*1)+(N166*100*2)+(O166*100*3),2)</f>
        <v>250.46</v>
      </c>
      <c r="R166" s="5">
        <v>4.0318435410159247E-2</v>
      </c>
      <c r="S166" s="5">
        <v>0</v>
      </c>
      <c r="T166" s="5">
        <v>0.41302589012074131</v>
      </c>
      <c r="U166" s="5">
        <v>0.52475477169525608</v>
      </c>
      <c r="V166" s="5">
        <v>2.1900902773843489E-2</v>
      </c>
      <c r="W166" s="4">
        <f>ROUND((R166*100*1)+(T166*100*2)+(U166*100*3),2)</f>
        <v>244.06</v>
      </c>
      <c r="X166" s="5">
        <v>2.2917291485593481E-2</v>
      </c>
      <c r="Y166" s="5">
        <v>0</v>
      </c>
      <c r="Z166" s="5">
        <v>0.3604327977004908</v>
      </c>
      <c r="AA166" s="5">
        <v>0.48651912976421707</v>
      </c>
      <c r="AB166" s="5">
        <v>0.1301307810496988</v>
      </c>
      <c r="AC166" s="4">
        <f>ROUND((X166*100*1)+(Z166*100*2)+(AA166*100*3),2)</f>
        <v>220.33</v>
      </c>
      <c r="AD166">
        <f>ROUND(AVERAGE(Q166,W166,AC166),2)</f>
        <v>238.28</v>
      </c>
    </row>
    <row r="167" spans="1:30" x14ac:dyDescent="0.2">
      <c r="A167">
        <v>167</v>
      </c>
      <c r="B167">
        <v>1</v>
      </c>
      <c r="C167" t="s">
        <v>805</v>
      </c>
      <c r="D167" t="s">
        <v>806</v>
      </c>
      <c r="E167" t="s">
        <v>804</v>
      </c>
      <c r="F167" t="s">
        <v>807</v>
      </c>
      <c r="G167" t="s">
        <v>808</v>
      </c>
      <c r="H167" t="s">
        <v>25</v>
      </c>
      <c r="I167" t="s">
        <v>25</v>
      </c>
      <c r="J167" t="s">
        <v>34</v>
      </c>
      <c r="K167" t="s">
        <v>621</v>
      </c>
      <c r="L167" s="5">
        <v>0.70351683265472842</v>
      </c>
      <c r="M167" s="5">
        <v>0</v>
      </c>
      <c r="N167" s="5">
        <v>0.27638723894162509</v>
      </c>
      <c r="O167" s="5">
        <v>0</v>
      </c>
      <c r="P167" s="5">
        <v>2.009592840364649E-2</v>
      </c>
      <c r="Q167" s="4">
        <f>ROUND((L167*100*1)+(N167*100*2)+(O167*100*3),2)</f>
        <v>125.63</v>
      </c>
      <c r="R167" s="5">
        <v>0.48816057089268511</v>
      </c>
      <c r="S167" s="5">
        <v>0</v>
      </c>
      <c r="T167" s="5">
        <v>0.26153542963234749</v>
      </c>
      <c r="U167" s="5">
        <v>3.6566860807514881E-4</v>
      </c>
      <c r="V167" s="5">
        <v>0.24993833086689221</v>
      </c>
      <c r="W167" s="4">
        <f>ROUND((R167*100*1)+(T167*100*2)+(U167*100*3),2)</f>
        <v>101.23</v>
      </c>
      <c r="X167" s="5">
        <v>0.47286155931077167</v>
      </c>
      <c r="Y167" s="5">
        <v>0</v>
      </c>
      <c r="Z167" s="5">
        <v>0.23194827248612171</v>
      </c>
      <c r="AA167" s="5">
        <v>4.0251442748913763E-2</v>
      </c>
      <c r="AB167" s="5">
        <v>0.25493872545419288</v>
      </c>
      <c r="AC167" s="4">
        <f>ROUND((X167*100*1)+(Z167*100*2)+(AA167*100*3),2)</f>
        <v>105.75</v>
      </c>
      <c r="AD167">
        <f>ROUND(AVERAGE(Q167,W167,AC167),2)</f>
        <v>110.87</v>
      </c>
    </row>
    <row r="168" spans="1:30" x14ac:dyDescent="0.2">
      <c r="A168">
        <v>168</v>
      </c>
      <c r="B168">
        <v>3</v>
      </c>
      <c r="C168" t="s">
        <v>809</v>
      </c>
      <c r="D168" t="s">
        <v>810</v>
      </c>
      <c r="E168" t="s">
        <v>804</v>
      </c>
      <c r="F168" t="s">
        <v>811</v>
      </c>
      <c r="G168" t="s">
        <v>812</v>
      </c>
      <c r="H168" t="s">
        <v>67</v>
      </c>
      <c r="I168" t="s">
        <v>67</v>
      </c>
      <c r="J168" t="s">
        <v>92</v>
      </c>
      <c r="K168" t="s">
        <v>266</v>
      </c>
      <c r="L168" s="5">
        <v>0</v>
      </c>
      <c r="M168" s="5">
        <v>0</v>
      </c>
      <c r="N168" s="5">
        <v>0.25346993844747029</v>
      </c>
      <c r="O168" s="5">
        <v>0.5831438383085904</v>
      </c>
      <c r="P168" s="5">
        <v>0.16338622324393909</v>
      </c>
      <c r="Q168" s="4">
        <f>ROUND((L168*100*1)+(N168*100*2)+(O168*100*3),2)</f>
        <v>225.64</v>
      </c>
      <c r="R168" s="5">
        <v>1.8129365069785731E-3</v>
      </c>
      <c r="S168" s="5">
        <v>0</v>
      </c>
      <c r="T168" s="5">
        <v>0.2163554917898789</v>
      </c>
      <c r="U168" s="5">
        <v>0.19369313171068739</v>
      </c>
      <c r="V168" s="5">
        <v>0.58813843999245519</v>
      </c>
      <c r="W168" s="4">
        <f>ROUND((R168*100*1)+(T168*100*2)+(U168*100*3),2)</f>
        <v>101.56</v>
      </c>
      <c r="X168" s="5">
        <v>6.6555386612737321E-4</v>
      </c>
      <c r="Y168" s="5">
        <v>0</v>
      </c>
      <c r="Z168" s="5">
        <v>0.1735507776472332</v>
      </c>
      <c r="AA168" s="5">
        <v>0.16811407180815441</v>
      </c>
      <c r="AB168" s="5">
        <v>0.65766959667848501</v>
      </c>
      <c r="AC168" s="4">
        <f>ROUND((X168*100*1)+(Z168*100*2)+(AA168*100*3),2)</f>
        <v>85.21</v>
      </c>
      <c r="AD168">
        <f>ROUND(AVERAGE(Q168,W168,AC168),2)</f>
        <v>137.47</v>
      </c>
    </row>
    <row r="169" spans="1:30" x14ac:dyDescent="0.2">
      <c r="A169">
        <v>170</v>
      </c>
      <c r="B169">
        <v>1</v>
      </c>
      <c r="C169" t="s">
        <v>813</v>
      </c>
      <c r="D169" t="s">
        <v>814</v>
      </c>
      <c r="E169" t="s">
        <v>815</v>
      </c>
      <c r="F169" t="s">
        <v>816</v>
      </c>
      <c r="G169" t="s">
        <v>817</v>
      </c>
      <c r="H169" t="s">
        <v>25</v>
      </c>
      <c r="I169" t="s">
        <v>25</v>
      </c>
      <c r="J169" t="s">
        <v>26</v>
      </c>
      <c r="K169" t="s">
        <v>818</v>
      </c>
      <c r="L169" s="5">
        <v>0</v>
      </c>
      <c r="M169" s="5">
        <v>0</v>
      </c>
      <c r="N169" s="5">
        <v>0.47094084873540992</v>
      </c>
      <c r="O169" s="5">
        <v>0.52905915126486391</v>
      </c>
      <c r="P169" s="5">
        <v>0</v>
      </c>
      <c r="Q169" s="4">
        <f>ROUND((L169*100*1)+(N169*100*2)+(O169*100*3),2)</f>
        <v>252.91</v>
      </c>
      <c r="R169" s="5">
        <v>0</v>
      </c>
      <c r="S169" s="5">
        <v>0</v>
      </c>
      <c r="T169" s="5">
        <v>0.4301535768686845</v>
      </c>
      <c r="U169" s="5">
        <v>0.43128178813888102</v>
      </c>
      <c r="V169" s="5">
        <v>0.13856463499243449</v>
      </c>
      <c r="W169" s="4">
        <f>ROUND((R169*100*1)+(T169*100*2)+(U169*100*3),2)</f>
        <v>215.42</v>
      </c>
      <c r="X169" s="5">
        <v>3.1650540660597637E-2</v>
      </c>
      <c r="Y169" s="5">
        <v>0</v>
      </c>
      <c r="Z169" s="5">
        <v>0.38343006424253911</v>
      </c>
      <c r="AA169" s="5">
        <v>0.42916943017464509</v>
      </c>
      <c r="AB169" s="5">
        <v>0.15574996492221829</v>
      </c>
      <c r="AC169" s="4">
        <f>ROUND((X169*100*1)+(Z169*100*2)+(AA169*100*3),2)</f>
        <v>208.6</v>
      </c>
      <c r="AD169">
        <f>ROUND(AVERAGE(Q169,W169,AC169),2)</f>
        <v>225.64</v>
      </c>
    </row>
    <row r="170" spans="1:30" x14ac:dyDescent="0.2">
      <c r="A170">
        <v>171</v>
      </c>
      <c r="B170">
        <v>1</v>
      </c>
      <c r="C170" t="s">
        <v>819</v>
      </c>
      <c r="D170" t="s">
        <v>820</v>
      </c>
      <c r="E170" t="s">
        <v>821</v>
      </c>
      <c r="H170" t="s">
        <v>25</v>
      </c>
      <c r="I170" t="s">
        <v>25</v>
      </c>
      <c r="J170" t="s">
        <v>34</v>
      </c>
      <c r="K170" t="s">
        <v>621</v>
      </c>
      <c r="L170" s="5">
        <v>7.0202522679314247E-2</v>
      </c>
      <c r="M170" s="5">
        <v>0</v>
      </c>
      <c r="N170" s="5">
        <v>0.35468972820165778</v>
      </c>
      <c r="O170" s="5">
        <v>0.55412657307030688</v>
      </c>
      <c r="P170" s="5">
        <v>2.098117604872107E-2</v>
      </c>
      <c r="Q170" s="4">
        <f>ROUND((L170*100*1)+(N170*100*2)+(O170*100*3),2)</f>
        <v>244.2</v>
      </c>
      <c r="R170" s="5">
        <v>0.1115907733335936</v>
      </c>
      <c r="S170" s="5">
        <v>0</v>
      </c>
      <c r="T170" s="5">
        <v>0.2395465002238614</v>
      </c>
      <c r="U170" s="5">
        <v>0.2321640608227791</v>
      </c>
      <c r="V170" s="5">
        <v>0.41669866561976587</v>
      </c>
      <c r="W170" s="4">
        <f>ROUND((R170*100*1)+(T170*100*2)+(U170*100*3),2)</f>
        <v>128.72</v>
      </c>
      <c r="X170" s="5">
        <v>0.1042882408982878</v>
      </c>
      <c r="Y170" s="5">
        <v>0</v>
      </c>
      <c r="Z170" s="5">
        <v>0.1800098533797187</v>
      </c>
      <c r="AA170" s="5">
        <v>8.5668624374534194E-2</v>
      </c>
      <c r="AB170" s="5">
        <v>0.6300332813474594</v>
      </c>
      <c r="AC170" s="4">
        <f>ROUND((X170*100*1)+(Z170*100*2)+(AA170*100*3),2)</f>
        <v>72.13</v>
      </c>
      <c r="AD170">
        <f>ROUND(AVERAGE(Q170,W170,AC170),2)</f>
        <v>148.35</v>
      </c>
    </row>
    <row r="171" spans="1:30" x14ac:dyDescent="0.2">
      <c r="A171">
        <v>172</v>
      </c>
      <c r="B171">
        <v>1</v>
      </c>
      <c r="C171" t="s">
        <v>822</v>
      </c>
      <c r="D171" t="s">
        <v>823</v>
      </c>
      <c r="E171" t="s">
        <v>824</v>
      </c>
      <c r="H171" t="s">
        <v>67</v>
      </c>
      <c r="I171" t="s">
        <v>67</v>
      </c>
      <c r="J171" t="s">
        <v>34</v>
      </c>
      <c r="K171" t="s">
        <v>639</v>
      </c>
      <c r="L171" s="5">
        <v>8.7540609080608029E-3</v>
      </c>
      <c r="M171" s="5">
        <v>0</v>
      </c>
      <c r="N171" s="5">
        <v>0.34939094625636619</v>
      </c>
      <c r="O171" s="5">
        <v>0.49014521943853429</v>
      </c>
      <c r="P171" s="5">
        <v>0.1517097733970387</v>
      </c>
      <c r="Q171" s="4">
        <f>ROUND((L171*100*1)+(N171*100*2)+(O171*100*3),2)</f>
        <v>217.8</v>
      </c>
      <c r="R171" s="5">
        <v>6.5041566499520254E-2</v>
      </c>
      <c r="S171" s="5">
        <v>0</v>
      </c>
      <c r="T171" s="5">
        <v>0.17845523679750949</v>
      </c>
      <c r="U171" s="5">
        <v>9.5726489759207486E-2</v>
      </c>
      <c r="V171" s="5">
        <v>0.66077670694376278</v>
      </c>
      <c r="W171" s="4">
        <f>ROUND((R171*100*1)+(T171*100*2)+(U171*100*3),2)</f>
        <v>70.91</v>
      </c>
      <c r="X171" s="5">
        <v>8.2905133700499831E-2</v>
      </c>
      <c r="Y171" s="5">
        <v>0</v>
      </c>
      <c r="Z171" s="5">
        <v>0.1531377018649635</v>
      </c>
      <c r="AA171" s="5">
        <v>3.3340911241046857E-2</v>
      </c>
      <c r="AB171" s="5">
        <v>0.73061625319348977</v>
      </c>
      <c r="AC171" s="4">
        <f>ROUND((X171*100*1)+(Z171*100*2)+(AA171*100*3),2)</f>
        <v>48.92</v>
      </c>
      <c r="AD171">
        <f>ROUND(AVERAGE(Q171,W171,AC171),2)</f>
        <v>112.54</v>
      </c>
    </row>
    <row r="172" spans="1:30" x14ac:dyDescent="0.2">
      <c r="A172">
        <v>173</v>
      </c>
      <c r="B172">
        <v>1</v>
      </c>
      <c r="C172" t="s">
        <v>825</v>
      </c>
      <c r="D172" t="s">
        <v>826</v>
      </c>
      <c r="E172" t="s">
        <v>827</v>
      </c>
      <c r="H172" t="s">
        <v>67</v>
      </c>
      <c r="I172" t="s">
        <v>67</v>
      </c>
      <c r="J172" t="s">
        <v>34</v>
      </c>
      <c r="K172" t="s">
        <v>753</v>
      </c>
      <c r="L172" s="5">
        <v>0</v>
      </c>
      <c r="M172" s="5">
        <v>0</v>
      </c>
      <c r="N172" s="5">
        <v>0.41039465028519068</v>
      </c>
      <c r="O172" s="5">
        <v>0.58960534971487921</v>
      </c>
      <c r="P172" s="5">
        <v>0</v>
      </c>
      <c r="Q172" s="4">
        <f>ROUND((L172*100*1)+(N172*100*2)+(O172*100*3),2)</f>
        <v>258.95999999999998</v>
      </c>
      <c r="R172" s="5">
        <v>7.70779294708144E-3</v>
      </c>
      <c r="S172" s="5">
        <v>0</v>
      </c>
      <c r="T172" s="5">
        <v>0.32477016225419869</v>
      </c>
      <c r="U172" s="5">
        <v>0.6583169734261658</v>
      </c>
      <c r="V172" s="5">
        <v>9.2050713725539968E-3</v>
      </c>
      <c r="W172" s="4">
        <f>ROUND((R172*100*1)+(T172*100*2)+(U172*100*3),2)</f>
        <v>263.22000000000003</v>
      </c>
      <c r="X172" s="5">
        <v>0.11794199257718101</v>
      </c>
      <c r="Y172" s="5">
        <v>7.4962119080532424E-4</v>
      </c>
      <c r="Z172" s="5">
        <v>0.27856814669256341</v>
      </c>
      <c r="AA172" s="5">
        <v>0.49538843133563398</v>
      </c>
      <c r="AB172" s="5">
        <v>0.1073518082038163</v>
      </c>
      <c r="AC172" s="4">
        <f>ROUND((X172*100*1)+(Z172*100*2)+(AA172*100*3),2)</f>
        <v>216.12</v>
      </c>
      <c r="AD172">
        <f>ROUND(AVERAGE(Q172,W172,AC172),2)</f>
        <v>246.1</v>
      </c>
    </row>
    <row r="173" spans="1:30" x14ac:dyDescent="0.2">
      <c r="A173">
        <v>174</v>
      </c>
      <c r="B173">
        <v>1</v>
      </c>
      <c r="C173" t="s">
        <v>828</v>
      </c>
      <c r="D173" t="s">
        <v>829</v>
      </c>
      <c r="E173" t="s">
        <v>830</v>
      </c>
      <c r="F173" t="s">
        <v>831</v>
      </c>
      <c r="G173" t="s">
        <v>832</v>
      </c>
      <c r="H173" t="s">
        <v>67</v>
      </c>
      <c r="I173" t="s">
        <v>67</v>
      </c>
      <c r="J173" t="s">
        <v>34</v>
      </c>
      <c r="K173" t="s">
        <v>818</v>
      </c>
      <c r="L173" s="5">
        <v>0.86668384048896396</v>
      </c>
      <c r="M173" s="5">
        <v>0</v>
      </c>
      <c r="N173" s="5">
        <v>0.1056745958040779</v>
      </c>
      <c r="O173" s="5">
        <v>1.213029473587389E-4</v>
      </c>
      <c r="P173" s="5">
        <v>2.752026075959935E-2</v>
      </c>
      <c r="Q173" s="4">
        <f>ROUND((L173*100*1)+(N173*100*2)+(O173*100*3),2)</f>
        <v>107.84</v>
      </c>
      <c r="R173" s="5">
        <v>0.66800231207271876</v>
      </c>
      <c r="S173" s="5">
        <v>0</v>
      </c>
      <c r="T173" s="5">
        <v>0.13318998655245701</v>
      </c>
      <c r="U173" s="5">
        <v>2.948189787711495E-2</v>
      </c>
      <c r="V173" s="5">
        <v>0.16932580349770929</v>
      </c>
      <c r="W173" s="4">
        <f>ROUND((R173*100*1)+(T173*100*2)+(U173*100*3),2)</f>
        <v>102.28</v>
      </c>
      <c r="X173" s="5">
        <v>0.54474308298731966</v>
      </c>
      <c r="Y173" s="5">
        <v>5.0200148202401318E-2</v>
      </c>
      <c r="Z173" s="5">
        <v>0.1349533069433517</v>
      </c>
      <c r="AA173" s="5">
        <v>4.5197970367946143E-2</v>
      </c>
      <c r="AB173" s="5">
        <v>0.2249054914989812</v>
      </c>
      <c r="AC173" s="4">
        <f>ROUND((X173*100*1)+(Z173*100*2)+(AA173*100*3),2)</f>
        <v>95.02</v>
      </c>
      <c r="AD173">
        <f>ROUND(AVERAGE(Q173,W173,AC173),2)</f>
        <v>101.71</v>
      </c>
    </row>
    <row r="174" spans="1:30" x14ac:dyDescent="0.2">
      <c r="A174">
        <v>175</v>
      </c>
      <c r="B174">
        <v>1</v>
      </c>
      <c r="C174" t="s">
        <v>833</v>
      </c>
      <c r="D174" t="s">
        <v>834</v>
      </c>
      <c r="E174" t="s">
        <v>830</v>
      </c>
      <c r="F174" t="s">
        <v>835</v>
      </c>
      <c r="G174" t="s">
        <v>836</v>
      </c>
      <c r="H174" t="s">
        <v>67</v>
      </c>
      <c r="I174" t="s">
        <v>67</v>
      </c>
      <c r="J174" t="s">
        <v>26</v>
      </c>
      <c r="K174" t="s">
        <v>650</v>
      </c>
      <c r="L174" s="5">
        <v>6.5754345752779284E-3</v>
      </c>
      <c r="M174" s="5">
        <v>0</v>
      </c>
      <c r="N174" s="5">
        <v>0.24156861510662561</v>
      </c>
      <c r="O174" s="5">
        <v>0.23022441636750299</v>
      </c>
      <c r="P174" s="5">
        <v>0.52163153395059336</v>
      </c>
      <c r="Q174" s="4">
        <f>ROUND((L174*100*1)+(N174*100*2)+(O174*100*3),2)</f>
        <v>118.04</v>
      </c>
      <c r="R174" s="5">
        <v>0.27608079688752468</v>
      </c>
      <c r="S174" s="5">
        <v>0</v>
      </c>
      <c r="T174" s="5">
        <v>0.16308500486716249</v>
      </c>
      <c r="U174" s="5">
        <v>0.17576413743246419</v>
      </c>
      <c r="V174" s="5">
        <v>0.38507006081284861</v>
      </c>
      <c r="W174" s="4">
        <f>ROUND((R174*100*1)+(T174*100*2)+(U174*100*3),2)</f>
        <v>112.95</v>
      </c>
      <c r="X174" s="5">
        <v>0.37724949402188668</v>
      </c>
      <c r="Y174" s="5">
        <v>1.477565544201089E-2</v>
      </c>
      <c r="Z174" s="5">
        <v>0.1561081329662368</v>
      </c>
      <c r="AA174" s="5">
        <v>0.15776021432243401</v>
      </c>
      <c r="AB174" s="5">
        <v>0.29410650324743159</v>
      </c>
      <c r="AC174" s="4">
        <f>ROUND((X174*100*1)+(Z174*100*2)+(AA174*100*3),2)</f>
        <v>116.27</v>
      </c>
      <c r="AD174">
        <f>ROUND(AVERAGE(Q174,W174,AC174),2)</f>
        <v>115.75</v>
      </c>
    </row>
    <row r="175" spans="1:30" x14ac:dyDescent="0.2">
      <c r="A175">
        <v>176</v>
      </c>
      <c r="B175">
        <v>1</v>
      </c>
      <c r="C175" t="s">
        <v>837</v>
      </c>
      <c r="D175" t="s">
        <v>838</v>
      </c>
      <c r="E175" t="s">
        <v>830</v>
      </c>
      <c r="F175" t="s">
        <v>839</v>
      </c>
      <c r="G175" t="s">
        <v>840</v>
      </c>
      <c r="H175" t="s">
        <v>67</v>
      </c>
      <c r="I175" t="s">
        <v>841</v>
      </c>
      <c r="J175" t="s">
        <v>92</v>
      </c>
      <c r="K175" t="s">
        <v>626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4">
        <f>ROUND((L175*100*1)+(N175*100*2)+(O175*100*3),2)</f>
        <v>100</v>
      </c>
      <c r="R175" s="5">
        <v>0.98856590674333955</v>
      </c>
      <c r="S175" s="5">
        <v>0</v>
      </c>
      <c r="T175" s="5">
        <v>5.1111649548862374E-3</v>
      </c>
      <c r="U175" s="5">
        <v>0</v>
      </c>
      <c r="V175" s="5">
        <v>6.3229283017741666E-3</v>
      </c>
      <c r="W175" s="4">
        <f>ROUND((R175*100*1)+(T175*100*2)+(U175*100*3),2)</f>
        <v>99.88</v>
      </c>
      <c r="X175" s="5">
        <v>0.9281896702206609</v>
      </c>
      <c r="Y175" s="5">
        <v>0</v>
      </c>
      <c r="Z175" s="5">
        <v>4.581928484173859E-2</v>
      </c>
      <c r="AA175" s="5">
        <v>0</v>
      </c>
      <c r="AB175" s="5">
        <v>2.5991044937600519E-2</v>
      </c>
      <c r="AC175" s="4">
        <f>ROUND((X175*100*1)+(Z175*100*2)+(AA175*100*3),2)</f>
        <v>101.98</v>
      </c>
      <c r="AD175">
        <f>ROUND(AVERAGE(Q175,W175,AC175),2)</f>
        <v>100.62</v>
      </c>
    </row>
    <row r="176" spans="1:30" x14ac:dyDescent="0.2">
      <c r="A176">
        <v>177</v>
      </c>
      <c r="B176">
        <v>1</v>
      </c>
      <c r="C176" t="s">
        <v>842</v>
      </c>
      <c r="D176" t="s">
        <v>843</v>
      </c>
      <c r="E176" t="s">
        <v>830</v>
      </c>
      <c r="F176" t="s">
        <v>844</v>
      </c>
      <c r="G176" t="s">
        <v>845</v>
      </c>
      <c r="H176" t="s">
        <v>67</v>
      </c>
      <c r="I176" t="s">
        <v>67</v>
      </c>
      <c r="J176" t="s">
        <v>34</v>
      </c>
      <c r="K176" t="s">
        <v>210</v>
      </c>
      <c r="L176" s="5">
        <v>0.60872547457997139</v>
      </c>
      <c r="M176" s="5">
        <v>0</v>
      </c>
      <c r="N176" s="5">
        <v>1.4126954088211531E-2</v>
      </c>
      <c r="O176" s="5">
        <v>7.5209633152509267E-2</v>
      </c>
      <c r="P176" s="5">
        <v>0.30193793817930781</v>
      </c>
      <c r="Q176" s="4">
        <f>ROUND((L176*100*1)+(N176*100*2)+(O176*100*3),2)</f>
        <v>86.26</v>
      </c>
      <c r="R176" s="5">
        <v>0.29947978932769592</v>
      </c>
      <c r="S176" s="5">
        <v>0</v>
      </c>
      <c r="T176" s="5">
        <v>0.1660098119105741</v>
      </c>
      <c r="U176" s="5">
        <v>0.27459993520372822</v>
      </c>
      <c r="V176" s="5">
        <v>0.25991046355800179</v>
      </c>
      <c r="W176" s="4">
        <f>ROUND((R176*100*1)+(T176*100*2)+(U176*100*3),2)</f>
        <v>145.53</v>
      </c>
      <c r="X176" s="5">
        <v>0.34212653598824633</v>
      </c>
      <c r="Y176" s="5">
        <v>0</v>
      </c>
      <c r="Z176" s="5">
        <v>0.1591723074878604</v>
      </c>
      <c r="AA176" s="5">
        <v>0.22795509891339469</v>
      </c>
      <c r="AB176" s="5">
        <v>0.27074605761049853</v>
      </c>
      <c r="AC176" s="4">
        <f>ROUND((X176*100*1)+(Z176*100*2)+(AA176*100*3),2)</f>
        <v>134.43</v>
      </c>
      <c r="AD176">
        <f>ROUND(AVERAGE(Q176,W176,AC176),2)</f>
        <v>122.07</v>
      </c>
    </row>
    <row r="177" spans="1:30" x14ac:dyDescent="0.2">
      <c r="A177">
        <v>179</v>
      </c>
      <c r="B177">
        <v>1</v>
      </c>
      <c r="C177" t="s">
        <v>846</v>
      </c>
      <c r="D177" t="s">
        <v>847</v>
      </c>
      <c r="E177" t="s">
        <v>848</v>
      </c>
      <c r="F177" t="s">
        <v>849</v>
      </c>
      <c r="G177" t="s">
        <v>850</v>
      </c>
      <c r="H177" t="s">
        <v>25</v>
      </c>
      <c r="I177" t="s">
        <v>25</v>
      </c>
      <c r="J177" t="s">
        <v>26</v>
      </c>
      <c r="K177" t="s">
        <v>86</v>
      </c>
      <c r="L177" s="5">
        <v>0</v>
      </c>
      <c r="M177" s="5">
        <v>0</v>
      </c>
      <c r="N177" s="5">
        <v>0.19488398444407171</v>
      </c>
      <c r="O177" s="5">
        <v>0.23961522963142531</v>
      </c>
      <c r="P177" s="5">
        <v>0.56550078592450304</v>
      </c>
      <c r="Q177" s="4">
        <f>ROUND((L177*100*1)+(N177*100*2)+(O177*100*3),2)</f>
        <v>110.86</v>
      </c>
      <c r="R177" s="5">
        <v>0.13940777163644361</v>
      </c>
      <c r="S177" s="5">
        <v>0</v>
      </c>
      <c r="T177" s="5">
        <v>0.2493737917591041</v>
      </c>
      <c r="U177" s="5">
        <v>0.20958491949019581</v>
      </c>
      <c r="V177" s="5">
        <v>0.40163351711425649</v>
      </c>
      <c r="W177" s="4">
        <f>ROUND((R177*100*1)+(T177*100*2)+(U177*100*3),2)</f>
        <v>126.69</v>
      </c>
      <c r="X177" s="5">
        <v>0.23669738870082119</v>
      </c>
      <c r="Y177" s="5">
        <v>1.290425989783951E-3</v>
      </c>
      <c r="Z177" s="5">
        <v>0.2443688715797869</v>
      </c>
      <c r="AA177" s="5">
        <v>0.2373725012121613</v>
      </c>
      <c r="AB177" s="5">
        <v>0.28027081251744668</v>
      </c>
      <c r="AC177" s="4">
        <f>ROUND((X177*100*1)+(Z177*100*2)+(AA177*100*3),2)</f>
        <v>143.76</v>
      </c>
      <c r="AD177">
        <f>ROUND(AVERAGE(Q177,W177,AC177),2)</f>
        <v>127.1</v>
      </c>
    </row>
    <row r="178" spans="1:30" x14ac:dyDescent="0.2">
      <c r="A178">
        <v>180</v>
      </c>
      <c r="B178">
        <v>1</v>
      </c>
      <c r="C178" t="s">
        <v>851</v>
      </c>
      <c r="D178" t="s">
        <v>852</v>
      </c>
      <c r="E178" t="s">
        <v>853</v>
      </c>
      <c r="F178" t="s">
        <v>854</v>
      </c>
      <c r="G178" t="s">
        <v>855</v>
      </c>
      <c r="H178" t="s">
        <v>67</v>
      </c>
      <c r="I178" t="s">
        <v>67</v>
      </c>
      <c r="J178" t="s">
        <v>26</v>
      </c>
      <c r="K178" t="s">
        <v>193</v>
      </c>
      <c r="L178" s="5">
        <v>0</v>
      </c>
      <c r="M178" s="5">
        <v>0</v>
      </c>
      <c r="N178" s="5">
        <v>0.11198581150213061</v>
      </c>
      <c r="O178" s="5">
        <v>0.88801418849785063</v>
      </c>
      <c r="P178" s="5">
        <v>1.8762769116165149E-14</v>
      </c>
      <c r="Q178" s="4">
        <f>ROUND((L178*100*1)+(N178*100*2)+(O178*100*3),2)</f>
        <v>288.8</v>
      </c>
      <c r="R178" s="5">
        <v>0</v>
      </c>
      <c r="S178" s="5">
        <v>0</v>
      </c>
      <c r="T178" s="5">
        <v>4.7252119537936087E-2</v>
      </c>
      <c r="U178" s="5">
        <v>0.74607609687646226</v>
      </c>
      <c r="V178" s="5">
        <v>0.2066717835856017</v>
      </c>
      <c r="W178" s="4">
        <f>ROUND((R178*100*1)+(T178*100*2)+(U178*100*3),2)</f>
        <v>233.27</v>
      </c>
      <c r="X178" s="5">
        <v>0</v>
      </c>
      <c r="Y178" s="5">
        <v>0</v>
      </c>
      <c r="Z178" s="5">
        <v>3.8710056278861177E-2</v>
      </c>
      <c r="AA178" s="5">
        <v>0.50665162850626932</v>
      </c>
      <c r="AB178" s="5">
        <v>0.45463831521486953</v>
      </c>
      <c r="AC178" s="4">
        <f>ROUND((X178*100*1)+(Z178*100*2)+(AA178*100*3),2)</f>
        <v>159.74</v>
      </c>
      <c r="AD178">
        <f>ROUND(AVERAGE(Q178,W178,AC178),2)</f>
        <v>227.27</v>
      </c>
    </row>
    <row r="179" spans="1:30" x14ac:dyDescent="0.2">
      <c r="A179">
        <v>181</v>
      </c>
      <c r="B179">
        <v>3</v>
      </c>
      <c r="C179" t="s">
        <v>856</v>
      </c>
      <c r="D179" t="s">
        <v>857</v>
      </c>
      <c r="E179" t="s">
        <v>858</v>
      </c>
      <c r="H179" t="s">
        <v>67</v>
      </c>
      <c r="I179" t="s">
        <v>67</v>
      </c>
      <c r="J179" t="s">
        <v>26</v>
      </c>
      <c r="K179" t="s">
        <v>540</v>
      </c>
      <c r="L179" s="5">
        <v>0</v>
      </c>
      <c r="M179" s="5">
        <v>0</v>
      </c>
      <c r="N179" s="5">
        <v>0.27184905532449211</v>
      </c>
      <c r="O179" s="5">
        <v>0.41456295626134781</v>
      </c>
      <c r="P179" s="5">
        <v>0.31358798841416008</v>
      </c>
      <c r="Q179" s="4">
        <f>ROUND((L179*100*1)+(N179*100*2)+(O179*100*3),2)</f>
        <v>178.74</v>
      </c>
      <c r="R179" s="5">
        <v>2.5836376400357598E-3</v>
      </c>
      <c r="S179" s="5">
        <v>0</v>
      </c>
      <c r="T179" s="5">
        <v>0.299405538638156</v>
      </c>
      <c r="U179" s="5">
        <v>0.25792867698197169</v>
      </c>
      <c r="V179" s="5">
        <v>0.44008214673983659</v>
      </c>
      <c r="W179" s="4">
        <f>ROUND((R179*100*1)+(T179*100*2)+(U179*100*3),2)</f>
        <v>137.52000000000001</v>
      </c>
      <c r="X179" s="5">
        <v>4.570457573497623E-2</v>
      </c>
      <c r="Y179" s="5">
        <v>0</v>
      </c>
      <c r="Z179" s="5">
        <v>0.2267435753167073</v>
      </c>
      <c r="AA179" s="5">
        <v>0.12775604099557891</v>
      </c>
      <c r="AB179" s="5">
        <v>0.59979580795273779</v>
      </c>
      <c r="AC179" s="4">
        <f>ROUND((X179*100*1)+(Z179*100*2)+(AA179*100*3),2)</f>
        <v>88.25</v>
      </c>
      <c r="AD179">
        <f>ROUND(AVERAGE(Q179,W179,AC179),2)</f>
        <v>134.84</v>
      </c>
    </row>
    <row r="180" spans="1:30" x14ac:dyDescent="0.2">
      <c r="A180">
        <v>182</v>
      </c>
      <c r="B180">
        <v>4</v>
      </c>
      <c r="C180" t="s">
        <v>859</v>
      </c>
      <c r="D180" t="s">
        <v>860</v>
      </c>
      <c r="E180" t="s">
        <v>861</v>
      </c>
      <c r="H180" t="s">
        <v>67</v>
      </c>
      <c r="I180" t="s">
        <v>67</v>
      </c>
      <c r="J180" t="s">
        <v>26</v>
      </c>
      <c r="K180" t="s">
        <v>585</v>
      </c>
      <c r="L180" s="5">
        <v>2.087520493344211E-2</v>
      </c>
      <c r="M180" s="5">
        <v>0</v>
      </c>
      <c r="N180" s="5">
        <v>0.45824060299638952</v>
      </c>
      <c r="O180" s="5">
        <v>0.24808900651851709</v>
      </c>
      <c r="P180" s="5">
        <v>0.27279518555165128</v>
      </c>
      <c r="Q180" s="4">
        <f>ROUND((L180*100*1)+(N180*100*2)+(O180*100*3),2)</f>
        <v>168.16</v>
      </c>
      <c r="R180" s="5">
        <v>6.5860788762258163E-2</v>
      </c>
      <c r="S180" s="5">
        <v>0</v>
      </c>
      <c r="T180" s="5">
        <v>0.18396700566258811</v>
      </c>
      <c r="U180" s="5">
        <v>5.1682958371053557E-2</v>
      </c>
      <c r="V180" s="5">
        <v>0.69848924720410022</v>
      </c>
      <c r="W180" s="4">
        <f>ROUND((R180*100*1)+(T180*100*2)+(U180*100*3),2)</f>
        <v>58.88</v>
      </c>
      <c r="X180" s="5">
        <v>3.4241510551142107E-2</v>
      </c>
      <c r="Y180" s="5">
        <v>0</v>
      </c>
      <c r="Z180" s="5">
        <v>0.12633886553168969</v>
      </c>
      <c r="AA180" s="5">
        <v>2.0070084788861901E-2</v>
      </c>
      <c r="AB180" s="5">
        <v>0.81934953912830621</v>
      </c>
      <c r="AC180" s="4">
        <f>ROUND((X180*100*1)+(Z180*100*2)+(AA180*100*3),2)</f>
        <v>34.71</v>
      </c>
      <c r="AD180">
        <f>ROUND(AVERAGE(Q180,W180,AC180),2)</f>
        <v>87.25</v>
      </c>
    </row>
    <row r="181" spans="1:30" x14ac:dyDescent="0.2">
      <c r="A181">
        <v>183</v>
      </c>
      <c r="B181">
        <v>1</v>
      </c>
      <c r="C181" t="s">
        <v>862</v>
      </c>
      <c r="D181" t="s">
        <v>863</v>
      </c>
      <c r="E181" t="s">
        <v>456</v>
      </c>
      <c r="F181" t="s">
        <v>864</v>
      </c>
      <c r="G181" t="s">
        <v>865</v>
      </c>
      <c r="H181" t="s">
        <v>25</v>
      </c>
      <c r="I181" t="s">
        <v>25</v>
      </c>
      <c r="J181" t="s">
        <v>92</v>
      </c>
      <c r="K181" t="s">
        <v>230</v>
      </c>
      <c r="L181" s="5">
        <v>0.74093846937911667</v>
      </c>
      <c r="M181" s="5">
        <v>0</v>
      </c>
      <c r="N181" s="5">
        <v>0.25906153062108778</v>
      </c>
      <c r="O181" s="5">
        <v>0</v>
      </c>
      <c r="P181" s="5">
        <v>0</v>
      </c>
      <c r="Q181" s="4">
        <f>ROUND((L181*100*1)+(N181*100*2)+(O181*100*3),2)</f>
        <v>125.91</v>
      </c>
      <c r="R181" s="5">
        <v>0.88416554020779492</v>
      </c>
      <c r="S181" s="5">
        <v>0</v>
      </c>
      <c r="T181" s="5">
        <v>0.1152595964555849</v>
      </c>
      <c r="U181" s="5">
        <v>0</v>
      </c>
      <c r="V181" s="5">
        <v>5.7486333662026823E-4</v>
      </c>
      <c r="W181" s="4">
        <f>ROUND((R181*100*1)+(T181*100*2)+(U181*100*3),2)</f>
        <v>111.47</v>
      </c>
      <c r="X181" s="5">
        <v>0.84186080777423944</v>
      </c>
      <c r="Y181" s="5">
        <v>0</v>
      </c>
      <c r="Z181" s="5">
        <v>8.9859694180225783E-2</v>
      </c>
      <c r="AA181" s="5">
        <v>0</v>
      </c>
      <c r="AB181" s="5">
        <v>6.8279498045534792E-2</v>
      </c>
      <c r="AC181" s="4">
        <f>ROUND((X181*100*1)+(Z181*100*2)+(AA181*100*3),2)</f>
        <v>102.16</v>
      </c>
      <c r="AD181">
        <f>ROUND(AVERAGE(Q181,W181,AC181),2)</f>
        <v>113.18</v>
      </c>
    </row>
    <row r="182" spans="1:30" x14ac:dyDescent="0.2">
      <c r="A182">
        <v>184</v>
      </c>
      <c r="B182">
        <v>1</v>
      </c>
      <c r="C182" t="s">
        <v>866</v>
      </c>
      <c r="D182" t="s">
        <v>867</v>
      </c>
      <c r="E182" t="s">
        <v>868</v>
      </c>
      <c r="H182" t="s">
        <v>80</v>
      </c>
      <c r="I182" t="s">
        <v>80</v>
      </c>
      <c r="J182" t="s">
        <v>26</v>
      </c>
      <c r="K182" t="s">
        <v>149</v>
      </c>
      <c r="L182" s="5">
        <v>0.85998272441303536</v>
      </c>
      <c r="M182" s="5">
        <v>0</v>
      </c>
      <c r="N182" s="5">
        <v>0.1400172755869718</v>
      </c>
      <c r="O182" s="5">
        <v>0</v>
      </c>
      <c r="P182" s="5">
        <v>0</v>
      </c>
      <c r="Q182" s="4">
        <f>ROUND((L182*100*1)+(N182*100*2)+(O182*100*3),2)</f>
        <v>114</v>
      </c>
      <c r="R182" s="5">
        <v>0.66905491590523203</v>
      </c>
      <c r="S182" s="5">
        <v>0</v>
      </c>
      <c r="T182" s="5">
        <v>0.1025810873943446</v>
      </c>
      <c r="U182" s="5">
        <v>7.3560714205951505E-2</v>
      </c>
      <c r="V182" s="5">
        <v>0.15480328249447181</v>
      </c>
      <c r="W182" s="4">
        <f>ROUND((R182*100*1)+(T182*100*2)+(U182*100*3),2)</f>
        <v>109.49</v>
      </c>
      <c r="X182" s="5">
        <v>0.51132482518630873</v>
      </c>
      <c r="Y182" s="5">
        <v>0</v>
      </c>
      <c r="Z182" s="5">
        <v>0.1117574034873418</v>
      </c>
      <c r="AA182" s="5">
        <v>6.3082912184659751E-2</v>
      </c>
      <c r="AB182" s="5">
        <v>0.31383485914168968</v>
      </c>
      <c r="AC182" s="4">
        <f>ROUND((X182*100*1)+(Z182*100*2)+(AA182*100*3),2)</f>
        <v>92.41</v>
      </c>
      <c r="AD182">
        <f>ROUND(AVERAGE(Q182,W182,AC182),2)</f>
        <v>105.3</v>
      </c>
    </row>
    <row r="183" spans="1:30" x14ac:dyDescent="0.2">
      <c r="A183">
        <v>185</v>
      </c>
      <c r="B183">
        <v>1</v>
      </c>
      <c r="C183" t="s">
        <v>869</v>
      </c>
      <c r="D183" t="s">
        <v>870</v>
      </c>
      <c r="E183" t="s">
        <v>871</v>
      </c>
      <c r="F183" t="s">
        <v>872</v>
      </c>
      <c r="G183" t="s">
        <v>345</v>
      </c>
      <c r="H183" t="s">
        <v>25</v>
      </c>
      <c r="I183" t="s">
        <v>25</v>
      </c>
      <c r="J183" t="s">
        <v>92</v>
      </c>
      <c r="K183" t="s">
        <v>118</v>
      </c>
      <c r="L183" s="5">
        <v>0.5033647317636375</v>
      </c>
      <c r="M183" s="5">
        <v>0</v>
      </c>
      <c r="N183" s="5">
        <v>0.27657683195816479</v>
      </c>
      <c r="O183" s="5">
        <v>6.8244430639713988E-3</v>
      </c>
      <c r="P183" s="5">
        <v>0.2132339932142262</v>
      </c>
      <c r="Q183" s="4">
        <f>ROUND((L183*100*1)+(N183*100*2)+(O183*100*3),2)</f>
        <v>107.7</v>
      </c>
      <c r="R183" s="5">
        <v>0.75589201145801199</v>
      </c>
      <c r="S183" s="5">
        <v>2.8946107953157701E-2</v>
      </c>
      <c r="T183" s="5">
        <v>0.1405786889546774</v>
      </c>
      <c r="U183" s="5">
        <v>1.326559626971489E-2</v>
      </c>
      <c r="V183" s="5">
        <v>6.1317595364438038E-2</v>
      </c>
      <c r="W183" s="4">
        <f>ROUND((R183*100*1)+(T183*100*2)+(U183*100*3),2)</f>
        <v>107.68</v>
      </c>
      <c r="X183" s="5">
        <v>0.79924441914710298</v>
      </c>
      <c r="Y183" s="5">
        <v>1.174747353632861E-2</v>
      </c>
      <c r="Z183" s="5">
        <v>9.5104891603036645E-2</v>
      </c>
      <c r="AA183" s="5">
        <v>2.8192547601146929E-2</v>
      </c>
      <c r="AB183" s="5">
        <v>6.5710668112384796E-2</v>
      </c>
      <c r="AC183" s="4">
        <f>ROUND((X183*100*1)+(Z183*100*2)+(AA183*100*3),2)</f>
        <v>107.4</v>
      </c>
      <c r="AD183">
        <f>ROUND(AVERAGE(Q183,W183,AC183),2)</f>
        <v>107.59</v>
      </c>
    </row>
    <row r="184" spans="1:30" x14ac:dyDescent="0.2">
      <c r="A184">
        <v>186</v>
      </c>
      <c r="B184">
        <v>1</v>
      </c>
      <c r="C184" t="s">
        <v>873</v>
      </c>
      <c r="D184" t="s">
        <v>874</v>
      </c>
      <c r="E184" t="s">
        <v>871</v>
      </c>
      <c r="F184" t="s">
        <v>875</v>
      </c>
      <c r="G184" t="s">
        <v>876</v>
      </c>
      <c r="H184" t="s">
        <v>25</v>
      </c>
      <c r="I184" t="s">
        <v>877</v>
      </c>
      <c r="J184" t="s">
        <v>92</v>
      </c>
      <c r="K184" t="s">
        <v>878</v>
      </c>
      <c r="L184" s="5">
        <v>0.36804947407402561</v>
      </c>
      <c r="M184" s="5">
        <v>0.12717553665035489</v>
      </c>
      <c r="N184" s="5">
        <v>0.29284582694995648</v>
      </c>
      <c r="O184" s="5">
        <v>0.12274011889272669</v>
      </c>
      <c r="P184" s="5">
        <v>8.9189043432936321E-2</v>
      </c>
      <c r="Q184" s="4">
        <f>ROUND((L184*100*1)+(N184*100*2)+(O184*100*3),2)</f>
        <v>132.19999999999999</v>
      </c>
      <c r="R184" s="5">
        <v>0.48800880208735209</v>
      </c>
      <c r="S184" s="5">
        <v>1.1873641924909769E-2</v>
      </c>
      <c r="T184" s="5">
        <v>0.20524651861987561</v>
      </c>
      <c r="U184" s="5">
        <v>0.1491150794127109</v>
      </c>
      <c r="V184" s="5">
        <v>0.14575595795515159</v>
      </c>
      <c r="W184" s="4">
        <f>ROUND((R184*100*1)+(T184*100*2)+(U184*100*3),2)</f>
        <v>134.58000000000001</v>
      </c>
      <c r="X184" s="5">
        <v>0.47946252649295329</v>
      </c>
      <c r="Y184" s="5">
        <v>4.1355119415973597E-3</v>
      </c>
      <c r="Z184" s="5">
        <v>0.20716577284055099</v>
      </c>
      <c r="AA184" s="5">
        <v>9.7660894425740163E-2</v>
      </c>
      <c r="AB184" s="5">
        <v>0.2115752942991582</v>
      </c>
      <c r="AC184" s="4">
        <f>ROUND((X184*100*1)+(Z184*100*2)+(AA184*100*3),2)</f>
        <v>118.68</v>
      </c>
      <c r="AD184">
        <f>ROUND(AVERAGE(Q184,W184,AC184),2)</f>
        <v>128.49</v>
      </c>
    </row>
    <row r="185" spans="1:30" x14ac:dyDescent="0.2">
      <c r="A185">
        <v>187</v>
      </c>
      <c r="B185">
        <v>1</v>
      </c>
      <c r="C185" t="s">
        <v>879</v>
      </c>
      <c r="D185" t="s">
        <v>880</v>
      </c>
      <c r="E185" t="s">
        <v>871</v>
      </c>
      <c r="F185" t="s">
        <v>881</v>
      </c>
      <c r="G185" t="s">
        <v>882</v>
      </c>
      <c r="H185" t="s">
        <v>67</v>
      </c>
      <c r="I185" t="s">
        <v>67</v>
      </c>
      <c r="J185" t="s">
        <v>26</v>
      </c>
      <c r="K185" t="s">
        <v>124</v>
      </c>
      <c r="L185" s="5">
        <v>0.19328348374493851</v>
      </c>
      <c r="M185" s="5">
        <v>0</v>
      </c>
      <c r="N185" s="5">
        <v>0.31401103104300471</v>
      </c>
      <c r="O185" s="5">
        <v>0.35473878973074141</v>
      </c>
      <c r="P185" s="5">
        <v>0.13796669548131521</v>
      </c>
      <c r="Q185" s="4">
        <f>ROUND((L185*100*1)+(N185*100*2)+(O185*100*3),2)</f>
        <v>188.55</v>
      </c>
      <c r="R185" s="5">
        <v>0.32991411558762318</v>
      </c>
      <c r="S185" s="5">
        <v>0</v>
      </c>
      <c r="T185" s="5">
        <v>0.26016428114888129</v>
      </c>
      <c r="U185" s="5">
        <v>0.32031862459470262</v>
      </c>
      <c r="V185" s="5">
        <v>8.9602978668792854E-2</v>
      </c>
      <c r="W185" s="4">
        <f>ROUND((R185*100*1)+(T185*100*2)+(U185*100*3),2)</f>
        <v>181.12</v>
      </c>
      <c r="X185" s="5">
        <v>0.32284190243031968</v>
      </c>
      <c r="Y185" s="5">
        <v>0</v>
      </c>
      <c r="Z185" s="5">
        <v>0.25503287836509497</v>
      </c>
      <c r="AA185" s="5">
        <v>0.2834769523674403</v>
      </c>
      <c r="AB185" s="5">
        <v>0.13864826683714501</v>
      </c>
      <c r="AC185" s="4">
        <f>ROUND((X185*100*1)+(Z185*100*2)+(AA185*100*3),2)</f>
        <v>168.33</v>
      </c>
      <c r="AD185">
        <f>ROUND(AVERAGE(Q185,W185,AC185),2)</f>
        <v>179.33</v>
      </c>
    </row>
    <row r="186" spans="1:30" x14ac:dyDescent="0.2">
      <c r="A186">
        <v>188</v>
      </c>
      <c r="B186">
        <v>1</v>
      </c>
      <c r="C186" t="s">
        <v>883</v>
      </c>
      <c r="D186" t="s">
        <v>884</v>
      </c>
      <c r="E186" t="s">
        <v>871</v>
      </c>
      <c r="F186" t="s">
        <v>885</v>
      </c>
      <c r="G186" t="s">
        <v>886</v>
      </c>
      <c r="H186" t="s">
        <v>67</v>
      </c>
      <c r="I186" t="s">
        <v>67</v>
      </c>
      <c r="J186" t="s">
        <v>26</v>
      </c>
      <c r="K186" t="s">
        <v>561</v>
      </c>
      <c r="L186" s="5">
        <v>2.6457167574566328E-3</v>
      </c>
      <c r="M186" s="5">
        <v>0</v>
      </c>
      <c r="N186" s="5">
        <v>0.15906669103814569</v>
      </c>
      <c r="O186" s="5">
        <v>0.1521239332059599</v>
      </c>
      <c r="P186" s="5">
        <v>0.68616365899843779</v>
      </c>
      <c r="Q186" s="4">
        <f>ROUND((L186*100*1)+(N186*100*2)+(O186*100*3),2)</f>
        <v>77.72</v>
      </c>
      <c r="R186" s="5">
        <v>0.16994258471127241</v>
      </c>
      <c r="S186" s="5">
        <v>0</v>
      </c>
      <c r="T186" s="5">
        <v>0.20534416730695401</v>
      </c>
      <c r="U186" s="5">
        <v>0.1028625946197972</v>
      </c>
      <c r="V186" s="5">
        <v>0.52185065336197622</v>
      </c>
      <c r="W186" s="4">
        <f>ROUND((R186*100*1)+(T186*100*2)+(U186*100*3),2)</f>
        <v>88.92</v>
      </c>
      <c r="X186" s="5">
        <v>0.2475649764410574</v>
      </c>
      <c r="Y186" s="5">
        <v>0</v>
      </c>
      <c r="Z186" s="5">
        <v>0.2166567299434542</v>
      </c>
      <c r="AA186" s="5">
        <v>0.1302638142090107</v>
      </c>
      <c r="AB186" s="5">
        <v>0.40551447940647772</v>
      </c>
      <c r="AC186" s="4">
        <f>ROUND((X186*100*1)+(Z186*100*2)+(AA186*100*3),2)</f>
        <v>107.17</v>
      </c>
      <c r="AD186">
        <f>ROUND(AVERAGE(Q186,W186,AC186),2)</f>
        <v>91.27</v>
      </c>
    </row>
    <row r="187" spans="1:30" x14ac:dyDescent="0.2">
      <c r="A187">
        <v>189</v>
      </c>
      <c r="B187">
        <v>1</v>
      </c>
      <c r="C187" t="s">
        <v>887</v>
      </c>
      <c r="D187" t="s">
        <v>888</v>
      </c>
      <c r="E187" t="s">
        <v>871</v>
      </c>
      <c r="F187" t="s">
        <v>889</v>
      </c>
      <c r="G187" t="s">
        <v>890</v>
      </c>
      <c r="H187" t="s">
        <v>67</v>
      </c>
      <c r="I187" t="s">
        <v>67</v>
      </c>
      <c r="J187" t="s">
        <v>26</v>
      </c>
      <c r="K187" t="s">
        <v>891</v>
      </c>
      <c r="L187" s="5">
        <v>0.30485134417238458</v>
      </c>
      <c r="M187" s="5">
        <v>0</v>
      </c>
      <c r="N187" s="5">
        <v>0.47448759490708969</v>
      </c>
      <c r="O187" s="5">
        <v>4.9794136242511569E-2</v>
      </c>
      <c r="P187" s="5">
        <v>0.17086692467801409</v>
      </c>
      <c r="Q187" s="4">
        <f>ROUND((L187*100*1)+(N187*100*2)+(O187*100*3),2)</f>
        <v>140.32</v>
      </c>
      <c r="R187" s="5">
        <v>0.4202428710523492</v>
      </c>
      <c r="S187" s="5">
        <v>0</v>
      </c>
      <c r="T187" s="5">
        <v>0.19120430643019659</v>
      </c>
      <c r="U187" s="5">
        <v>9.8414885208765096E-2</v>
      </c>
      <c r="V187" s="5">
        <v>0.2901379373086892</v>
      </c>
      <c r="W187" s="4">
        <f>ROUND((R187*100*1)+(T187*100*2)+(U187*100*3),2)</f>
        <v>109.79</v>
      </c>
      <c r="X187" s="5">
        <v>0.44766742358100059</v>
      </c>
      <c r="Y187" s="5">
        <v>0</v>
      </c>
      <c r="Z187" s="5">
        <v>0.17294404000670299</v>
      </c>
      <c r="AA187" s="5">
        <v>0.1184202000409748</v>
      </c>
      <c r="AB187" s="5">
        <v>0.26096833637132161</v>
      </c>
      <c r="AC187" s="4">
        <f>ROUND((X187*100*1)+(Z187*100*2)+(AA187*100*3),2)</f>
        <v>114.88</v>
      </c>
      <c r="AD187">
        <f>ROUND(AVERAGE(Q187,W187,AC187),2)</f>
        <v>121.66</v>
      </c>
    </row>
    <row r="188" spans="1:30" x14ac:dyDescent="0.2">
      <c r="A188">
        <v>190</v>
      </c>
      <c r="B188">
        <v>1</v>
      </c>
      <c r="C188" t="s">
        <v>892</v>
      </c>
      <c r="D188" t="s">
        <v>893</v>
      </c>
      <c r="E188" t="s">
        <v>894</v>
      </c>
      <c r="H188" t="s">
        <v>25</v>
      </c>
      <c r="I188" t="s">
        <v>25</v>
      </c>
      <c r="J188" t="s">
        <v>34</v>
      </c>
      <c r="K188" t="s">
        <v>878</v>
      </c>
      <c r="L188" s="5">
        <v>0</v>
      </c>
      <c r="M188" s="5">
        <v>0</v>
      </c>
      <c r="N188" s="5">
        <v>0.3899312971434285</v>
      </c>
      <c r="O188" s="5">
        <v>0.61006870285668291</v>
      </c>
      <c r="P188" s="5">
        <v>0</v>
      </c>
      <c r="Q188" s="4">
        <f>ROUND((L188*100*1)+(N188*100*2)+(O188*100*3),2)</f>
        <v>261.01</v>
      </c>
      <c r="R188" s="5">
        <v>0</v>
      </c>
      <c r="S188" s="5">
        <v>0</v>
      </c>
      <c r="T188" s="5">
        <v>0.30845874004822821</v>
      </c>
      <c r="U188" s="5">
        <v>0.41768472398044743</v>
      </c>
      <c r="V188" s="5">
        <v>0.27385653597132448</v>
      </c>
      <c r="W188" s="4">
        <f>ROUND((R188*100*1)+(T188*100*2)+(U188*100*3),2)</f>
        <v>187</v>
      </c>
      <c r="X188" s="5">
        <v>0</v>
      </c>
      <c r="Y188" s="5">
        <v>0</v>
      </c>
      <c r="Z188" s="5">
        <v>0.22185204573463471</v>
      </c>
      <c r="AA188" s="5">
        <v>0.19926251197795819</v>
      </c>
      <c r="AB188" s="5">
        <v>0.57888544228740713</v>
      </c>
      <c r="AC188" s="4">
        <f>ROUND((X188*100*1)+(Z188*100*2)+(AA188*100*3),2)</f>
        <v>104.15</v>
      </c>
      <c r="AD188">
        <f>ROUND(AVERAGE(Q188,W188,AC188),2)</f>
        <v>184.05</v>
      </c>
    </row>
    <row r="189" spans="1:30" x14ac:dyDescent="0.2">
      <c r="A189">
        <v>191</v>
      </c>
      <c r="B189">
        <v>1</v>
      </c>
      <c r="C189" t="s">
        <v>895</v>
      </c>
      <c r="D189" t="s">
        <v>896</v>
      </c>
      <c r="E189" t="s">
        <v>474</v>
      </c>
      <c r="F189" t="s">
        <v>897</v>
      </c>
      <c r="G189" t="s">
        <v>898</v>
      </c>
      <c r="H189" t="s">
        <v>25</v>
      </c>
      <c r="I189" t="s">
        <v>25</v>
      </c>
      <c r="J189" t="s">
        <v>26</v>
      </c>
      <c r="K189" t="s">
        <v>891</v>
      </c>
      <c r="L189" s="5">
        <v>0.85169457487574707</v>
      </c>
      <c r="M189" s="5">
        <v>0</v>
      </c>
      <c r="N189" s="5">
        <v>3.3256408810874272E-2</v>
      </c>
      <c r="O189" s="5">
        <v>0</v>
      </c>
      <c r="P189" s="5">
        <v>0.1150490163133786</v>
      </c>
      <c r="Q189" s="4">
        <f>ROUND((L189*100*1)+(N189*100*2)+(O189*100*3),2)</f>
        <v>91.82</v>
      </c>
      <c r="R189" s="5">
        <v>0.51638999568229937</v>
      </c>
      <c r="S189" s="5">
        <v>0</v>
      </c>
      <c r="T189" s="5">
        <v>0.1277228699551228</v>
      </c>
      <c r="U189" s="5">
        <v>3.0012686148812119E-2</v>
      </c>
      <c r="V189" s="5">
        <v>0.32587444821376571</v>
      </c>
      <c r="W189" s="4">
        <f>ROUND((R189*100*1)+(T189*100*2)+(U189*100*3),2)</f>
        <v>86.19</v>
      </c>
      <c r="X189" s="5">
        <v>0.3452235741551169</v>
      </c>
      <c r="Y189" s="5">
        <v>0</v>
      </c>
      <c r="Z189" s="5">
        <v>0.1565018815277614</v>
      </c>
      <c r="AA189" s="5">
        <v>4.1796304796504577E-2</v>
      </c>
      <c r="AB189" s="5">
        <v>0.45647823952061728</v>
      </c>
      <c r="AC189" s="4">
        <f>ROUND((X189*100*1)+(Z189*100*2)+(AA189*100*3),2)</f>
        <v>78.36</v>
      </c>
      <c r="AD189">
        <f>ROUND(AVERAGE(Q189,W189,AC189),2)</f>
        <v>85.46</v>
      </c>
    </row>
    <row r="190" spans="1:30" x14ac:dyDescent="0.2">
      <c r="A190">
        <v>192</v>
      </c>
      <c r="B190">
        <v>1</v>
      </c>
      <c r="C190" t="s">
        <v>899</v>
      </c>
      <c r="D190" t="s">
        <v>900</v>
      </c>
      <c r="E190" t="s">
        <v>474</v>
      </c>
      <c r="H190" t="s">
        <v>67</v>
      </c>
      <c r="I190" t="s">
        <v>67</v>
      </c>
      <c r="J190" t="s">
        <v>26</v>
      </c>
      <c r="K190" t="s">
        <v>161</v>
      </c>
      <c r="L190" s="5">
        <v>8.2133683352227352E-14</v>
      </c>
      <c r="M190" s="5">
        <v>0</v>
      </c>
      <c r="N190" s="5">
        <v>0.37493398698530578</v>
      </c>
      <c r="O190" s="5">
        <v>0.62506601301451126</v>
      </c>
      <c r="P190" s="5">
        <v>1.008082506359642E-13</v>
      </c>
      <c r="Q190" s="4">
        <f>ROUND((L190*100*1)+(N190*100*2)+(O190*100*3),2)</f>
        <v>262.51</v>
      </c>
      <c r="R190" s="5">
        <v>6.1804120774694687E-2</v>
      </c>
      <c r="S190" s="5">
        <v>2.252106584252761E-3</v>
      </c>
      <c r="T190" s="5">
        <v>0.37838528885553091</v>
      </c>
      <c r="U190" s="5">
        <v>0.49342515083685229</v>
      </c>
      <c r="V190" s="5">
        <v>6.4133332948669297E-2</v>
      </c>
      <c r="W190" s="4">
        <f>ROUND((R190*100*1)+(T190*100*2)+(U190*100*3),2)</f>
        <v>229.89</v>
      </c>
      <c r="X190" s="5">
        <v>0.26099983086546658</v>
      </c>
      <c r="Y190" s="5">
        <v>5.2656098179460651E-3</v>
      </c>
      <c r="Z190" s="5">
        <v>0.26604101453763113</v>
      </c>
      <c r="AA190" s="5">
        <v>0.29481291335295229</v>
      </c>
      <c r="AB190" s="5">
        <v>0.17288063142600391</v>
      </c>
      <c r="AC190" s="4">
        <f>ROUND((X190*100*1)+(Z190*100*2)+(AA190*100*3),2)</f>
        <v>167.75</v>
      </c>
      <c r="AD190">
        <f>ROUND(AVERAGE(Q190,W190,AC190),2)</f>
        <v>220.05</v>
      </c>
    </row>
    <row r="191" spans="1:30" x14ac:dyDescent="0.2">
      <c r="A191">
        <v>193</v>
      </c>
      <c r="B191">
        <v>1</v>
      </c>
      <c r="C191" t="s">
        <v>901</v>
      </c>
      <c r="D191" t="s">
        <v>902</v>
      </c>
      <c r="E191" t="s">
        <v>903</v>
      </c>
      <c r="F191" t="s">
        <v>709</v>
      </c>
      <c r="G191" t="s">
        <v>710</v>
      </c>
      <c r="H191" t="s">
        <v>25</v>
      </c>
      <c r="I191" t="s">
        <v>25</v>
      </c>
      <c r="J191" t="s">
        <v>26</v>
      </c>
      <c r="K191" t="s">
        <v>904</v>
      </c>
      <c r="L191" s="5">
        <v>0.5513108340711026</v>
      </c>
      <c r="M191" s="5">
        <v>0</v>
      </c>
      <c r="N191" s="5">
        <v>0.10317116585792591</v>
      </c>
      <c r="O191" s="5">
        <v>0.34551800007098732</v>
      </c>
      <c r="P191" s="5">
        <v>0</v>
      </c>
      <c r="Q191" s="4">
        <f>ROUND((L191*100*1)+(N191*100*2)+(O191*100*3),2)</f>
        <v>179.42</v>
      </c>
      <c r="R191" s="5">
        <v>0.84113861578309568</v>
      </c>
      <c r="S191" s="5">
        <v>0</v>
      </c>
      <c r="T191" s="5">
        <v>0.1066840218755532</v>
      </c>
      <c r="U191" s="5">
        <v>5.2177362341364643E-2</v>
      </c>
      <c r="V191" s="5">
        <v>0</v>
      </c>
      <c r="W191" s="4">
        <f>ROUND((R191*100*1)+(T191*100*2)+(U191*100*3),2)</f>
        <v>121.1</v>
      </c>
      <c r="X191" s="5">
        <v>0.88079508238021609</v>
      </c>
      <c r="Y191" s="5">
        <v>0</v>
      </c>
      <c r="Z191" s="5">
        <v>8.2343438826107437E-2</v>
      </c>
      <c r="AA191" s="5">
        <v>3.6861478793607731E-2</v>
      </c>
      <c r="AB191" s="5">
        <v>6.8833827526759706E-14</v>
      </c>
      <c r="AC191" s="4">
        <f>ROUND((X191*100*1)+(Z191*100*2)+(AA191*100*3),2)</f>
        <v>115.61</v>
      </c>
      <c r="AD191">
        <f>ROUND(AVERAGE(Q191,W191,AC191),2)</f>
        <v>138.71</v>
      </c>
    </row>
    <row r="192" spans="1:30" x14ac:dyDescent="0.2">
      <c r="A192">
        <v>194</v>
      </c>
      <c r="B192">
        <v>1</v>
      </c>
      <c r="C192" t="s">
        <v>905</v>
      </c>
      <c r="D192" t="s">
        <v>906</v>
      </c>
      <c r="E192" t="s">
        <v>907</v>
      </c>
      <c r="F192" t="s">
        <v>908</v>
      </c>
      <c r="G192" t="s">
        <v>909</v>
      </c>
      <c r="H192" t="s">
        <v>25</v>
      </c>
      <c r="I192" t="s">
        <v>25</v>
      </c>
      <c r="J192" t="s">
        <v>92</v>
      </c>
      <c r="K192" t="s">
        <v>210</v>
      </c>
      <c r="L192" s="5">
        <v>8.2417157044302393E-4</v>
      </c>
      <c r="M192" s="5">
        <v>0</v>
      </c>
      <c r="N192" s="5">
        <v>0.2480438525859871</v>
      </c>
      <c r="O192" s="5">
        <v>4.0042772358154309E-2</v>
      </c>
      <c r="P192" s="5">
        <v>0.7110892034854156</v>
      </c>
      <c r="Q192" s="4">
        <f>ROUND((L192*100*1)+(N192*100*2)+(O192*100*3),2)</f>
        <v>61.7</v>
      </c>
      <c r="R192" s="5">
        <v>0.49384846580865299</v>
      </c>
      <c r="S192" s="5">
        <v>0</v>
      </c>
      <c r="T192" s="5">
        <v>0.1295923793725979</v>
      </c>
      <c r="U192" s="5">
        <v>1.42155653120687E-2</v>
      </c>
      <c r="V192" s="5">
        <v>0.36234358950668027</v>
      </c>
      <c r="W192" s="4">
        <f>ROUND((R192*100*1)+(T192*100*2)+(U192*100*3),2)</f>
        <v>79.569999999999993</v>
      </c>
      <c r="X192" s="5">
        <v>0.50541274049754525</v>
      </c>
      <c r="Y192" s="5">
        <v>0</v>
      </c>
      <c r="Z192" s="5">
        <v>0.11495431615246079</v>
      </c>
      <c r="AA192" s="5">
        <v>6.3781733400529181E-3</v>
      </c>
      <c r="AB192" s="5">
        <v>0.37325477000994101</v>
      </c>
      <c r="AC192" s="4">
        <f>ROUND((X192*100*1)+(Z192*100*2)+(AA192*100*3),2)</f>
        <v>75.45</v>
      </c>
      <c r="AD192">
        <f>ROUND(AVERAGE(Q192,W192,AC192),2)</f>
        <v>72.239999999999995</v>
      </c>
    </row>
    <row r="193" spans="1:30" x14ac:dyDescent="0.2">
      <c r="A193">
        <v>195</v>
      </c>
      <c r="B193">
        <v>1</v>
      </c>
      <c r="C193" t="s">
        <v>910</v>
      </c>
      <c r="D193" t="s">
        <v>911</v>
      </c>
      <c r="E193" t="s">
        <v>907</v>
      </c>
      <c r="F193" t="s">
        <v>912</v>
      </c>
      <c r="G193" t="s">
        <v>913</v>
      </c>
      <c r="H193" t="s">
        <v>25</v>
      </c>
      <c r="I193" t="s">
        <v>25</v>
      </c>
      <c r="J193" t="s">
        <v>34</v>
      </c>
      <c r="K193" t="s">
        <v>210</v>
      </c>
      <c r="L193" s="5">
        <v>1</v>
      </c>
      <c r="M193" s="5">
        <v>0</v>
      </c>
      <c r="N193" s="5">
        <v>0</v>
      </c>
      <c r="O193" s="5">
        <v>0</v>
      </c>
      <c r="P193" s="5">
        <v>0</v>
      </c>
      <c r="Q193" s="4">
        <f>ROUND((L193*100*1)+(N193*100*2)+(O193*100*3),2)</f>
        <v>100</v>
      </c>
      <c r="R193" s="5">
        <v>0.9545327543238159</v>
      </c>
      <c r="S193" s="5">
        <v>0</v>
      </c>
      <c r="T193" s="5">
        <v>3.006187752394994E-2</v>
      </c>
      <c r="U193" s="5">
        <v>0</v>
      </c>
      <c r="V193" s="5">
        <v>1.5405368152234139E-2</v>
      </c>
      <c r="W193" s="4">
        <f>ROUND((R193*100*1)+(T193*100*2)+(U193*100*3),2)</f>
        <v>101.47</v>
      </c>
      <c r="X193" s="5">
        <v>0.8334690507015956</v>
      </c>
      <c r="Y193" s="5">
        <v>0</v>
      </c>
      <c r="Z193" s="5">
        <v>3.5177441426007143E-2</v>
      </c>
      <c r="AA193" s="5">
        <v>0</v>
      </c>
      <c r="AB193" s="5">
        <v>0.1313535078723973</v>
      </c>
      <c r="AC193" s="4">
        <f>ROUND((X193*100*1)+(Z193*100*2)+(AA193*100*3),2)</f>
        <v>90.38</v>
      </c>
      <c r="AD193">
        <f>ROUND(AVERAGE(Q193,W193,AC193),2)</f>
        <v>97.28</v>
      </c>
    </row>
    <row r="194" spans="1:30" x14ac:dyDescent="0.2">
      <c r="A194">
        <v>196</v>
      </c>
      <c r="B194">
        <v>1</v>
      </c>
      <c r="C194" t="s">
        <v>914</v>
      </c>
      <c r="D194" t="s">
        <v>915</v>
      </c>
      <c r="E194" t="s">
        <v>907</v>
      </c>
      <c r="F194" t="s">
        <v>916</v>
      </c>
      <c r="G194" t="s">
        <v>917</v>
      </c>
      <c r="H194" t="s">
        <v>25</v>
      </c>
      <c r="I194" t="s">
        <v>25</v>
      </c>
      <c r="J194" t="s">
        <v>34</v>
      </c>
      <c r="K194" t="s">
        <v>210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4">
        <f>ROUND((L194*100*1)+(N194*100*2)+(O194*100*3),2)</f>
        <v>100</v>
      </c>
      <c r="R194" s="5">
        <v>0.99225879378228754</v>
      </c>
      <c r="S194" s="5">
        <v>0</v>
      </c>
      <c r="T194" s="5">
        <v>7.7412062177259133E-3</v>
      </c>
      <c r="U194" s="5">
        <v>0</v>
      </c>
      <c r="V194" s="5">
        <v>0</v>
      </c>
      <c r="W194" s="4">
        <f>ROUND((R194*100*1)+(T194*100*2)+(U194*100*3),2)</f>
        <v>100.77</v>
      </c>
      <c r="X194" s="5">
        <v>0.98391862187833135</v>
      </c>
      <c r="Y194" s="5">
        <v>0</v>
      </c>
      <c r="Z194" s="5">
        <v>1.6081378121669061E-2</v>
      </c>
      <c r="AA194" s="5">
        <v>0</v>
      </c>
      <c r="AB194" s="5">
        <v>0</v>
      </c>
      <c r="AC194" s="4">
        <f>ROUND((X194*100*1)+(Z194*100*2)+(AA194*100*3),2)</f>
        <v>101.61</v>
      </c>
      <c r="AD194">
        <f>ROUND(AVERAGE(Q194,W194,AC194),2)</f>
        <v>100.79</v>
      </c>
    </row>
    <row r="195" spans="1:30" x14ac:dyDescent="0.2">
      <c r="A195">
        <v>197</v>
      </c>
      <c r="B195">
        <v>1</v>
      </c>
      <c r="C195" t="s">
        <v>918</v>
      </c>
      <c r="D195" t="s">
        <v>919</v>
      </c>
      <c r="E195" t="s">
        <v>903</v>
      </c>
      <c r="F195" t="s">
        <v>920</v>
      </c>
      <c r="G195" t="s">
        <v>921</v>
      </c>
      <c r="H195" t="s">
        <v>25</v>
      </c>
      <c r="I195" t="s">
        <v>25</v>
      </c>
      <c r="J195" t="s">
        <v>34</v>
      </c>
      <c r="K195" t="s">
        <v>210</v>
      </c>
      <c r="L195" s="5">
        <v>0.49079516577185089</v>
      </c>
      <c r="M195" s="5">
        <v>0</v>
      </c>
      <c r="N195" s="5">
        <v>6.287541645440671E-2</v>
      </c>
      <c r="O195" s="5">
        <v>0</v>
      </c>
      <c r="P195" s="5">
        <v>0.44632941777374241</v>
      </c>
      <c r="Q195" s="4">
        <f>ROUND((L195*100*1)+(N195*100*2)+(O195*100*3),2)</f>
        <v>61.65</v>
      </c>
      <c r="R195" s="5">
        <v>0.3267134389951985</v>
      </c>
      <c r="S195" s="5">
        <v>0</v>
      </c>
      <c r="T195" s="5">
        <v>3.4021931331135E-2</v>
      </c>
      <c r="U195" s="5">
        <v>0</v>
      </c>
      <c r="V195" s="5">
        <v>0.63926462967366648</v>
      </c>
      <c r="W195" s="4">
        <f>ROUND((R195*100*1)+(T195*100*2)+(U195*100*3),2)</f>
        <v>39.479999999999997</v>
      </c>
      <c r="X195" s="5">
        <v>0.30298843326130642</v>
      </c>
      <c r="Y195" s="5">
        <v>0</v>
      </c>
      <c r="Z195" s="5">
        <v>2.0388466643915359E-2</v>
      </c>
      <c r="AA195" s="5">
        <v>0</v>
      </c>
      <c r="AB195" s="5">
        <v>0.67662310009477822</v>
      </c>
      <c r="AC195" s="4">
        <f>ROUND((X195*100*1)+(Z195*100*2)+(AA195*100*3),2)</f>
        <v>34.380000000000003</v>
      </c>
      <c r="AD195">
        <f>ROUND(AVERAGE(Q195,W195,AC195),2)</f>
        <v>45.17</v>
      </c>
    </row>
    <row r="196" spans="1:30" x14ac:dyDescent="0.2">
      <c r="A196">
        <v>198</v>
      </c>
      <c r="B196">
        <v>1</v>
      </c>
      <c r="C196" t="s">
        <v>922</v>
      </c>
      <c r="D196" t="s">
        <v>923</v>
      </c>
      <c r="E196" t="s">
        <v>109</v>
      </c>
      <c r="F196" t="s">
        <v>924</v>
      </c>
      <c r="G196" t="s">
        <v>925</v>
      </c>
      <c r="H196" t="s">
        <v>25</v>
      </c>
      <c r="I196" t="s">
        <v>25</v>
      </c>
      <c r="J196" t="s">
        <v>26</v>
      </c>
      <c r="K196" t="s">
        <v>187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4">
        <f>ROUND((L196*100*1)+(N196*100*2)+(O196*100*3),2)</f>
        <v>100</v>
      </c>
      <c r="R196" s="5">
        <v>0.98045756259683214</v>
      </c>
      <c r="S196" s="5">
        <v>0</v>
      </c>
      <c r="T196" s="5">
        <v>1.9542437403176571E-2</v>
      </c>
      <c r="U196" s="5">
        <v>0</v>
      </c>
      <c r="V196" s="5">
        <v>0</v>
      </c>
      <c r="W196" s="4">
        <f>ROUND((R196*100*1)+(T196*100*2)+(U196*100*3),2)</f>
        <v>101.95</v>
      </c>
      <c r="X196" s="5">
        <v>0.96799443370075811</v>
      </c>
      <c r="Y196" s="5">
        <v>0</v>
      </c>
      <c r="Z196" s="5">
        <v>1.307898798034849E-2</v>
      </c>
      <c r="AA196" s="5">
        <v>0</v>
      </c>
      <c r="AB196" s="5">
        <v>1.8926578318893331E-2</v>
      </c>
      <c r="AC196" s="4">
        <f>ROUND((X196*100*1)+(Z196*100*2)+(AA196*100*3),2)</f>
        <v>99.42</v>
      </c>
      <c r="AD196">
        <f>ROUND(AVERAGE(Q196,W196,AC196),2)</f>
        <v>100.46</v>
      </c>
    </row>
    <row r="197" spans="1:30" x14ac:dyDescent="0.2">
      <c r="A197">
        <v>199</v>
      </c>
      <c r="B197">
        <v>1</v>
      </c>
      <c r="C197" t="s">
        <v>926</v>
      </c>
      <c r="D197" t="s">
        <v>927</v>
      </c>
      <c r="E197" t="s">
        <v>928</v>
      </c>
      <c r="F197" t="s">
        <v>929</v>
      </c>
      <c r="G197" t="s">
        <v>148</v>
      </c>
      <c r="H197" t="s">
        <v>25</v>
      </c>
      <c r="I197" t="s">
        <v>25</v>
      </c>
      <c r="J197" t="s">
        <v>92</v>
      </c>
      <c r="K197" t="s">
        <v>210</v>
      </c>
      <c r="L197" s="5">
        <v>0</v>
      </c>
      <c r="M197" s="5">
        <v>0</v>
      </c>
      <c r="N197" s="5">
        <v>1.081812622342007E-2</v>
      </c>
      <c r="O197" s="5">
        <v>0</v>
      </c>
      <c r="P197" s="5">
        <v>0.98918187377657996</v>
      </c>
      <c r="Q197" s="4">
        <f>ROUND((L197*100*1)+(N197*100*2)+(O197*100*3),2)</f>
        <v>2.16</v>
      </c>
      <c r="R197" s="5">
        <v>0</v>
      </c>
      <c r="S197" s="5">
        <v>0</v>
      </c>
      <c r="T197" s="5">
        <v>7.4109479875099749E-2</v>
      </c>
      <c r="U197" s="5">
        <v>5.7686159113374567E-2</v>
      </c>
      <c r="V197" s="5">
        <v>0.86820436101152565</v>
      </c>
      <c r="W197" s="4">
        <f>ROUND((R197*100*1)+(T197*100*2)+(U197*100*3),2)</f>
        <v>32.130000000000003</v>
      </c>
      <c r="X197" s="5">
        <v>0</v>
      </c>
      <c r="Y197" s="5">
        <v>0</v>
      </c>
      <c r="Z197" s="5">
        <v>5.7275792455605518E-2</v>
      </c>
      <c r="AA197" s="5">
        <v>3.4152678576934943E-2</v>
      </c>
      <c r="AB197" s="5">
        <v>0.90857152896745952</v>
      </c>
      <c r="AC197" s="4">
        <f>ROUND((X197*100*1)+(Z197*100*2)+(AA197*100*3),2)</f>
        <v>21.7</v>
      </c>
      <c r="AD197">
        <f>ROUND(AVERAGE(Q197,W197,AC197),2)</f>
        <v>18.66</v>
      </c>
    </row>
    <row r="198" spans="1:30" x14ac:dyDescent="0.2">
      <c r="A198">
        <v>200</v>
      </c>
      <c r="B198">
        <v>1</v>
      </c>
      <c r="C198" t="s">
        <v>930</v>
      </c>
      <c r="D198" t="s">
        <v>931</v>
      </c>
      <c r="E198" t="s">
        <v>932</v>
      </c>
      <c r="F198" t="s">
        <v>933</v>
      </c>
      <c r="G198" t="s">
        <v>934</v>
      </c>
      <c r="H198" t="s">
        <v>25</v>
      </c>
      <c r="I198" t="s">
        <v>25</v>
      </c>
      <c r="J198" t="s">
        <v>26</v>
      </c>
      <c r="K198" t="s">
        <v>56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4">
        <f>ROUND((L198*100*1)+(N198*100*2)+(O198*100*3),2)</f>
        <v>100</v>
      </c>
      <c r="R198" s="5">
        <v>0.95601337328873404</v>
      </c>
      <c r="S198" s="5">
        <v>0</v>
      </c>
      <c r="T198" s="5">
        <v>4.3986626711300637E-2</v>
      </c>
      <c r="U198" s="5">
        <v>0</v>
      </c>
      <c r="V198" s="5">
        <v>0</v>
      </c>
      <c r="W198" s="4">
        <f>ROUND((R198*100*1)+(T198*100*2)+(U198*100*3),2)</f>
        <v>104.4</v>
      </c>
      <c r="X198" s="5">
        <v>0.9486877452793504</v>
      </c>
      <c r="Y198" s="5">
        <v>0</v>
      </c>
      <c r="Z198" s="5">
        <v>5.1312254720647807E-2</v>
      </c>
      <c r="AA198" s="5">
        <v>0</v>
      </c>
      <c r="AB198" s="5">
        <v>1.7763568394002501E-15</v>
      </c>
      <c r="AC198" s="4">
        <f>ROUND((X198*100*1)+(Z198*100*2)+(AA198*100*3),2)</f>
        <v>105.13</v>
      </c>
      <c r="AD198">
        <f>ROUND(AVERAGE(Q198,W198,AC198),2)</f>
        <v>103.18</v>
      </c>
    </row>
    <row r="199" spans="1:30" x14ac:dyDescent="0.2">
      <c r="A199">
        <v>201</v>
      </c>
      <c r="B199">
        <v>1</v>
      </c>
      <c r="C199" t="s">
        <v>935</v>
      </c>
      <c r="D199" t="s">
        <v>936</v>
      </c>
      <c r="E199" t="s">
        <v>937</v>
      </c>
      <c r="F199" t="s">
        <v>109</v>
      </c>
      <c r="G199" t="s">
        <v>609</v>
      </c>
      <c r="H199" t="s">
        <v>25</v>
      </c>
      <c r="I199" t="s">
        <v>25</v>
      </c>
      <c r="J199" t="s">
        <v>26</v>
      </c>
      <c r="K199" t="s">
        <v>210</v>
      </c>
      <c r="L199" s="5">
        <v>0</v>
      </c>
      <c r="M199" s="5">
        <v>0.81778322932576231</v>
      </c>
      <c r="N199" s="5">
        <v>0</v>
      </c>
      <c r="O199" s="5">
        <v>0</v>
      </c>
      <c r="P199" s="5">
        <v>0.18221677067423769</v>
      </c>
      <c r="Q199" s="4">
        <f>ROUND((L199*100*1)+(N199*100*2)+(O199*100*3),2)</f>
        <v>0</v>
      </c>
      <c r="R199" s="5">
        <v>0</v>
      </c>
      <c r="S199" s="5">
        <v>0.23866853849189179</v>
      </c>
      <c r="T199" s="5">
        <v>0</v>
      </c>
      <c r="U199" s="5">
        <v>0</v>
      </c>
      <c r="V199" s="5">
        <v>0.76133146150810815</v>
      </c>
      <c r="W199" s="4">
        <f>ROUND((R199*100*1)+(T199*100*2)+(U199*100*3),2)</f>
        <v>0</v>
      </c>
      <c r="X199" s="5">
        <v>0</v>
      </c>
      <c r="Y199" s="5">
        <v>0.1280653805745533</v>
      </c>
      <c r="Z199" s="5">
        <v>1.493110869496227E-2</v>
      </c>
      <c r="AA199" s="5">
        <v>0</v>
      </c>
      <c r="AB199" s="5">
        <v>0.85700351073048442</v>
      </c>
      <c r="AC199" s="4">
        <f>ROUND((X199*100*1)+(Z199*100*2)+(AA199*100*3),2)</f>
        <v>2.99</v>
      </c>
      <c r="AD199">
        <f>ROUND(AVERAGE(Q199,W199,AC199),2)</f>
        <v>1</v>
      </c>
    </row>
    <row r="200" spans="1:30" x14ac:dyDescent="0.2">
      <c r="A200">
        <v>202</v>
      </c>
      <c r="B200">
        <v>1</v>
      </c>
      <c r="C200" t="s">
        <v>938</v>
      </c>
      <c r="D200" t="s">
        <v>939</v>
      </c>
      <c r="E200" t="s">
        <v>937</v>
      </c>
      <c r="F200" t="s">
        <v>940</v>
      </c>
      <c r="G200" t="s">
        <v>941</v>
      </c>
      <c r="H200" t="s">
        <v>25</v>
      </c>
      <c r="I200" t="s">
        <v>25</v>
      </c>
      <c r="J200" t="s">
        <v>26</v>
      </c>
      <c r="K200" t="s">
        <v>210</v>
      </c>
      <c r="L200" s="5">
        <v>0.22714997344321969</v>
      </c>
      <c r="M200" s="5">
        <v>0</v>
      </c>
      <c r="N200" s="5">
        <v>0.1063869260625243</v>
      </c>
      <c r="O200" s="5">
        <v>0</v>
      </c>
      <c r="P200" s="5">
        <v>0.66646310049425594</v>
      </c>
      <c r="Q200" s="4">
        <f>ROUND((L200*100*1)+(N200*100*2)+(O200*100*3),2)</f>
        <v>43.99</v>
      </c>
      <c r="R200" s="5">
        <v>0.1262402796260966</v>
      </c>
      <c r="S200" s="5">
        <v>0</v>
      </c>
      <c r="T200" s="5">
        <v>7.1032943915243424E-2</v>
      </c>
      <c r="U200" s="5">
        <v>1.5191995557199581E-3</v>
      </c>
      <c r="V200" s="5">
        <v>0.80120757690293998</v>
      </c>
      <c r="W200" s="4">
        <f>ROUND((R200*100*1)+(T200*100*2)+(U200*100*3),2)</f>
        <v>27.29</v>
      </c>
      <c r="X200" s="5">
        <v>9.3395319212257799E-2</v>
      </c>
      <c r="Y200" s="5">
        <v>0</v>
      </c>
      <c r="Z200" s="5">
        <v>5.4183164906071682E-2</v>
      </c>
      <c r="AA200" s="5">
        <v>8.6853404086582723E-4</v>
      </c>
      <c r="AB200" s="5">
        <v>0.85155298184080475</v>
      </c>
      <c r="AC200" s="4">
        <f>ROUND((X200*100*1)+(Z200*100*2)+(AA200*100*3),2)</f>
        <v>20.440000000000001</v>
      </c>
      <c r="AD200">
        <f>ROUND(AVERAGE(Q200,W200,AC200),2)</f>
        <v>30.57</v>
      </c>
    </row>
    <row r="201" spans="1:30" x14ac:dyDescent="0.2">
      <c r="A201">
        <v>203</v>
      </c>
      <c r="B201">
        <v>1</v>
      </c>
      <c r="C201" t="s">
        <v>942</v>
      </c>
      <c r="D201" t="s">
        <v>943</v>
      </c>
      <c r="E201" t="s">
        <v>944</v>
      </c>
      <c r="F201" t="s">
        <v>945</v>
      </c>
      <c r="G201" t="s">
        <v>946</v>
      </c>
      <c r="H201" t="s">
        <v>67</v>
      </c>
      <c r="I201" t="s">
        <v>67</v>
      </c>
      <c r="J201" t="s">
        <v>26</v>
      </c>
      <c r="K201" t="s">
        <v>187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4">
        <f>ROUND((L201*100*1)+(N201*100*2)+(O201*100*3),2)</f>
        <v>100</v>
      </c>
      <c r="R201" s="5">
        <v>0.82334738495680981</v>
      </c>
      <c r="S201" s="5">
        <v>0</v>
      </c>
      <c r="T201" s="5">
        <v>4.6974443133828932E-2</v>
      </c>
      <c r="U201" s="5">
        <v>0</v>
      </c>
      <c r="V201" s="5">
        <v>0.12967817190936129</v>
      </c>
      <c r="W201" s="4">
        <f>ROUND((R201*100*1)+(T201*100*2)+(U201*100*3),2)</f>
        <v>91.73</v>
      </c>
      <c r="X201" s="5">
        <v>0.66232600769941252</v>
      </c>
      <c r="Y201" s="5">
        <v>0</v>
      </c>
      <c r="Z201" s="5">
        <v>3.3896465491677297E-2</v>
      </c>
      <c r="AA201" s="5">
        <v>0</v>
      </c>
      <c r="AB201" s="5">
        <v>0.30377752680891013</v>
      </c>
      <c r="AC201" s="4">
        <f>ROUND((X201*100*1)+(Z201*100*2)+(AA201*100*3),2)</f>
        <v>73.010000000000005</v>
      </c>
      <c r="AD201">
        <f>ROUND(AVERAGE(Q201,W201,AC201),2)</f>
        <v>88.25</v>
      </c>
    </row>
    <row r="202" spans="1:30" x14ac:dyDescent="0.2">
      <c r="A202">
        <v>204</v>
      </c>
      <c r="B202">
        <v>2</v>
      </c>
      <c r="C202" t="s">
        <v>947</v>
      </c>
      <c r="D202" t="s">
        <v>948</v>
      </c>
      <c r="E202" t="s">
        <v>944</v>
      </c>
      <c r="F202" t="s">
        <v>949</v>
      </c>
      <c r="G202" t="s">
        <v>950</v>
      </c>
      <c r="H202" t="s">
        <v>25</v>
      </c>
      <c r="I202" t="s">
        <v>25</v>
      </c>
      <c r="J202" t="s">
        <v>26</v>
      </c>
      <c r="K202" t="s">
        <v>27</v>
      </c>
      <c r="L202" s="5">
        <v>0.1510218756145475</v>
      </c>
      <c r="M202" s="5">
        <v>0</v>
      </c>
      <c r="N202" s="5">
        <v>5.5557906468646633E-2</v>
      </c>
      <c r="O202" s="5">
        <v>0</v>
      </c>
      <c r="P202" s="5">
        <v>0.79342021791680595</v>
      </c>
      <c r="Q202" s="4">
        <f>ROUND((L202*100*1)+(N202*100*2)+(O202*100*3),2)</f>
        <v>26.21</v>
      </c>
      <c r="R202" s="5">
        <v>0.55605839244053079</v>
      </c>
      <c r="S202" s="5">
        <v>0</v>
      </c>
      <c r="T202" s="5">
        <v>7.4503419599334028E-2</v>
      </c>
      <c r="U202" s="5">
        <v>0</v>
      </c>
      <c r="V202" s="5">
        <v>0.36943818796013522</v>
      </c>
      <c r="W202" s="4">
        <f>ROUND((R202*100*1)+(T202*100*2)+(U202*100*3),2)</f>
        <v>70.510000000000005</v>
      </c>
      <c r="X202" s="5">
        <v>0.57223491156048234</v>
      </c>
      <c r="Y202" s="5">
        <v>0</v>
      </c>
      <c r="Z202" s="5">
        <v>4.4427679944238761E-2</v>
      </c>
      <c r="AA202" s="5">
        <v>0</v>
      </c>
      <c r="AB202" s="5">
        <v>0.38333740849527892</v>
      </c>
      <c r="AC202" s="4">
        <f>ROUND((X202*100*1)+(Z202*100*2)+(AA202*100*3),2)</f>
        <v>66.11</v>
      </c>
      <c r="AD202">
        <f>ROUND(AVERAGE(Q202,W202,AC202),2)</f>
        <v>54.28</v>
      </c>
    </row>
    <row r="203" spans="1:30" x14ac:dyDescent="0.2">
      <c r="A203">
        <v>205</v>
      </c>
      <c r="B203">
        <v>2</v>
      </c>
      <c r="C203" t="s">
        <v>951</v>
      </c>
      <c r="D203" t="s">
        <v>952</v>
      </c>
      <c r="E203" t="s">
        <v>953</v>
      </c>
      <c r="F203" t="s">
        <v>954</v>
      </c>
      <c r="G203" t="s">
        <v>955</v>
      </c>
      <c r="H203" t="s">
        <v>67</v>
      </c>
      <c r="I203" t="s">
        <v>67</v>
      </c>
      <c r="J203" t="s">
        <v>26</v>
      </c>
      <c r="K203" t="s">
        <v>210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4">
        <f>ROUND((L203*100*1)+(N203*100*2)+(O203*100*3),2)</f>
        <v>100</v>
      </c>
      <c r="R203" s="5">
        <v>0.9823326539505417</v>
      </c>
      <c r="S203" s="5">
        <v>0</v>
      </c>
      <c r="T203" s="5">
        <v>1.7667346049475448E-2</v>
      </c>
      <c r="U203" s="5">
        <v>0</v>
      </c>
      <c r="V203" s="5">
        <v>0</v>
      </c>
      <c r="W203" s="4">
        <f>ROUND((R203*100*1)+(T203*100*2)+(U203*100*3),2)</f>
        <v>101.77</v>
      </c>
      <c r="X203" s="5">
        <v>0.85197777833776822</v>
      </c>
      <c r="Y203" s="5">
        <v>0</v>
      </c>
      <c r="Z203" s="5">
        <v>1.872426978905916E-2</v>
      </c>
      <c r="AA203" s="5">
        <v>0</v>
      </c>
      <c r="AB203" s="5">
        <v>0.12929795187317261</v>
      </c>
      <c r="AC203" s="4">
        <f>ROUND((X203*100*1)+(Z203*100*2)+(AA203*100*3),2)</f>
        <v>88.94</v>
      </c>
      <c r="AD203">
        <f>ROUND(AVERAGE(Q203,W203,AC203),2)</f>
        <v>96.9</v>
      </c>
    </row>
    <row r="204" spans="1:30" x14ac:dyDescent="0.2">
      <c r="A204">
        <v>206</v>
      </c>
      <c r="B204">
        <v>1</v>
      </c>
      <c r="C204" t="s">
        <v>956</v>
      </c>
      <c r="D204" t="s">
        <v>957</v>
      </c>
      <c r="E204" t="s">
        <v>953</v>
      </c>
      <c r="F204" t="s">
        <v>958</v>
      </c>
      <c r="G204" t="s">
        <v>959</v>
      </c>
      <c r="H204" t="s">
        <v>25</v>
      </c>
      <c r="I204" t="s">
        <v>25</v>
      </c>
      <c r="J204" t="s">
        <v>26</v>
      </c>
      <c r="K204" t="s">
        <v>210</v>
      </c>
      <c r="L204" s="5">
        <v>0</v>
      </c>
      <c r="M204" s="5">
        <v>0</v>
      </c>
      <c r="N204" s="5">
        <v>0.18369430075183141</v>
      </c>
      <c r="O204" s="5">
        <v>0</v>
      </c>
      <c r="P204" s="5">
        <v>0.81630569924816865</v>
      </c>
      <c r="Q204" s="4">
        <f>ROUND((L204*100*1)+(N204*100*2)+(O204*100*3),2)</f>
        <v>36.74</v>
      </c>
      <c r="R204" s="5">
        <v>0</v>
      </c>
      <c r="S204" s="5">
        <v>0</v>
      </c>
      <c r="T204" s="5">
        <v>9.2544338254947817E-2</v>
      </c>
      <c r="U204" s="5">
        <v>0</v>
      </c>
      <c r="V204" s="5">
        <v>0.90745566174505221</v>
      </c>
      <c r="W204" s="4">
        <f>ROUND((R204*100*1)+(T204*100*2)+(U204*100*3),2)</f>
        <v>18.510000000000002</v>
      </c>
      <c r="X204" s="5">
        <v>0</v>
      </c>
      <c r="Y204" s="5">
        <v>0</v>
      </c>
      <c r="Z204" s="5">
        <v>7.3295718515610078E-2</v>
      </c>
      <c r="AA204" s="5">
        <v>0</v>
      </c>
      <c r="AB204" s="5">
        <v>0.92670428148438999</v>
      </c>
      <c r="AC204" s="4">
        <f>ROUND((X204*100*1)+(Z204*100*2)+(AA204*100*3),2)</f>
        <v>14.66</v>
      </c>
      <c r="AD204">
        <f>ROUND(AVERAGE(Q204,W204,AC204),2)</f>
        <v>23.3</v>
      </c>
    </row>
    <row r="205" spans="1:30" x14ac:dyDescent="0.2">
      <c r="A205">
        <v>207</v>
      </c>
      <c r="B205">
        <v>1</v>
      </c>
      <c r="C205" t="s">
        <v>960</v>
      </c>
      <c r="D205" t="s">
        <v>961</v>
      </c>
      <c r="E205" t="s">
        <v>953</v>
      </c>
      <c r="F205" t="s">
        <v>962</v>
      </c>
      <c r="G205" t="s">
        <v>963</v>
      </c>
      <c r="H205" t="s">
        <v>25</v>
      </c>
      <c r="I205" t="s">
        <v>25</v>
      </c>
      <c r="J205" t="s">
        <v>34</v>
      </c>
      <c r="K205" t="s">
        <v>210</v>
      </c>
      <c r="L205" s="5">
        <v>0.45548267187315822</v>
      </c>
      <c r="M205" s="5">
        <v>0</v>
      </c>
      <c r="N205" s="5">
        <v>0.15831948619802649</v>
      </c>
      <c r="O205" s="5">
        <v>0</v>
      </c>
      <c r="P205" s="5">
        <v>0.38619784192881518</v>
      </c>
      <c r="Q205" s="4">
        <f>ROUND((L205*100*1)+(N205*100*2)+(O205*100*3),2)</f>
        <v>77.209999999999994</v>
      </c>
      <c r="R205" s="5">
        <v>0.52902550972722728</v>
      </c>
      <c r="S205" s="5">
        <v>0</v>
      </c>
      <c r="T205" s="5">
        <v>6.146343134207171E-2</v>
      </c>
      <c r="U205" s="5">
        <v>0</v>
      </c>
      <c r="V205" s="5">
        <v>0.40951105893070111</v>
      </c>
      <c r="W205" s="4">
        <f>ROUND((R205*100*1)+(T205*100*2)+(U205*100*3),2)</f>
        <v>65.2</v>
      </c>
      <c r="X205" s="5">
        <v>0.48294081898020902</v>
      </c>
      <c r="Y205" s="5">
        <v>0</v>
      </c>
      <c r="Z205" s="5">
        <v>6.8097871387781325E-2</v>
      </c>
      <c r="AA205" s="5">
        <v>0</v>
      </c>
      <c r="AB205" s="5">
        <v>0.44896130963200981</v>
      </c>
      <c r="AC205" s="4">
        <f>ROUND((X205*100*1)+(Z205*100*2)+(AA205*100*3),2)</f>
        <v>61.91</v>
      </c>
      <c r="AD205">
        <f>ROUND(AVERAGE(Q205,W205,AC205),2)</f>
        <v>68.11</v>
      </c>
    </row>
    <row r="206" spans="1:30" x14ac:dyDescent="0.2">
      <c r="A206">
        <v>208</v>
      </c>
      <c r="B206">
        <v>1</v>
      </c>
      <c r="C206" t="s">
        <v>964</v>
      </c>
      <c r="D206" t="s">
        <v>965</v>
      </c>
      <c r="E206" t="s">
        <v>966</v>
      </c>
      <c r="F206" t="s">
        <v>967</v>
      </c>
      <c r="G206" t="s">
        <v>968</v>
      </c>
      <c r="H206" t="s">
        <v>25</v>
      </c>
      <c r="I206" t="s">
        <v>25</v>
      </c>
      <c r="J206" t="s">
        <v>26</v>
      </c>
      <c r="K206" t="s">
        <v>187</v>
      </c>
      <c r="L206" s="5">
        <v>5.3705021812776532E-2</v>
      </c>
      <c r="M206" s="5">
        <v>0</v>
      </c>
      <c r="N206" s="5">
        <v>0</v>
      </c>
      <c r="O206" s="5">
        <v>0</v>
      </c>
      <c r="P206" s="5">
        <v>0.94629497818722352</v>
      </c>
      <c r="Q206" s="4">
        <f>ROUND((L206*100*1)+(N206*100*2)+(O206*100*3),2)</f>
        <v>5.37</v>
      </c>
      <c r="R206" s="5">
        <v>0.38909083480751439</v>
      </c>
      <c r="S206" s="5">
        <v>0</v>
      </c>
      <c r="T206" s="5">
        <v>4.1770301536091708E-2</v>
      </c>
      <c r="U206" s="5">
        <v>0</v>
      </c>
      <c r="V206" s="5">
        <v>0.56913886365639388</v>
      </c>
      <c r="W206" s="4">
        <f>ROUND((R206*100*1)+(T206*100*2)+(U206*100*3),2)</f>
        <v>47.26</v>
      </c>
      <c r="X206" s="5">
        <v>0.50771879143031295</v>
      </c>
      <c r="Y206" s="5">
        <v>0</v>
      </c>
      <c r="Z206" s="5">
        <v>5.8314206159534809E-2</v>
      </c>
      <c r="AA206" s="5">
        <v>0</v>
      </c>
      <c r="AB206" s="5">
        <v>0.43396700241015229</v>
      </c>
      <c r="AC206" s="4">
        <f>ROUND((X206*100*1)+(Z206*100*2)+(AA206*100*3),2)</f>
        <v>62.43</v>
      </c>
      <c r="AD206">
        <f>ROUND(AVERAGE(Q206,W206,AC206),2)</f>
        <v>38.35</v>
      </c>
    </row>
    <row r="207" spans="1:30" x14ac:dyDescent="0.2">
      <c r="A207">
        <v>209</v>
      </c>
      <c r="B207">
        <v>1</v>
      </c>
      <c r="C207" t="s">
        <v>969</v>
      </c>
      <c r="D207" t="s">
        <v>970</v>
      </c>
      <c r="E207" t="s">
        <v>971</v>
      </c>
      <c r="F207" t="s">
        <v>972</v>
      </c>
      <c r="G207" t="s">
        <v>973</v>
      </c>
      <c r="H207" t="s">
        <v>25</v>
      </c>
      <c r="I207" t="s">
        <v>25</v>
      </c>
      <c r="J207" t="s">
        <v>92</v>
      </c>
      <c r="K207" t="s">
        <v>130</v>
      </c>
      <c r="L207" s="5">
        <v>0.89193739593100974</v>
      </c>
      <c r="M207" s="5">
        <v>0</v>
      </c>
      <c r="N207" s="5">
        <v>0.1080626040690035</v>
      </c>
      <c r="O207" s="5">
        <v>0</v>
      </c>
      <c r="P207" s="5">
        <v>0</v>
      </c>
      <c r="Q207" s="4">
        <f>ROUND((L207*100*1)+(N207*100*2)+(O207*100*3),2)</f>
        <v>110.81</v>
      </c>
      <c r="R207" s="5">
        <v>0.84601690020041831</v>
      </c>
      <c r="S207" s="5">
        <v>0</v>
      </c>
      <c r="T207" s="5">
        <v>4.6949488891538188E-2</v>
      </c>
      <c r="U207" s="5">
        <v>0</v>
      </c>
      <c r="V207" s="5">
        <v>0.1070336109080435</v>
      </c>
      <c r="W207" s="4">
        <f>ROUND((R207*100*1)+(T207*100*2)+(U207*100*3),2)</f>
        <v>93.99</v>
      </c>
      <c r="X207" s="5">
        <v>0.77819522276782038</v>
      </c>
      <c r="Y207" s="5">
        <v>0</v>
      </c>
      <c r="Z207" s="5">
        <v>4.4862108194851709E-2</v>
      </c>
      <c r="AA207" s="5">
        <v>0</v>
      </c>
      <c r="AB207" s="5">
        <v>0.17694266903732789</v>
      </c>
      <c r="AC207" s="4">
        <f>ROUND((X207*100*1)+(Z207*100*2)+(AA207*100*3),2)</f>
        <v>86.79</v>
      </c>
      <c r="AD207">
        <f>ROUND(AVERAGE(Q207,W207,AC207),2)</f>
        <v>97.2</v>
      </c>
    </row>
    <row r="208" spans="1:30" x14ac:dyDescent="0.2">
      <c r="A208">
        <v>210</v>
      </c>
      <c r="B208">
        <v>1</v>
      </c>
      <c r="C208" t="s">
        <v>974</v>
      </c>
      <c r="D208" t="s">
        <v>975</v>
      </c>
      <c r="E208" t="s">
        <v>971</v>
      </c>
      <c r="F208" t="s">
        <v>976</v>
      </c>
      <c r="G208" t="s">
        <v>977</v>
      </c>
      <c r="H208" t="s">
        <v>25</v>
      </c>
      <c r="I208" t="s">
        <v>25</v>
      </c>
      <c r="J208" t="s">
        <v>26</v>
      </c>
      <c r="K208" t="s">
        <v>210</v>
      </c>
      <c r="L208" s="5">
        <v>0</v>
      </c>
      <c r="M208" s="5">
        <v>0</v>
      </c>
      <c r="N208" s="5">
        <v>0</v>
      </c>
      <c r="O208" s="5">
        <v>0</v>
      </c>
      <c r="P208" s="5">
        <v>1</v>
      </c>
      <c r="Q208" s="4">
        <f>ROUND((L208*100*1)+(N208*100*2)+(O208*100*3),2)</f>
        <v>0</v>
      </c>
      <c r="R208" s="5">
        <v>7.8512717372747898E-2</v>
      </c>
      <c r="S208" s="5">
        <v>0</v>
      </c>
      <c r="T208" s="5">
        <v>2.794240925544406E-2</v>
      </c>
      <c r="U208" s="5">
        <v>0</v>
      </c>
      <c r="V208" s="5">
        <v>0.8935448733718081</v>
      </c>
      <c r="W208" s="4">
        <f>ROUND((R208*100*1)+(T208*100*2)+(U208*100*3),2)</f>
        <v>13.44</v>
      </c>
      <c r="X208" s="5">
        <v>8.7099486229020334E-2</v>
      </c>
      <c r="Y208" s="5">
        <v>0</v>
      </c>
      <c r="Z208" s="5">
        <v>2.484544211816753E-2</v>
      </c>
      <c r="AA208" s="5">
        <v>0</v>
      </c>
      <c r="AB208" s="5">
        <v>0.88805507165281217</v>
      </c>
      <c r="AC208" s="4">
        <f>ROUND((X208*100*1)+(Z208*100*2)+(AA208*100*3),2)</f>
        <v>13.68</v>
      </c>
      <c r="AD208">
        <f>ROUND(AVERAGE(Q208,W208,AC208),2)</f>
        <v>9.0399999999999991</v>
      </c>
    </row>
    <row r="209" spans="1:30" x14ac:dyDescent="0.2">
      <c r="A209">
        <v>211</v>
      </c>
      <c r="B209">
        <v>1</v>
      </c>
      <c r="C209" t="s">
        <v>978</v>
      </c>
      <c r="D209" t="s">
        <v>979</v>
      </c>
      <c r="E209" t="s">
        <v>971</v>
      </c>
      <c r="F209" t="s">
        <v>980</v>
      </c>
      <c r="G209" t="s">
        <v>981</v>
      </c>
      <c r="H209" t="s">
        <v>67</v>
      </c>
      <c r="I209" t="s">
        <v>67</v>
      </c>
      <c r="J209" t="s">
        <v>26</v>
      </c>
      <c r="K209" t="s">
        <v>210</v>
      </c>
      <c r="L209" s="5">
        <v>0.83672042679916758</v>
      </c>
      <c r="M209" s="5">
        <v>0</v>
      </c>
      <c r="N209" s="5">
        <v>0.16327957320086389</v>
      </c>
      <c r="O209" s="5">
        <v>0</v>
      </c>
      <c r="P209" s="5">
        <v>0</v>
      </c>
      <c r="Q209" s="4">
        <f>ROUND((L209*100*1)+(N209*100*2)+(O209*100*3),2)</f>
        <v>116.33</v>
      </c>
      <c r="R209" s="5">
        <v>0.74791207832660533</v>
      </c>
      <c r="S209" s="5">
        <v>0</v>
      </c>
      <c r="T209" s="5">
        <v>0.1106284064687304</v>
      </c>
      <c r="U209" s="5">
        <v>0</v>
      </c>
      <c r="V209" s="5">
        <v>0.14145951520466421</v>
      </c>
      <c r="W209" s="4">
        <f>ROUND((R209*100*1)+(T209*100*2)+(U209*100*3),2)</f>
        <v>96.92</v>
      </c>
      <c r="X209" s="5">
        <v>0.71335079734382867</v>
      </c>
      <c r="Y209" s="5">
        <v>0</v>
      </c>
      <c r="Z209" s="5">
        <v>7.0180661693108673E-2</v>
      </c>
      <c r="AA209" s="5">
        <v>0</v>
      </c>
      <c r="AB209" s="5">
        <v>0.2164685409630627</v>
      </c>
      <c r="AC209" s="4">
        <f>ROUND((X209*100*1)+(Z209*100*2)+(AA209*100*3),2)</f>
        <v>85.37</v>
      </c>
      <c r="AD209">
        <f>ROUND(AVERAGE(Q209,W209,AC209),2)</f>
        <v>99.54</v>
      </c>
    </row>
    <row r="210" spans="1:30" x14ac:dyDescent="0.2">
      <c r="A210">
        <v>212</v>
      </c>
      <c r="B210">
        <v>1</v>
      </c>
      <c r="C210" t="s">
        <v>982</v>
      </c>
      <c r="D210" t="s">
        <v>983</v>
      </c>
      <c r="E210" t="s">
        <v>984</v>
      </c>
      <c r="F210" t="s">
        <v>985</v>
      </c>
      <c r="G210" t="s">
        <v>986</v>
      </c>
      <c r="H210" t="s">
        <v>336</v>
      </c>
      <c r="I210" t="s">
        <v>336</v>
      </c>
      <c r="J210" t="s">
        <v>987</v>
      </c>
      <c r="K210" t="s">
        <v>187</v>
      </c>
      <c r="L210" s="5">
        <v>0.63851289531467625</v>
      </c>
      <c r="M210" s="5">
        <v>0</v>
      </c>
      <c r="N210" s="5">
        <v>0</v>
      </c>
      <c r="O210" s="5">
        <v>0</v>
      </c>
      <c r="P210" s="5">
        <v>0.36148710468532369</v>
      </c>
      <c r="Q210" s="4">
        <f>ROUND((L210*100*1)+(N210*100*2)+(O210*100*3),2)</f>
        <v>63.85</v>
      </c>
      <c r="R210" s="5">
        <v>0.74337568961835876</v>
      </c>
      <c r="S210" s="5">
        <v>0</v>
      </c>
      <c r="T210" s="5">
        <v>0</v>
      </c>
      <c r="U210" s="5">
        <v>0</v>
      </c>
      <c r="V210" s="5">
        <v>0.25662431038164119</v>
      </c>
      <c r="W210" s="4">
        <f>ROUND((R210*100*1)+(T210*100*2)+(U210*100*3),2)</f>
        <v>74.34</v>
      </c>
      <c r="X210" s="5">
        <v>0.76053415562927174</v>
      </c>
      <c r="Y210" s="5">
        <v>0</v>
      </c>
      <c r="Z210" s="5">
        <v>0</v>
      </c>
      <c r="AA210" s="5">
        <v>0</v>
      </c>
      <c r="AB210" s="5">
        <v>0.23946584437072829</v>
      </c>
      <c r="AC210" s="4">
        <f>ROUND((X210*100*1)+(Z210*100*2)+(AA210*100*3),2)</f>
        <v>76.05</v>
      </c>
      <c r="AD210">
        <f>ROUND(AVERAGE(Q210,W210,AC210),2)</f>
        <v>71.41</v>
      </c>
    </row>
    <row r="211" spans="1:30" x14ac:dyDescent="0.2">
      <c r="A211">
        <v>213</v>
      </c>
      <c r="B211">
        <v>1</v>
      </c>
      <c r="C211" t="s">
        <v>988</v>
      </c>
      <c r="D211" t="s">
        <v>989</v>
      </c>
      <c r="E211" t="s">
        <v>990</v>
      </c>
      <c r="F211" t="s">
        <v>991</v>
      </c>
      <c r="G211" t="s">
        <v>992</v>
      </c>
      <c r="H211" t="s">
        <v>336</v>
      </c>
      <c r="I211" t="s">
        <v>336</v>
      </c>
      <c r="J211" t="s">
        <v>26</v>
      </c>
      <c r="K211" t="s">
        <v>187</v>
      </c>
      <c r="L211" s="5">
        <v>0</v>
      </c>
      <c r="M211" s="5">
        <v>0</v>
      </c>
      <c r="N211" s="5">
        <v>5.6094308884547708E-2</v>
      </c>
      <c r="O211" s="5">
        <v>4.8072083159089278E-2</v>
      </c>
      <c r="P211" s="5">
        <v>0.89583360795636313</v>
      </c>
      <c r="Q211" s="4">
        <f>ROUND((L211*100*1)+(N211*100*2)+(O211*100*3),2)</f>
        <v>25.64</v>
      </c>
      <c r="R211" s="5">
        <v>0</v>
      </c>
      <c r="S211" s="5">
        <v>0</v>
      </c>
      <c r="T211" s="5">
        <v>0.13804233389224721</v>
      </c>
      <c r="U211" s="5">
        <v>0.113237797409732</v>
      </c>
      <c r="V211" s="5">
        <v>0.74871986869802087</v>
      </c>
      <c r="W211" s="4">
        <f>ROUND((R211*100*1)+(T211*100*2)+(U211*100*3),2)</f>
        <v>61.58</v>
      </c>
      <c r="X211" s="5">
        <v>2.2285634344248181E-2</v>
      </c>
      <c r="Y211" s="5">
        <v>0</v>
      </c>
      <c r="Z211" s="5">
        <v>0.12025983465304101</v>
      </c>
      <c r="AA211" s="5">
        <v>0.14623695382056809</v>
      </c>
      <c r="AB211" s="5">
        <v>0.71121757718214274</v>
      </c>
      <c r="AC211" s="4">
        <f>ROUND((X211*100*1)+(Z211*100*2)+(AA211*100*3),2)</f>
        <v>70.150000000000006</v>
      </c>
      <c r="AD211">
        <f>ROUND(AVERAGE(Q211,W211,AC211),2)</f>
        <v>52.46</v>
      </c>
    </row>
    <row r="212" spans="1:30" x14ac:dyDescent="0.2">
      <c r="A212">
        <v>214</v>
      </c>
      <c r="B212">
        <v>4</v>
      </c>
      <c r="C212" t="s">
        <v>993</v>
      </c>
      <c r="D212" t="s">
        <v>994</v>
      </c>
      <c r="E212" t="s">
        <v>995</v>
      </c>
      <c r="F212" t="s">
        <v>996</v>
      </c>
      <c r="G212" t="s">
        <v>997</v>
      </c>
      <c r="H212" t="s">
        <v>25</v>
      </c>
      <c r="I212" t="s">
        <v>25</v>
      </c>
      <c r="J212" t="s">
        <v>92</v>
      </c>
      <c r="K212" t="s">
        <v>210</v>
      </c>
      <c r="L212" s="5">
        <v>0</v>
      </c>
      <c r="M212" s="5">
        <v>0</v>
      </c>
      <c r="N212" s="5">
        <v>0.30997049855066011</v>
      </c>
      <c r="O212" s="5">
        <v>0</v>
      </c>
      <c r="P212" s="5">
        <v>0.69002950144933994</v>
      </c>
      <c r="Q212" s="4">
        <f>ROUND((L212*100*1)+(N212*100*2)+(O212*100*3),2)</f>
        <v>61.99</v>
      </c>
      <c r="R212" s="5">
        <v>0.1217445886589832</v>
      </c>
      <c r="S212" s="5">
        <v>0</v>
      </c>
      <c r="T212" s="5">
        <v>0.1897915840386965</v>
      </c>
      <c r="U212" s="5">
        <v>1.311251753530183E-2</v>
      </c>
      <c r="V212" s="5">
        <v>0.67535130976701852</v>
      </c>
      <c r="W212" s="4">
        <f>ROUND((R212*100*1)+(T212*100*2)+(U212*100*3),2)</f>
        <v>54.07</v>
      </c>
      <c r="X212" s="5">
        <v>0.36487534686267847</v>
      </c>
      <c r="Y212" s="5">
        <v>0</v>
      </c>
      <c r="Z212" s="5">
        <v>0.1284080211126728</v>
      </c>
      <c r="AA212" s="5">
        <v>4.5670042262163351E-3</v>
      </c>
      <c r="AB212" s="5">
        <v>0.50214962779843231</v>
      </c>
      <c r="AC212" s="4">
        <f>ROUND((X212*100*1)+(Z212*100*2)+(AA212*100*3),2)</f>
        <v>63.54</v>
      </c>
      <c r="AD212">
        <f>ROUND(AVERAGE(Q212,W212,AC212),2)</f>
        <v>59.87</v>
      </c>
    </row>
    <row r="213" spans="1:30" x14ac:dyDescent="0.2">
      <c r="A213">
        <v>215</v>
      </c>
      <c r="B213">
        <v>1</v>
      </c>
      <c r="C213" t="s">
        <v>998</v>
      </c>
      <c r="D213" t="s">
        <v>999</v>
      </c>
      <c r="E213" t="s">
        <v>1000</v>
      </c>
      <c r="F213" t="s">
        <v>1001</v>
      </c>
      <c r="G213" t="s">
        <v>1002</v>
      </c>
      <c r="H213" t="s">
        <v>25</v>
      </c>
      <c r="I213" t="s">
        <v>25</v>
      </c>
      <c r="J213" t="s">
        <v>92</v>
      </c>
      <c r="K213" t="s">
        <v>56</v>
      </c>
      <c r="L213" s="5">
        <v>1</v>
      </c>
      <c r="M213" s="5">
        <v>0</v>
      </c>
      <c r="N213" s="5">
        <v>0</v>
      </c>
      <c r="O213" s="5">
        <v>0</v>
      </c>
      <c r="P213" s="5">
        <v>0</v>
      </c>
      <c r="Q213" s="4">
        <f>ROUND((L213*100*1)+(N213*100*2)+(O213*100*3),2)</f>
        <v>100</v>
      </c>
      <c r="R213" s="5">
        <v>0.92252763875868449</v>
      </c>
      <c r="S213" s="5">
        <v>0</v>
      </c>
      <c r="T213" s="5">
        <v>4.9165609469240083E-2</v>
      </c>
      <c r="U213" s="5">
        <v>1.6365614284257751E-4</v>
      </c>
      <c r="V213" s="5">
        <v>2.8143095629232891E-2</v>
      </c>
      <c r="W213" s="4">
        <f>ROUND((R213*100*1)+(T213*100*2)+(U213*100*3),2)</f>
        <v>102.13</v>
      </c>
      <c r="X213" s="5">
        <v>0.76090575417461026</v>
      </c>
      <c r="Y213" s="5">
        <v>0</v>
      </c>
      <c r="Z213" s="5">
        <v>3.9394044137512463E-2</v>
      </c>
      <c r="AA213" s="5">
        <v>5.700036579521045E-5</v>
      </c>
      <c r="AB213" s="5">
        <v>0.19964320132208199</v>
      </c>
      <c r="AC213" s="4">
        <f>ROUND((X213*100*1)+(Z213*100*2)+(AA213*100*3),2)</f>
        <v>83.99</v>
      </c>
      <c r="AD213">
        <f>ROUND(AVERAGE(Q213,W213,AC213),2)</f>
        <v>95.37</v>
      </c>
    </row>
    <row r="214" spans="1:30" x14ac:dyDescent="0.2">
      <c r="A214">
        <v>216</v>
      </c>
      <c r="B214">
        <v>1</v>
      </c>
      <c r="C214" t="s">
        <v>1003</v>
      </c>
      <c r="D214" t="s">
        <v>1004</v>
      </c>
      <c r="E214" t="s">
        <v>1005</v>
      </c>
      <c r="F214" t="s">
        <v>1006</v>
      </c>
      <c r="G214" t="s">
        <v>1007</v>
      </c>
      <c r="H214" t="s">
        <v>80</v>
      </c>
      <c r="I214" t="s">
        <v>80</v>
      </c>
      <c r="J214" t="s">
        <v>34</v>
      </c>
      <c r="K214" t="s">
        <v>193</v>
      </c>
      <c r="L214" s="5">
        <v>1</v>
      </c>
      <c r="M214" s="5">
        <v>0</v>
      </c>
      <c r="N214" s="5">
        <v>0</v>
      </c>
      <c r="O214" s="5">
        <v>0</v>
      </c>
      <c r="P214" s="5">
        <v>0</v>
      </c>
      <c r="Q214" s="4">
        <f>ROUND((L214*100*1)+(N214*100*2)+(O214*100*3),2)</f>
        <v>100</v>
      </c>
      <c r="R214" s="5">
        <v>1</v>
      </c>
      <c r="S214" s="5">
        <v>0</v>
      </c>
      <c r="T214" s="5">
        <v>0</v>
      </c>
      <c r="U214" s="5">
        <v>0</v>
      </c>
      <c r="V214" s="5">
        <v>0</v>
      </c>
      <c r="W214" s="4">
        <f>ROUND((R214*100*1)+(T214*100*2)+(U214*100*3),2)</f>
        <v>100</v>
      </c>
      <c r="X214" s="5">
        <v>0.98992649947114897</v>
      </c>
      <c r="Y214" s="5">
        <v>0</v>
      </c>
      <c r="Z214" s="5">
        <v>1.007350052884844E-2</v>
      </c>
      <c r="AA214" s="5">
        <v>0</v>
      </c>
      <c r="AB214" s="5">
        <v>2.55351295663786E-15</v>
      </c>
      <c r="AC214" s="4">
        <f>ROUND((X214*100*1)+(Z214*100*2)+(AA214*100*3),2)</f>
        <v>101.01</v>
      </c>
      <c r="AD214">
        <f>ROUND(AVERAGE(Q214,W214,AC214),2)</f>
        <v>100.34</v>
      </c>
    </row>
    <row r="215" spans="1:30" x14ac:dyDescent="0.2">
      <c r="A215">
        <v>217</v>
      </c>
      <c r="B215">
        <v>2</v>
      </c>
      <c r="C215" t="s">
        <v>1008</v>
      </c>
      <c r="D215" t="s">
        <v>1009</v>
      </c>
      <c r="E215" t="s">
        <v>1010</v>
      </c>
      <c r="F215" t="s">
        <v>1011</v>
      </c>
      <c r="G215" t="s">
        <v>1012</v>
      </c>
      <c r="H215" t="s">
        <v>25</v>
      </c>
      <c r="I215" t="s">
        <v>25</v>
      </c>
      <c r="J215" t="s">
        <v>26</v>
      </c>
      <c r="K215" t="s">
        <v>56</v>
      </c>
      <c r="L215" s="5">
        <v>0.97844768843105556</v>
      </c>
      <c r="M215" s="5">
        <v>0</v>
      </c>
      <c r="N215" s="5">
        <v>1.293813727690345E-2</v>
      </c>
      <c r="O215" s="5">
        <v>0</v>
      </c>
      <c r="P215" s="5">
        <v>8.6141742920410325E-3</v>
      </c>
      <c r="Q215" s="4">
        <f>ROUND((L215*100*1)+(N215*100*2)+(O215*100*3),2)</f>
        <v>100.43</v>
      </c>
      <c r="R215" s="5">
        <v>0.55576920325109336</v>
      </c>
      <c r="S215" s="5">
        <v>0</v>
      </c>
      <c r="T215" s="5">
        <v>4.3768379158009789E-2</v>
      </c>
      <c r="U215" s="5">
        <v>0</v>
      </c>
      <c r="V215" s="5">
        <v>0.40046241759089679</v>
      </c>
      <c r="W215" s="4">
        <f>ROUND((R215*100*1)+(T215*100*2)+(U215*100*3),2)</f>
        <v>64.33</v>
      </c>
      <c r="X215" s="5">
        <v>0.56272016415689141</v>
      </c>
      <c r="Y215" s="5">
        <v>0</v>
      </c>
      <c r="Z215" s="5">
        <v>5.8517102945081473E-2</v>
      </c>
      <c r="AA215" s="5">
        <v>6.1314541326643176E-3</v>
      </c>
      <c r="AB215" s="5">
        <v>0.37263127876536267</v>
      </c>
      <c r="AC215" s="4">
        <f>ROUND((X215*100*1)+(Z215*100*2)+(AA215*100*3),2)</f>
        <v>69.81</v>
      </c>
      <c r="AD215">
        <f>ROUND(AVERAGE(Q215,W215,AC215),2)</f>
        <v>78.19</v>
      </c>
    </row>
    <row r="216" spans="1:30" x14ac:dyDescent="0.2">
      <c r="A216">
        <v>218</v>
      </c>
      <c r="B216">
        <v>1</v>
      </c>
      <c r="C216" t="s">
        <v>1013</v>
      </c>
      <c r="D216" t="s">
        <v>1014</v>
      </c>
      <c r="E216" t="s">
        <v>1015</v>
      </c>
      <c r="F216" t="s">
        <v>1016</v>
      </c>
      <c r="H216" t="s">
        <v>25</v>
      </c>
      <c r="I216" t="s">
        <v>25</v>
      </c>
      <c r="J216" t="s">
        <v>92</v>
      </c>
      <c r="K216" t="s">
        <v>210</v>
      </c>
      <c r="L216" s="5">
        <v>1</v>
      </c>
      <c r="M216" s="5">
        <v>0</v>
      </c>
      <c r="N216" s="5">
        <v>0</v>
      </c>
      <c r="O216" s="5">
        <v>0</v>
      </c>
      <c r="P216" s="5">
        <v>0</v>
      </c>
      <c r="Q216" s="4">
        <f>ROUND((L216*100*1)+(N216*100*2)+(O216*100*3),2)</f>
        <v>100</v>
      </c>
      <c r="R216" s="5">
        <v>0.97956763655842849</v>
      </c>
      <c r="S216" s="5">
        <v>0</v>
      </c>
      <c r="T216" s="5">
        <v>2.0432363441580351E-2</v>
      </c>
      <c r="U216" s="5">
        <v>0</v>
      </c>
      <c r="V216" s="5">
        <v>0</v>
      </c>
      <c r="W216" s="4">
        <f>ROUND((R216*100*1)+(T216*100*2)+(U216*100*3),2)</f>
        <v>102.04</v>
      </c>
      <c r="X216" s="5">
        <v>0.96292204384164748</v>
      </c>
      <c r="Y216" s="5">
        <v>0</v>
      </c>
      <c r="Z216" s="5">
        <v>3.7077956158367453E-2</v>
      </c>
      <c r="AA216" s="5">
        <v>0</v>
      </c>
      <c r="AB216" s="5">
        <v>0</v>
      </c>
      <c r="AC216" s="4">
        <f>ROUND((X216*100*1)+(Z216*100*2)+(AA216*100*3),2)</f>
        <v>103.71</v>
      </c>
      <c r="AD216">
        <f>ROUND(AVERAGE(Q216,W216,AC216),2)</f>
        <v>101.92</v>
      </c>
    </row>
    <row r="217" spans="1:30" x14ac:dyDescent="0.2">
      <c r="A217">
        <v>219</v>
      </c>
      <c r="B217">
        <v>1</v>
      </c>
      <c r="C217" t="s">
        <v>1017</v>
      </c>
      <c r="D217" t="s">
        <v>1018</v>
      </c>
      <c r="E217" t="s">
        <v>1019</v>
      </c>
      <c r="F217" t="s">
        <v>1020</v>
      </c>
      <c r="G217" t="s">
        <v>1021</v>
      </c>
      <c r="H217" t="s">
        <v>25</v>
      </c>
      <c r="I217" t="s">
        <v>25</v>
      </c>
      <c r="J217" t="s">
        <v>92</v>
      </c>
      <c r="K217" t="s">
        <v>210</v>
      </c>
      <c r="L217" s="5">
        <v>0</v>
      </c>
      <c r="M217" s="5">
        <v>0</v>
      </c>
      <c r="N217" s="5">
        <v>0</v>
      </c>
      <c r="O217" s="5">
        <v>0</v>
      </c>
      <c r="P217" s="5">
        <v>1</v>
      </c>
      <c r="Q217" s="4">
        <f>ROUND((L217*100*1)+(N217*100*2)+(O217*100*3),2)</f>
        <v>0</v>
      </c>
      <c r="R217" s="5">
        <v>0.14175592008589941</v>
      </c>
      <c r="S217" s="5">
        <v>0</v>
      </c>
      <c r="T217" s="5">
        <v>2.757774186832759E-2</v>
      </c>
      <c r="U217" s="5">
        <v>0</v>
      </c>
      <c r="V217" s="5">
        <v>0.83066633804577295</v>
      </c>
      <c r="W217" s="4">
        <f>ROUND((R217*100*1)+(T217*100*2)+(U217*100*3),2)</f>
        <v>19.690000000000001</v>
      </c>
      <c r="X217" s="5">
        <v>0.17979146889670561</v>
      </c>
      <c r="Y217" s="5">
        <v>0</v>
      </c>
      <c r="Z217" s="5">
        <v>2.2904395416822421E-2</v>
      </c>
      <c r="AA217" s="5">
        <v>0</v>
      </c>
      <c r="AB217" s="5">
        <v>0.79730413568647196</v>
      </c>
      <c r="AC217" s="4">
        <f>ROUND((X217*100*1)+(Z217*100*2)+(AA217*100*3),2)</f>
        <v>22.56</v>
      </c>
      <c r="AD217">
        <f>ROUND(AVERAGE(Q217,W217,AC217),2)</f>
        <v>14.08</v>
      </c>
    </row>
    <row r="218" spans="1:30" x14ac:dyDescent="0.2">
      <c r="A218">
        <v>220</v>
      </c>
      <c r="B218">
        <v>1</v>
      </c>
      <c r="C218" t="s">
        <v>1022</v>
      </c>
      <c r="D218" t="s">
        <v>1023</v>
      </c>
      <c r="E218" t="s">
        <v>1019</v>
      </c>
      <c r="F218" t="s">
        <v>1024</v>
      </c>
      <c r="G218" t="s">
        <v>1025</v>
      </c>
      <c r="H218" t="s">
        <v>25</v>
      </c>
      <c r="I218" t="s">
        <v>25</v>
      </c>
      <c r="J218" t="s">
        <v>26</v>
      </c>
      <c r="K218" t="s">
        <v>210</v>
      </c>
      <c r="L218" s="5">
        <v>0</v>
      </c>
      <c r="M218" s="5">
        <v>0</v>
      </c>
      <c r="N218" s="5">
        <v>4.1652624990488857E-2</v>
      </c>
      <c r="O218" s="5">
        <v>0</v>
      </c>
      <c r="P218" s="5">
        <v>0.95834737500951117</v>
      </c>
      <c r="Q218" s="4">
        <f>ROUND((L218*100*1)+(N218*100*2)+(O218*100*3),2)</f>
        <v>8.33</v>
      </c>
      <c r="R218" s="5">
        <v>0</v>
      </c>
      <c r="S218" s="5">
        <v>0</v>
      </c>
      <c r="T218" s="5">
        <v>3.2195063645993081E-2</v>
      </c>
      <c r="U218" s="5">
        <v>0</v>
      </c>
      <c r="V218" s="5">
        <v>0.96780493635400688</v>
      </c>
      <c r="W218" s="4">
        <f>ROUND((R218*100*1)+(T218*100*2)+(U218*100*3),2)</f>
        <v>6.44</v>
      </c>
      <c r="X218" s="5">
        <v>4.9350293045351427E-2</v>
      </c>
      <c r="Y218" s="5">
        <v>0</v>
      </c>
      <c r="Z218" s="5">
        <v>2.871036733109518E-2</v>
      </c>
      <c r="AA218" s="5">
        <v>0</v>
      </c>
      <c r="AB218" s="5">
        <v>0.92193933962355323</v>
      </c>
      <c r="AC218" s="4">
        <f>ROUND((X218*100*1)+(Z218*100*2)+(AA218*100*3),2)</f>
        <v>10.68</v>
      </c>
      <c r="AD218">
        <f>ROUND(AVERAGE(Q218,W218,AC218),2)</f>
        <v>8.48</v>
      </c>
    </row>
    <row r="219" spans="1:30" x14ac:dyDescent="0.2">
      <c r="A219">
        <v>221</v>
      </c>
      <c r="B219">
        <v>1</v>
      </c>
      <c r="C219" t="s">
        <v>1026</v>
      </c>
      <c r="D219" t="s">
        <v>1027</v>
      </c>
      <c r="E219" t="s">
        <v>1019</v>
      </c>
      <c r="F219" t="s">
        <v>1028</v>
      </c>
      <c r="G219" t="s">
        <v>1029</v>
      </c>
      <c r="H219" t="s">
        <v>25</v>
      </c>
      <c r="I219" t="s">
        <v>25</v>
      </c>
      <c r="J219" t="s">
        <v>26</v>
      </c>
      <c r="K219" t="s">
        <v>56</v>
      </c>
      <c r="L219" s="5">
        <v>0.27233616287100632</v>
      </c>
      <c r="M219" s="5">
        <v>0</v>
      </c>
      <c r="N219" s="5">
        <v>9.3718403883698315E-2</v>
      </c>
      <c r="O219" s="5">
        <v>0</v>
      </c>
      <c r="P219" s="5">
        <v>0.6339454332452954</v>
      </c>
      <c r="Q219" s="4">
        <f>ROUND((L219*100*1)+(N219*100*2)+(O219*100*3),2)</f>
        <v>45.98</v>
      </c>
      <c r="R219" s="5">
        <v>0.27088210538314322</v>
      </c>
      <c r="S219" s="5">
        <v>0</v>
      </c>
      <c r="T219" s="5">
        <v>0.17886686492834589</v>
      </c>
      <c r="U219" s="5">
        <v>2.263337578497443E-2</v>
      </c>
      <c r="V219" s="5">
        <v>0.52761765390353643</v>
      </c>
      <c r="W219" s="4">
        <f>ROUND((R219*100*1)+(T219*100*2)+(U219*100*3),2)</f>
        <v>69.650000000000006</v>
      </c>
      <c r="X219" s="5">
        <v>0.23478539099359039</v>
      </c>
      <c r="Y219" s="5">
        <v>0</v>
      </c>
      <c r="Z219" s="5">
        <v>0.16534537406506111</v>
      </c>
      <c r="AA219" s="5">
        <v>6.8957248734089732E-2</v>
      </c>
      <c r="AB219" s="5">
        <v>0.53091198620725877</v>
      </c>
      <c r="AC219" s="4">
        <f>ROUND((X219*100*1)+(Z219*100*2)+(AA219*100*3),2)</f>
        <v>77.23</v>
      </c>
      <c r="AD219">
        <f>ROUND(AVERAGE(Q219,W219,AC219),2)</f>
        <v>64.290000000000006</v>
      </c>
    </row>
    <row r="220" spans="1:30" x14ac:dyDescent="0.2">
      <c r="A220">
        <v>222</v>
      </c>
      <c r="B220">
        <v>1</v>
      </c>
      <c r="C220" t="s">
        <v>1030</v>
      </c>
      <c r="D220" t="s">
        <v>1031</v>
      </c>
      <c r="E220" t="s">
        <v>1019</v>
      </c>
      <c r="F220" t="s">
        <v>1032</v>
      </c>
      <c r="G220" t="s">
        <v>1033</v>
      </c>
      <c r="H220" t="s">
        <v>25</v>
      </c>
      <c r="I220" t="s">
        <v>25</v>
      </c>
      <c r="J220" t="s">
        <v>92</v>
      </c>
      <c r="K220" t="s">
        <v>210</v>
      </c>
      <c r="L220" s="5">
        <v>0</v>
      </c>
      <c r="M220" s="5">
        <v>0</v>
      </c>
      <c r="N220" s="5">
        <v>2.631527127363217E-2</v>
      </c>
      <c r="O220" s="5">
        <v>0</v>
      </c>
      <c r="P220" s="5">
        <v>0.9736847287263678</v>
      </c>
      <c r="Q220" s="4">
        <f>ROUND((L220*100*1)+(N220*100*2)+(O220*100*3),2)</f>
        <v>5.26</v>
      </c>
      <c r="R220" s="5">
        <v>5.7873848706742103E-3</v>
      </c>
      <c r="S220" s="5">
        <v>0</v>
      </c>
      <c r="T220" s="5">
        <v>0.15714752502950721</v>
      </c>
      <c r="U220" s="5">
        <v>0.1342679473069173</v>
      </c>
      <c r="V220" s="5">
        <v>0.7027971427929014</v>
      </c>
      <c r="W220" s="4">
        <f>ROUND((R220*100*1)+(T220*100*2)+(U220*100*3),2)</f>
        <v>72.290000000000006</v>
      </c>
      <c r="X220" s="5">
        <v>0.1235895394421158</v>
      </c>
      <c r="Y220" s="5">
        <v>0</v>
      </c>
      <c r="Z220" s="5">
        <v>0.18258393099718889</v>
      </c>
      <c r="AA220" s="5">
        <v>6.511310775027003E-2</v>
      </c>
      <c r="AB220" s="5">
        <v>0.62871342181042533</v>
      </c>
      <c r="AC220" s="4">
        <f>ROUND((X220*100*1)+(Z220*100*2)+(AA220*100*3),2)</f>
        <v>68.41</v>
      </c>
      <c r="AD220">
        <f>ROUND(AVERAGE(Q220,W220,AC220),2)</f>
        <v>48.65</v>
      </c>
    </row>
    <row r="221" spans="1:30" x14ac:dyDescent="0.2">
      <c r="A221">
        <v>223</v>
      </c>
      <c r="B221">
        <v>3</v>
      </c>
      <c r="C221" t="s">
        <v>1034</v>
      </c>
      <c r="D221" t="s">
        <v>1035</v>
      </c>
      <c r="E221" t="s">
        <v>1019</v>
      </c>
      <c r="F221" t="s">
        <v>1036</v>
      </c>
      <c r="G221" t="s">
        <v>1037</v>
      </c>
      <c r="H221" t="s">
        <v>25</v>
      </c>
      <c r="I221" t="s">
        <v>25</v>
      </c>
      <c r="J221" t="s">
        <v>26</v>
      </c>
      <c r="K221" t="s">
        <v>210</v>
      </c>
      <c r="L221" s="5">
        <v>0</v>
      </c>
      <c r="M221" s="5">
        <v>0</v>
      </c>
      <c r="N221" s="5">
        <v>0</v>
      </c>
      <c r="O221" s="5">
        <v>0</v>
      </c>
      <c r="P221" s="5">
        <v>1</v>
      </c>
      <c r="Q221" s="4">
        <f>ROUND((L221*100*1)+(N221*100*2)+(O221*100*3),2)</f>
        <v>0</v>
      </c>
      <c r="R221" s="5">
        <v>0</v>
      </c>
      <c r="S221" s="5">
        <v>0</v>
      </c>
      <c r="T221" s="5">
        <v>6.6805610703168594E-2</v>
      </c>
      <c r="U221" s="5">
        <v>0.12011572962996531</v>
      </c>
      <c r="V221" s="5">
        <v>0.81307865966686621</v>
      </c>
      <c r="W221" s="4">
        <f>ROUND((R221*100*1)+(T221*100*2)+(U221*100*3),2)</f>
        <v>49.4</v>
      </c>
      <c r="X221" s="5">
        <v>8.677294024710477E-3</v>
      </c>
      <c r="Y221" s="5">
        <v>0</v>
      </c>
      <c r="Z221" s="5">
        <v>4.1550302501017447E-2</v>
      </c>
      <c r="AA221" s="5">
        <v>8.6735244403617073E-2</v>
      </c>
      <c r="AB221" s="5">
        <v>0.86303715907065492</v>
      </c>
      <c r="AC221" s="4">
        <f>ROUND((X221*100*1)+(Z221*100*2)+(AA221*100*3),2)</f>
        <v>35.200000000000003</v>
      </c>
      <c r="AD221">
        <f>ROUND(AVERAGE(Q221,W221,AC221),2)</f>
        <v>28.2</v>
      </c>
    </row>
    <row r="222" spans="1:30" x14ac:dyDescent="0.2">
      <c r="A222">
        <v>224</v>
      </c>
      <c r="B222">
        <v>1</v>
      </c>
      <c r="C222" t="s">
        <v>1038</v>
      </c>
      <c r="D222" t="s">
        <v>1039</v>
      </c>
      <c r="E222" t="s">
        <v>1040</v>
      </c>
      <c r="F222" t="s">
        <v>1041</v>
      </c>
      <c r="G222" t="s">
        <v>1042</v>
      </c>
      <c r="H222" t="s">
        <v>25</v>
      </c>
      <c r="I222" t="s">
        <v>25</v>
      </c>
      <c r="J222" t="s">
        <v>92</v>
      </c>
      <c r="K222" t="s">
        <v>210</v>
      </c>
      <c r="L222" s="5">
        <v>0</v>
      </c>
      <c r="M222" s="5">
        <v>0</v>
      </c>
      <c r="N222" s="5">
        <v>3.4257174543683981E-2</v>
      </c>
      <c r="O222" s="5">
        <v>0</v>
      </c>
      <c r="P222" s="5">
        <v>0.96574282545631607</v>
      </c>
      <c r="Q222" s="4">
        <f>ROUND((L222*100*1)+(N222*100*2)+(O222*100*3),2)</f>
        <v>6.85</v>
      </c>
      <c r="R222" s="5">
        <v>0</v>
      </c>
      <c r="S222" s="5">
        <v>0</v>
      </c>
      <c r="T222" s="5">
        <v>7.2292037444711285E-2</v>
      </c>
      <c r="U222" s="5">
        <v>4.3423278728546059E-2</v>
      </c>
      <c r="V222" s="5">
        <v>0.88428468382674263</v>
      </c>
      <c r="W222" s="4">
        <f>ROUND((R222*100*1)+(T222*100*2)+(U222*100*3),2)</f>
        <v>27.49</v>
      </c>
      <c r="X222" s="5">
        <v>5.0537214408057241E-3</v>
      </c>
      <c r="Y222" s="5">
        <v>0</v>
      </c>
      <c r="Z222" s="5">
        <v>6.9029387994863883E-2</v>
      </c>
      <c r="AA222" s="5">
        <v>7.6069368621694486E-2</v>
      </c>
      <c r="AB222" s="5">
        <v>0.84984752194263591</v>
      </c>
      <c r="AC222" s="4">
        <f>ROUND((X222*100*1)+(Z222*100*2)+(AA222*100*3),2)</f>
        <v>37.130000000000003</v>
      </c>
      <c r="AD222">
        <f>ROUND(AVERAGE(Q222,W222,AC222),2)</f>
        <v>23.82</v>
      </c>
    </row>
    <row r="223" spans="1:30" x14ac:dyDescent="0.2">
      <c r="A223">
        <v>225</v>
      </c>
      <c r="B223">
        <v>1</v>
      </c>
      <c r="C223" t="s">
        <v>1043</v>
      </c>
      <c r="D223" t="s">
        <v>1044</v>
      </c>
      <c r="E223" t="s">
        <v>22</v>
      </c>
      <c r="F223" t="s">
        <v>1045</v>
      </c>
      <c r="G223" t="s">
        <v>1046</v>
      </c>
      <c r="H223" t="s">
        <v>67</v>
      </c>
      <c r="I223" t="s">
        <v>67</v>
      </c>
      <c r="J223" t="s">
        <v>92</v>
      </c>
      <c r="K223" t="s">
        <v>27</v>
      </c>
      <c r="L223" s="5">
        <v>0</v>
      </c>
      <c r="M223" s="5">
        <v>0</v>
      </c>
      <c r="N223" s="5">
        <v>0.19876498510028989</v>
      </c>
      <c r="O223" s="5">
        <v>0</v>
      </c>
      <c r="P223" s="5">
        <v>0.80123501489971005</v>
      </c>
      <c r="Q223" s="4">
        <f>ROUND((L223*100*1)+(N223*100*2)+(O223*100*3),2)</f>
        <v>39.75</v>
      </c>
      <c r="R223" s="5">
        <v>0</v>
      </c>
      <c r="S223" s="5">
        <v>0</v>
      </c>
      <c r="T223" s="5">
        <v>0.15886399645786131</v>
      </c>
      <c r="U223" s="5">
        <v>0</v>
      </c>
      <c r="V223" s="5">
        <v>0.84113600354213869</v>
      </c>
      <c r="W223" s="4">
        <f>ROUND((R223*100*1)+(T223*100*2)+(U223*100*3),2)</f>
        <v>31.77</v>
      </c>
      <c r="X223" s="5">
        <v>1.5706526395489029E-2</v>
      </c>
      <c r="Y223" s="5">
        <v>0</v>
      </c>
      <c r="Z223" s="5">
        <v>0.155832372751978</v>
      </c>
      <c r="AA223" s="5">
        <v>5.3330595011742803E-2</v>
      </c>
      <c r="AB223" s="5">
        <v>0.77513050584079013</v>
      </c>
      <c r="AC223" s="4">
        <f>ROUND((X223*100*1)+(Z223*100*2)+(AA223*100*3),2)</f>
        <v>48.74</v>
      </c>
      <c r="AD223">
        <f>ROUND(AVERAGE(Q223,W223,AC223),2)</f>
        <v>40.090000000000003</v>
      </c>
    </row>
    <row r="224" spans="1:30" x14ac:dyDescent="0.2">
      <c r="A224">
        <v>226</v>
      </c>
      <c r="B224">
        <v>3</v>
      </c>
      <c r="C224" t="s">
        <v>1047</v>
      </c>
      <c r="D224" t="s">
        <v>1048</v>
      </c>
      <c r="E224" t="s">
        <v>1049</v>
      </c>
      <c r="F224" t="s">
        <v>1050</v>
      </c>
      <c r="G224" t="s">
        <v>1051</v>
      </c>
      <c r="H224" t="s">
        <v>25</v>
      </c>
      <c r="I224" t="s">
        <v>25</v>
      </c>
      <c r="J224" t="s">
        <v>92</v>
      </c>
      <c r="K224" t="s">
        <v>56</v>
      </c>
      <c r="L224" s="5">
        <v>5.0152233509057058E-2</v>
      </c>
      <c r="M224" s="5">
        <v>0</v>
      </c>
      <c r="N224" s="5">
        <v>0.25884282743648229</v>
      </c>
      <c r="O224" s="5">
        <v>0</v>
      </c>
      <c r="P224" s="5">
        <v>0.69100493905446059</v>
      </c>
      <c r="Q224" s="4">
        <f>ROUND((L224*100*1)+(N224*100*2)+(O224*100*3),2)</f>
        <v>56.78</v>
      </c>
      <c r="R224" s="5">
        <v>9.2443020964212946E-2</v>
      </c>
      <c r="S224" s="5">
        <v>0</v>
      </c>
      <c r="T224" s="5">
        <v>0.1114789078123722</v>
      </c>
      <c r="U224" s="5">
        <v>0</v>
      </c>
      <c r="V224" s="5">
        <v>0.7960780712234149</v>
      </c>
      <c r="W224" s="4">
        <f>ROUND((R224*100*1)+(T224*100*2)+(U224*100*3),2)</f>
        <v>31.54</v>
      </c>
      <c r="X224" s="5">
        <v>0.1100363856943626</v>
      </c>
      <c r="Y224" s="5">
        <v>0</v>
      </c>
      <c r="Z224" s="5">
        <v>6.4259672952604222E-2</v>
      </c>
      <c r="AA224" s="5">
        <v>3.7437984477329211E-3</v>
      </c>
      <c r="AB224" s="5">
        <v>0.82196014290530028</v>
      </c>
      <c r="AC224" s="4">
        <f>ROUND((X224*100*1)+(Z224*100*2)+(AA224*100*3),2)</f>
        <v>24.98</v>
      </c>
      <c r="AD224">
        <f>ROUND(AVERAGE(Q224,W224,AC224),2)</f>
        <v>37.770000000000003</v>
      </c>
    </row>
    <row r="225" spans="1:30" x14ac:dyDescent="0.2">
      <c r="A225">
        <v>227</v>
      </c>
      <c r="B225">
        <v>4</v>
      </c>
      <c r="C225" t="s">
        <v>1052</v>
      </c>
      <c r="D225" t="s">
        <v>1053</v>
      </c>
      <c r="E225" t="s">
        <v>1054</v>
      </c>
      <c r="F225" t="s">
        <v>1055</v>
      </c>
      <c r="G225" t="s">
        <v>1056</v>
      </c>
      <c r="H225" t="s">
        <v>67</v>
      </c>
      <c r="I225" t="s">
        <v>67</v>
      </c>
      <c r="J225" t="s">
        <v>26</v>
      </c>
      <c r="K225" t="s">
        <v>1057</v>
      </c>
      <c r="L225" s="5">
        <v>0.26391745622921198</v>
      </c>
      <c r="M225" s="5">
        <v>0</v>
      </c>
      <c r="N225" s="5">
        <v>9.6229000892414721E-2</v>
      </c>
      <c r="O225" s="5">
        <v>0</v>
      </c>
      <c r="P225" s="5">
        <v>0.63985354287837326</v>
      </c>
      <c r="Q225" s="4">
        <f>ROUND((L225*100*1)+(N225*100*2)+(O225*100*3),2)</f>
        <v>45.64</v>
      </c>
      <c r="R225" s="5">
        <v>0.35772133487819863</v>
      </c>
      <c r="S225" s="5">
        <v>0</v>
      </c>
      <c r="T225" s="5">
        <v>5.7046958258508133E-2</v>
      </c>
      <c r="U225" s="5">
        <v>0</v>
      </c>
      <c r="V225" s="5">
        <v>0.58523170686329329</v>
      </c>
      <c r="W225" s="4">
        <f>ROUND((R225*100*1)+(T225*100*2)+(U225*100*3),2)</f>
        <v>47.18</v>
      </c>
      <c r="X225" s="5">
        <v>0.3866776011850514</v>
      </c>
      <c r="Y225" s="5">
        <v>0</v>
      </c>
      <c r="Z225" s="5">
        <v>6.4024277137507787E-2</v>
      </c>
      <c r="AA225" s="5">
        <v>1.5880394564881301E-2</v>
      </c>
      <c r="AB225" s="5">
        <v>0.53341772711255953</v>
      </c>
      <c r="AC225" s="4">
        <f>ROUND((X225*100*1)+(Z225*100*2)+(AA225*100*3),2)</f>
        <v>56.24</v>
      </c>
      <c r="AD225">
        <f>ROUND(AVERAGE(Q225,W225,AC225),2)</f>
        <v>49.69</v>
      </c>
    </row>
    <row r="226" spans="1:30" x14ac:dyDescent="0.2">
      <c r="A226">
        <v>228</v>
      </c>
      <c r="B226">
        <v>8</v>
      </c>
      <c r="C226" t="s">
        <v>1058</v>
      </c>
      <c r="D226" t="s">
        <v>1059</v>
      </c>
      <c r="E226" t="s">
        <v>1054</v>
      </c>
      <c r="F226" t="s">
        <v>1060</v>
      </c>
      <c r="G226" t="s">
        <v>1061</v>
      </c>
      <c r="H226" t="s">
        <v>67</v>
      </c>
      <c r="I226" t="s">
        <v>67</v>
      </c>
      <c r="J226" t="s">
        <v>26</v>
      </c>
      <c r="K226" t="s">
        <v>1057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4">
        <f>ROUND((L226*100*1)+(N226*100*2)+(O226*100*3),2)</f>
        <v>100</v>
      </c>
      <c r="R226" s="5">
        <v>0.81427952020103966</v>
      </c>
      <c r="S226" s="5">
        <v>0</v>
      </c>
      <c r="T226" s="5">
        <v>3.5837957775384462E-2</v>
      </c>
      <c r="U226" s="5">
        <v>0</v>
      </c>
      <c r="V226" s="5">
        <v>0.14988252202357591</v>
      </c>
      <c r="W226" s="4">
        <f>ROUND((R226*100*1)+(T226*100*2)+(U226*100*3),2)</f>
        <v>88.6</v>
      </c>
      <c r="X226" s="5">
        <v>0.64802438093770254</v>
      </c>
      <c r="Y226" s="5">
        <v>0</v>
      </c>
      <c r="Z226" s="5">
        <v>6.018144820666118E-2</v>
      </c>
      <c r="AA226" s="5">
        <v>0</v>
      </c>
      <c r="AB226" s="5">
        <v>0.2917941708556363</v>
      </c>
      <c r="AC226" s="4">
        <f>ROUND((X226*100*1)+(Z226*100*2)+(AA226*100*3),2)</f>
        <v>76.84</v>
      </c>
      <c r="AD226">
        <f>ROUND(AVERAGE(Q226,W226,AC226),2)</f>
        <v>88.48</v>
      </c>
    </row>
    <row r="227" spans="1:30" x14ac:dyDescent="0.2">
      <c r="A227">
        <v>229</v>
      </c>
      <c r="B227">
        <v>1</v>
      </c>
      <c r="C227" t="s">
        <v>1062</v>
      </c>
      <c r="D227" t="s">
        <v>1063</v>
      </c>
      <c r="E227" t="s">
        <v>971</v>
      </c>
      <c r="F227" t="s">
        <v>65</v>
      </c>
      <c r="G227" t="s">
        <v>66</v>
      </c>
      <c r="H227" t="s">
        <v>25</v>
      </c>
      <c r="I227" t="s">
        <v>25</v>
      </c>
      <c r="J227" t="s">
        <v>26</v>
      </c>
      <c r="K227" t="s">
        <v>210</v>
      </c>
      <c r="L227" s="5">
        <v>0.61291652070483627</v>
      </c>
      <c r="M227" s="5">
        <v>0</v>
      </c>
      <c r="N227" s="5">
        <v>0</v>
      </c>
      <c r="O227" s="5">
        <v>0</v>
      </c>
      <c r="P227" s="5">
        <v>0.38708347929516368</v>
      </c>
      <c r="Q227" s="4">
        <f>ROUND((L227*100*1)+(N227*100*2)+(O227*100*3),2)</f>
        <v>61.29</v>
      </c>
      <c r="R227" s="5">
        <v>0.76938358227387427</v>
      </c>
      <c r="S227" s="5">
        <v>0</v>
      </c>
      <c r="T227" s="5">
        <v>3.8475060203478038E-2</v>
      </c>
      <c r="U227" s="5">
        <v>0</v>
      </c>
      <c r="V227" s="5">
        <v>0.1921413575226476</v>
      </c>
      <c r="W227" s="4">
        <f>ROUND((R227*100*1)+(T227*100*2)+(U227*100*3),2)</f>
        <v>84.63</v>
      </c>
      <c r="X227" s="5">
        <v>0.63133256491646372</v>
      </c>
      <c r="Y227" s="5">
        <v>0</v>
      </c>
      <c r="Z227" s="5">
        <v>3.2464889217433908E-2</v>
      </c>
      <c r="AA227" s="5">
        <v>0</v>
      </c>
      <c r="AB227" s="5">
        <v>0.33620254586610232</v>
      </c>
      <c r="AC227" s="4">
        <f>ROUND((X227*100*1)+(Z227*100*2)+(AA227*100*3),2)</f>
        <v>69.63</v>
      </c>
      <c r="AD227">
        <f>ROUND(AVERAGE(Q227,W227,AC227),2)</f>
        <v>71.849999999999994</v>
      </c>
    </row>
    <row r="228" spans="1:30" x14ac:dyDescent="0.2">
      <c r="A228">
        <v>230</v>
      </c>
      <c r="B228">
        <v>1</v>
      </c>
      <c r="C228" t="s">
        <v>1064</v>
      </c>
      <c r="D228" t="s">
        <v>1065</v>
      </c>
      <c r="E228" t="s">
        <v>1066</v>
      </c>
      <c r="H228" t="s">
        <v>336</v>
      </c>
      <c r="I228" t="s">
        <v>336</v>
      </c>
      <c r="J228" t="s">
        <v>987</v>
      </c>
      <c r="K228" t="s">
        <v>210</v>
      </c>
      <c r="L228" s="5">
        <v>0</v>
      </c>
      <c r="M228" s="5">
        <v>0</v>
      </c>
      <c r="N228" s="5">
        <v>0.47694412645191608</v>
      </c>
      <c r="O228" s="5">
        <v>0.5230558735479568</v>
      </c>
      <c r="P228" s="5">
        <v>1.271205363195804E-13</v>
      </c>
      <c r="Q228" s="4">
        <f>ROUND((L228*100*1)+(N228*100*2)+(O228*100*3),2)</f>
        <v>252.31</v>
      </c>
      <c r="R228" s="5">
        <v>4.3498123312430963E-2</v>
      </c>
      <c r="S228" s="5">
        <v>0</v>
      </c>
      <c r="T228" s="5">
        <v>0.30623029843814648</v>
      </c>
      <c r="U228" s="5">
        <v>0.65027157824949644</v>
      </c>
      <c r="V228" s="5">
        <v>0</v>
      </c>
      <c r="W228" s="4">
        <f>ROUND((R228*100*1)+(T228*100*2)+(U228*100*3),2)</f>
        <v>260.68</v>
      </c>
      <c r="X228" s="5">
        <v>0.11786150112826931</v>
      </c>
      <c r="Y228" s="5">
        <v>0</v>
      </c>
      <c r="Z228" s="5">
        <v>0.23291773054568771</v>
      </c>
      <c r="AA228" s="5">
        <v>0.6000640190265305</v>
      </c>
      <c r="AB228" s="5">
        <v>4.9156749299512532E-2</v>
      </c>
      <c r="AC228" s="4">
        <f>ROUND((X228*100*1)+(Z228*100*2)+(AA228*100*3),2)</f>
        <v>238.39</v>
      </c>
      <c r="AD228">
        <f>ROUND(AVERAGE(Q228,W228,AC228),2)</f>
        <v>250.46</v>
      </c>
    </row>
    <row r="229" spans="1:30" x14ac:dyDescent="0.2">
      <c r="A229">
        <v>231</v>
      </c>
      <c r="B229">
        <v>1</v>
      </c>
      <c r="C229" t="s">
        <v>1067</v>
      </c>
      <c r="D229" t="s">
        <v>1068</v>
      </c>
      <c r="E229" t="s">
        <v>1069</v>
      </c>
      <c r="F229" t="s">
        <v>1070</v>
      </c>
      <c r="G229" t="s">
        <v>1071</v>
      </c>
      <c r="H229" t="s">
        <v>25</v>
      </c>
      <c r="I229" t="s">
        <v>25</v>
      </c>
      <c r="J229" t="s">
        <v>92</v>
      </c>
      <c r="K229" t="s">
        <v>210</v>
      </c>
      <c r="L229" s="5">
        <v>0.2064707721299926</v>
      </c>
      <c r="M229" s="5">
        <v>0</v>
      </c>
      <c r="N229" s="5">
        <v>0</v>
      </c>
      <c r="O229" s="5">
        <v>0</v>
      </c>
      <c r="P229" s="5">
        <v>0.79352922787000746</v>
      </c>
      <c r="Q229" s="4">
        <f>ROUND((L229*100*1)+(N229*100*2)+(O229*100*3),2)</f>
        <v>20.65</v>
      </c>
      <c r="R229" s="5">
        <v>0.48470916193598979</v>
      </c>
      <c r="S229" s="5">
        <v>0</v>
      </c>
      <c r="T229" s="5">
        <v>1.059352828680196E-2</v>
      </c>
      <c r="U229" s="5">
        <v>0</v>
      </c>
      <c r="V229" s="5">
        <v>0.50469730977720828</v>
      </c>
      <c r="W229" s="4">
        <f>ROUND((R229*100*1)+(T229*100*2)+(U229*100*3),2)</f>
        <v>50.59</v>
      </c>
      <c r="X229" s="5">
        <v>0.51734299899183189</v>
      </c>
      <c r="Y229" s="5">
        <v>0</v>
      </c>
      <c r="Z229" s="5">
        <v>2.6381329497065599E-2</v>
      </c>
      <c r="AA229" s="5">
        <v>0</v>
      </c>
      <c r="AB229" s="5">
        <v>0.45627567151110238</v>
      </c>
      <c r="AC229" s="4">
        <f>ROUND((X229*100*1)+(Z229*100*2)+(AA229*100*3),2)</f>
        <v>57.01</v>
      </c>
      <c r="AD229">
        <f>ROUND(AVERAGE(Q229,W229,AC229),2)</f>
        <v>42.75</v>
      </c>
    </row>
    <row r="230" spans="1:30" x14ac:dyDescent="0.2">
      <c r="A230">
        <v>232</v>
      </c>
      <c r="B230">
        <v>1</v>
      </c>
      <c r="C230" t="s">
        <v>1072</v>
      </c>
      <c r="D230" t="s">
        <v>1073</v>
      </c>
      <c r="E230" t="s">
        <v>1069</v>
      </c>
      <c r="F230" t="s">
        <v>1074</v>
      </c>
      <c r="G230" t="s">
        <v>1075</v>
      </c>
      <c r="H230" t="s">
        <v>67</v>
      </c>
      <c r="I230" t="s">
        <v>67</v>
      </c>
      <c r="J230" t="s">
        <v>26</v>
      </c>
      <c r="K230" t="s">
        <v>904</v>
      </c>
      <c r="L230" s="5">
        <v>0.82576069902826121</v>
      </c>
      <c r="M230" s="5">
        <v>0</v>
      </c>
      <c r="N230" s="5">
        <v>0.17423930097179291</v>
      </c>
      <c r="O230" s="5">
        <v>0</v>
      </c>
      <c r="P230" s="5">
        <v>0</v>
      </c>
      <c r="Q230" s="4">
        <f>ROUND((L230*100*1)+(N230*100*2)+(O230*100*3),2)</f>
        <v>117.42</v>
      </c>
      <c r="R230" s="5">
        <v>0.8913052183328618</v>
      </c>
      <c r="S230" s="5">
        <v>0</v>
      </c>
      <c r="T230" s="5">
        <v>0.10869478166712419</v>
      </c>
      <c r="U230" s="5">
        <v>0</v>
      </c>
      <c r="V230" s="5">
        <v>1.3988810110276969E-14</v>
      </c>
      <c r="W230" s="4">
        <f>ROUND((R230*100*1)+(T230*100*2)+(U230*100*3),2)</f>
        <v>110.87</v>
      </c>
      <c r="X230" s="5">
        <v>0.87705709456788161</v>
      </c>
      <c r="Y230" s="5">
        <v>0</v>
      </c>
      <c r="Z230" s="5">
        <v>8.0117373394740746E-2</v>
      </c>
      <c r="AA230" s="5">
        <v>2.7170848872208391E-4</v>
      </c>
      <c r="AB230" s="5">
        <v>4.2553823548655563E-2</v>
      </c>
      <c r="AC230" s="4">
        <f>ROUND((X230*100*1)+(Z230*100*2)+(AA230*100*3),2)</f>
        <v>103.81</v>
      </c>
      <c r="AD230">
        <f>ROUND(AVERAGE(Q230,W230,AC230),2)</f>
        <v>110.7</v>
      </c>
    </row>
    <row r="231" spans="1:30" x14ac:dyDescent="0.2">
      <c r="A231">
        <v>233</v>
      </c>
      <c r="B231">
        <v>2</v>
      </c>
      <c r="C231" t="s">
        <v>1076</v>
      </c>
      <c r="D231" t="s">
        <v>1077</v>
      </c>
      <c r="E231" t="s">
        <v>1078</v>
      </c>
      <c r="F231" t="s">
        <v>1079</v>
      </c>
      <c r="G231" t="s">
        <v>1080</v>
      </c>
      <c r="H231" t="s">
        <v>67</v>
      </c>
      <c r="I231" t="s">
        <v>67</v>
      </c>
      <c r="J231" t="s">
        <v>26</v>
      </c>
      <c r="K231" t="s">
        <v>193</v>
      </c>
      <c r="L231" s="5">
        <v>0.90269964553051474</v>
      </c>
      <c r="M231" s="5">
        <v>0</v>
      </c>
      <c r="N231" s="5">
        <v>9.730035446946475E-2</v>
      </c>
      <c r="O231" s="5">
        <v>0</v>
      </c>
      <c r="P231" s="5">
        <v>2.0539125955565399E-14</v>
      </c>
      <c r="Q231" s="4">
        <f>ROUND((L231*100*1)+(N231*100*2)+(O231*100*3),2)</f>
        <v>109.73</v>
      </c>
      <c r="R231" s="5">
        <v>0.9659857559453191</v>
      </c>
      <c r="S231" s="5">
        <v>0</v>
      </c>
      <c r="T231" s="5">
        <v>3.2680260062680232E-2</v>
      </c>
      <c r="U231" s="5">
        <v>0</v>
      </c>
      <c r="V231" s="5">
        <v>1.3339839920006871E-3</v>
      </c>
      <c r="W231" s="4">
        <f>ROUND((R231*100*1)+(T231*100*2)+(U231*100*3),2)</f>
        <v>103.13</v>
      </c>
      <c r="X231" s="5">
        <v>0.91469556916694461</v>
      </c>
      <c r="Y231" s="5">
        <v>0</v>
      </c>
      <c r="Z231" s="5">
        <v>2.8402151341243478E-2</v>
      </c>
      <c r="AA231" s="5">
        <v>3.565590630926322E-3</v>
      </c>
      <c r="AB231" s="5">
        <v>5.3336688860885488E-2</v>
      </c>
      <c r="AC231" s="4">
        <f>ROUND((X231*100*1)+(Z231*100*2)+(AA231*100*3),2)</f>
        <v>98.22</v>
      </c>
      <c r="AD231">
        <f>ROUND(AVERAGE(Q231,W231,AC231),2)</f>
        <v>103.69</v>
      </c>
    </row>
    <row r="232" spans="1:30" x14ac:dyDescent="0.2">
      <c r="A232">
        <v>234</v>
      </c>
      <c r="B232">
        <v>1</v>
      </c>
      <c r="C232" t="s">
        <v>1081</v>
      </c>
      <c r="D232" t="s">
        <v>1082</v>
      </c>
      <c r="E232" t="s">
        <v>1019</v>
      </c>
      <c r="F232" t="s">
        <v>1083</v>
      </c>
      <c r="G232" t="s">
        <v>1084</v>
      </c>
      <c r="H232" t="s">
        <v>25</v>
      </c>
      <c r="I232" t="s">
        <v>25</v>
      </c>
      <c r="J232" t="s">
        <v>92</v>
      </c>
      <c r="K232" t="s">
        <v>210</v>
      </c>
      <c r="L232" s="5">
        <v>0.98225211484616526</v>
      </c>
      <c r="M232" s="5">
        <v>0</v>
      </c>
      <c r="N232" s="5">
        <v>1.7747885153849619E-2</v>
      </c>
      <c r="O232" s="5">
        <v>0</v>
      </c>
      <c r="P232" s="5">
        <v>0</v>
      </c>
      <c r="Q232" s="4">
        <f>ROUND((L232*100*1)+(N232*100*2)+(O232*100*3),2)</f>
        <v>101.77</v>
      </c>
      <c r="R232" s="5">
        <v>0.94499410264792993</v>
      </c>
      <c r="S232" s="5">
        <v>0</v>
      </c>
      <c r="T232" s="5">
        <v>5.500589735210884E-2</v>
      </c>
      <c r="U232" s="5">
        <v>0</v>
      </c>
      <c r="V232" s="5">
        <v>0</v>
      </c>
      <c r="W232" s="4">
        <f>ROUND((R232*100*1)+(T232*100*2)+(U232*100*3),2)</f>
        <v>105.5</v>
      </c>
      <c r="X232" s="5">
        <v>0.9458606807584935</v>
      </c>
      <c r="Y232" s="5">
        <v>0</v>
      </c>
      <c r="Z232" s="5">
        <v>5.4139319241497168E-2</v>
      </c>
      <c r="AA232" s="5">
        <v>0</v>
      </c>
      <c r="AB232" s="5">
        <v>9.3258734068513149E-15</v>
      </c>
      <c r="AC232" s="4">
        <f>ROUND((X232*100*1)+(Z232*100*2)+(AA232*100*3),2)</f>
        <v>105.41</v>
      </c>
      <c r="AD232">
        <f>ROUND(AVERAGE(Q232,W232,AC232),2)</f>
        <v>104.23</v>
      </c>
    </row>
    <row r="233" spans="1:30" x14ac:dyDescent="0.2">
      <c r="A233">
        <v>235</v>
      </c>
      <c r="B233">
        <v>1</v>
      </c>
      <c r="C233" t="s">
        <v>1085</v>
      </c>
      <c r="D233" t="s">
        <v>1086</v>
      </c>
      <c r="E233" t="s">
        <v>1087</v>
      </c>
      <c r="F233" t="s">
        <v>1088</v>
      </c>
      <c r="G233" t="s">
        <v>1089</v>
      </c>
      <c r="H233" t="s">
        <v>25</v>
      </c>
      <c r="I233" t="s">
        <v>25</v>
      </c>
      <c r="J233" t="s">
        <v>92</v>
      </c>
      <c r="K233" t="s">
        <v>540</v>
      </c>
      <c r="L233" s="5">
        <v>0</v>
      </c>
      <c r="M233" s="5">
        <v>0</v>
      </c>
      <c r="N233" s="5">
        <v>0</v>
      </c>
      <c r="O233" s="5">
        <v>0</v>
      </c>
      <c r="P233" s="5">
        <v>1</v>
      </c>
      <c r="Q233" s="4">
        <f>ROUND((L233*100*1)+(N233*100*2)+(O233*100*3),2)</f>
        <v>0</v>
      </c>
      <c r="R233" s="5">
        <v>2.2108453940408439E-2</v>
      </c>
      <c r="S233" s="5">
        <v>0</v>
      </c>
      <c r="T233" s="5">
        <v>3.5498286049915138E-2</v>
      </c>
      <c r="U233" s="5">
        <v>0</v>
      </c>
      <c r="V233" s="5">
        <v>0.94239326000967638</v>
      </c>
      <c r="W233" s="4">
        <f>ROUND((R233*100*1)+(T233*100*2)+(U233*100*3),2)</f>
        <v>9.31</v>
      </c>
      <c r="X233" s="5">
        <v>0.16522402557383289</v>
      </c>
      <c r="Y233" s="5">
        <v>0</v>
      </c>
      <c r="Z233" s="5">
        <v>5.5607730482842357E-2</v>
      </c>
      <c r="AA233" s="5">
        <v>0</v>
      </c>
      <c r="AB233" s="5">
        <v>0.77916824394332473</v>
      </c>
      <c r="AC233" s="4">
        <f>ROUND((X233*100*1)+(Z233*100*2)+(AA233*100*3),2)</f>
        <v>27.64</v>
      </c>
      <c r="AD233">
        <f>ROUND(AVERAGE(Q233,W233,AC233),2)</f>
        <v>12.32</v>
      </c>
    </row>
    <row r="234" spans="1:30" x14ac:dyDescent="0.2">
      <c r="A234">
        <v>236</v>
      </c>
      <c r="B234">
        <v>1</v>
      </c>
      <c r="C234" t="s">
        <v>1090</v>
      </c>
      <c r="D234" t="s">
        <v>1091</v>
      </c>
      <c r="E234" t="s">
        <v>1087</v>
      </c>
      <c r="F234" t="s">
        <v>1092</v>
      </c>
      <c r="G234" t="s">
        <v>1093</v>
      </c>
      <c r="H234" t="s">
        <v>25</v>
      </c>
      <c r="I234" t="s">
        <v>25</v>
      </c>
      <c r="J234" t="s">
        <v>26</v>
      </c>
      <c r="K234" t="s">
        <v>210</v>
      </c>
      <c r="L234" s="5">
        <v>0.26146498460367779</v>
      </c>
      <c r="M234" s="5">
        <v>0</v>
      </c>
      <c r="N234" s="5">
        <v>0.23076551825535149</v>
      </c>
      <c r="O234" s="5">
        <v>0.36458727504492738</v>
      </c>
      <c r="P234" s="5">
        <v>0.14318222209604331</v>
      </c>
      <c r="Q234" s="4">
        <f>ROUND((L234*100*1)+(N234*100*2)+(O234*100*3),2)</f>
        <v>181.68</v>
      </c>
      <c r="R234" s="5">
        <v>0.63185253211337655</v>
      </c>
      <c r="S234" s="5">
        <v>0</v>
      </c>
      <c r="T234" s="5">
        <v>0.14393839231069161</v>
      </c>
      <c r="U234" s="5">
        <v>0.17678557542850351</v>
      </c>
      <c r="V234" s="5">
        <v>4.7423500147428348E-2</v>
      </c>
      <c r="W234" s="4">
        <f>ROUND((R234*100*1)+(T234*100*2)+(U234*100*3),2)</f>
        <v>145.01</v>
      </c>
      <c r="X234" s="5">
        <v>0.7834857628408195</v>
      </c>
      <c r="Y234" s="5">
        <v>0</v>
      </c>
      <c r="Z234" s="5">
        <v>8.7913647725909885E-2</v>
      </c>
      <c r="AA234" s="5">
        <v>7.7236432676134517E-2</v>
      </c>
      <c r="AB234" s="5">
        <v>5.1364156757136008E-2</v>
      </c>
      <c r="AC234" s="4">
        <f>ROUND((X234*100*1)+(Z234*100*2)+(AA234*100*3),2)</f>
        <v>119.1</v>
      </c>
      <c r="AD234">
        <f>ROUND(AVERAGE(Q234,W234,AC234),2)</f>
        <v>148.6</v>
      </c>
    </row>
    <row r="235" spans="1:30" x14ac:dyDescent="0.2">
      <c r="A235">
        <v>237</v>
      </c>
      <c r="B235">
        <v>1</v>
      </c>
      <c r="C235" t="s">
        <v>1094</v>
      </c>
      <c r="D235" t="s">
        <v>1095</v>
      </c>
      <c r="E235" t="s">
        <v>1087</v>
      </c>
      <c r="F235" t="s">
        <v>1096</v>
      </c>
      <c r="G235" t="s">
        <v>1097</v>
      </c>
      <c r="H235" t="s">
        <v>25</v>
      </c>
      <c r="I235" t="s">
        <v>25</v>
      </c>
      <c r="J235" t="s">
        <v>26</v>
      </c>
      <c r="K235" t="s">
        <v>540</v>
      </c>
      <c r="L235" s="5">
        <v>0.53686238965597544</v>
      </c>
      <c r="M235" s="5">
        <v>0</v>
      </c>
      <c r="N235" s="5">
        <v>0</v>
      </c>
      <c r="O235" s="5">
        <v>0</v>
      </c>
      <c r="P235" s="5">
        <v>0.46313761034402462</v>
      </c>
      <c r="Q235" s="4">
        <f>ROUND((L235*100*1)+(N235*100*2)+(O235*100*3),2)</f>
        <v>53.69</v>
      </c>
      <c r="R235" s="5">
        <v>0.36150323006598228</v>
      </c>
      <c r="S235" s="5">
        <v>0</v>
      </c>
      <c r="T235" s="5">
        <v>5.0630887007705891E-2</v>
      </c>
      <c r="U235" s="5">
        <v>0</v>
      </c>
      <c r="V235" s="5">
        <v>0.5878658829263117</v>
      </c>
      <c r="W235" s="4">
        <f>ROUND((R235*100*1)+(T235*100*2)+(U235*100*3),2)</f>
        <v>46.28</v>
      </c>
      <c r="X235" s="5">
        <v>0.39269036281034742</v>
      </c>
      <c r="Y235" s="5">
        <v>0</v>
      </c>
      <c r="Z235" s="5">
        <v>4.9816499028111007E-2</v>
      </c>
      <c r="AA235" s="5">
        <v>2.0777809093393401E-4</v>
      </c>
      <c r="AB235" s="5">
        <v>0.55728536007060769</v>
      </c>
      <c r="AC235" s="4">
        <f>ROUND((X235*100*1)+(Z235*100*2)+(AA235*100*3),2)</f>
        <v>49.29</v>
      </c>
      <c r="AD235">
        <f>ROUND(AVERAGE(Q235,W235,AC235),2)</f>
        <v>49.75</v>
      </c>
    </row>
    <row r="236" spans="1:30" x14ac:dyDescent="0.2">
      <c r="A236">
        <v>238</v>
      </c>
      <c r="B236">
        <v>1</v>
      </c>
      <c r="C236" t="s">
        <v>1098</v>
      </c>
      <c r="D236" t="s">
        <v>1099</v>
      </c>
      <c r="E236" t="s">
        <v>1100</v>
      </c>
      <c r="F236" t="s">
        <v>1101</v>
      </c>
      <c r="G236" t="s">
        <v>1102</v>
      </c>
      <c r="H236" t="s">
        <v>25</v>
      </c>
      <c r="I236" t="s">
        <v>25</v>
      </c>
      <c r="J236" t="s">
        <v>26</v>
      </c>
      <c r="K236" t="s">
        <v>50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4">
        <f>ROUND((L236*100*1)+(N236*100*2)+(O236*100*3),2)</f>
        <v>100</v>
      </c>
      <c r="R236" s="5">
        <v>0.93831158017961713</v>
      </c>
      <c r="S236" s="5">
        <v>0</v>
      </c>
      <c r="T236" s="5">
        <v>4.7072377749601622E-2</v>
      </c>
      <c r="U236" s="5">
        <v>0</v>
      </c>
      <c r="V236" s="5">
        <v>1.4616042070781271E-2</v>
      </c>
      <c r="W236" s="4">
        <f>ROUND((R236*100*1)+(T236*100*2)+(U236*100*3),2)</f>
        <v>103.25</v>
      </c>
      <c r="X236" s="5">
        <v>0.93844282314354688</v>
      </c>
      <c r="Y236" s="5">
        <v>0</v>
      </c>
      <c r="Z236" s="5">
        <v>4.05461904698389E-2</v>
      </c>
      <c r="AA236" s="5">
        <v>0</v>
      </c>
      <c r="AB236" s="5">
        <v>2.101098638661425E-2</v>
      </c>
      <c r="AC236" s="4">
        <f>ROUND((X236*100*1)+(Z236*100*2)+(AA236*100*3),2)</f>
        <v>101.95</v>
      </c>
      <c r="AD236">
        <f>ROUND(AVERAGE(Q236,W236,AC236),2)</f>
        <v>101.73</v>
      </c>
    </row>
    <row r="237" spans="1:30" x14ac:dyDescent="0.2">
      <c r="A237">
        <v>239</v>
      </c>
      <c r="B237">
        <v>1</v>
      </c>
      <c r="C237" t="s">
        <v>1103</v>
      </c>
      <c r="D237" t="s">
        <v>1104</v>
      </c>
      <c r="E237" t="s">
        <v>1105</v>
      </c>
      <c r="F237" t="s">
        <v>1106</v>
      </c>
      <c r="G237" t="s">
        <v>1107</v>
      </c>
      <c r="H237" t="s">
        <v>25</v>
      </c>
      <c r="I237" t="s">
        <v>25</v>
      </c>
      <c r="J237" t="s">
        <v>26</v>
      </c>
      <c r="K237" t="s">
        <v>1108</v>
      </c>
      <c r="L237" s="5">
        <v>0.97485294887490581</v>
      </c>
      <c r="M237" s="5">
        <v>0</v>
      </c>
      <c r="N237" s="5">
        <v>0</v>
      </c>
      <c r="O237" s="5">
        <v>0</v>
      </c>
      <c r="P237" s="5">
        <v>2.5147051125094189E-2</v>
      </c>
      <c r="Q237" s="4">
        <f>ROUND((L237*100*1)+(N237*100*2)+(O237*100*3),2)</f>
        <v>97.49</v>
      </c>
      <c r="R237" s="5">
        <v>0.65491904470092832</v>
      </c>
      <c r="S237" s="5">
        <v>8.4291747585005395E-3</v>
      </c>
      <c r="T237" s="5">
        <v>4.5352184703700393E-2</v>
      </c>
      <c r="U237" s="5">
        <v>0</v>
      </c>
      <c r="V237" s="5">
        <v>0.29129959583687071</v>
      </c>
      <c r="W237" s="4">
        <f>ROUND((R237*100*1)+(T237*100*2)+(U237*100*3),2)</f>
        <v>74.56</v>
      </c>
      <c r="X237" s="5">
        <v>0.71041466927796926</v>
      </c>
      <c r="Y237" s="5">
        <v>3.9777462611566804E-3</v>
      </c>
      <c r="Z237" s="5">
        <v>7.2563522278340079E-2</v>
      </c>
      <c r="AA237" s="5">
        <v>2.8079708100591E-3</v>
      </c>
      <c r="AB237" s="5">
        <v>0.2102360913724749</v>
      </c>
      <c r="AC237" s="4">
        <f>ROUND((X237*100*1)+(Z237*100*2)+(AA237*100*3),2)</f>
        <v>86.4</v>
      </c>
      <c r="AD237">
        <f>ROUND(AVERAGE(Q237,W237,AC237),2)</f>
        <v>86.15</v>
      </c>
    </row>
    <row r="238" spans="1:30" x14ac:dyDescent="0.2">
      <c r="A238">
        <v>240</v>
      </c>
      <c r="B238">
        <v>1</v>
      </c>
      <c r="C238" t="s">
        <v>1109</v>
      </c>
      <c r="D238" t="s">
        <v>1110</v>
      </c>
      <c r="E238" t="s">
        <v>1105</v>
      </c>
      <c r="F238" t="s">
        <v>1111</v>
      </c>
      <c r="G238" t="s">
        <v>1112</v>
      </c>
      <c r="H238" t="s">
        <v>25</v>
      </c>
      <c r="I238" t="s">
        <v>25</v>
      </c>
      <c r="J238" t="s">
        <v>34</v>
      </c>
      <c r="K238" t="s">
        <v>1108</v>
      </c>
      <c r="L238" s="5">
        <v>0.99421626602913893</v>
      </c>
      <c r="M238" s="5">
        <v>0</v>
      </c>
      <c r="N238" s="5">
        <v>5.7837339708610106E-3</v>
      </c>
      <c r="O238" s="5">
        <v>0</v>
      </c>
      <c r="P238" s="5">
        <v>1.110223024625157E-16</v>
      </c>
      <c r="Q238" s="4">
        <f>ROUND((L238*100*1)+(N238*100*2)+(O238*100*3),2)</f>
        <v>100.58</v>
      </c>
      <c r="R238" s="5">
        <v>0.88680748441657264</v>
      </c>
      <c r="S238" s="5">
        <v>0</v>
      </c>
      <c r="T238" s="5">
        <v>9.9262455374186112E-2</v>
      </c>
      <c r="U238" s="5">
        <v>1.32163215175584E-2</v>
      </c>
      <c r="V238" s="5">
        <v>7.1373869168289705E-4</v>
      </c>
      <c r="W238" s="4">
        <f>ROUND((R238*100*1)+(T238*100*2)+(U238*100*3),2)</f>
        <v>112.5</v>
      </c>
      <c r="X238" s="5">
        <v>0.84687032413073848</v>
      </c>
      <c r="Y238" s="5">
        <v>3.9777462611566804E-3</v>
      </c>
      <c r="Z238" s="5">
        <v>0.11435136403614619</v>
      </c>
      <c r="AA238" s="5">
        <v>3.074101946920808E-2</v>
      </c>
      <c r="AB238" s="5">
        <v>4.0595461027506108E-3</v>
      </c>
      <c r="AC238" s="4">
        <f>ROUND((X238*100*1)+(Z238*100*2)+(AA238*100*3),2)</f>
        <v>116.78</v>
      </c>
      <c r="AD238">
        <f>ROUND(AVERAGE(Q238,W238,AC238),2)</f>
        <v>109.95</v>
      </c>
    </row>
    <row r="239" spans="1:30" x14ac:dyDescent="0.2">
      <c r="A239">
        <v>241</v>
      </c>
      <c r="B239">
        <v>2</v>
      </c>
      <c r="C239" t="s">
        <v>1113</v>
      </c>
      <c r="D239" t="s">
        <v>1114</v>
      </c>
      <c r="E239" t="s">
        <v>1105</v>
      </c>
      <c r="F239" t="s">
        <v>1115</v>
      </c>
      <c r="G239" t="s">
        <v>1116</v>
      </c>
      <c r="H239" t="s">
        <v>67</v>
      </c>
      <c r="I239" t="s">
        <v>67</v>
      </c>
      <c r="J239" t="s">
        <v>26</v>
      </c>
      <c r="K239" t="s">
        <v>1108</v>
      </c>
      <c r="L239" s="5">
        <v>0.89481242361668167</v>
      </c>
      <c r="M239" s="5">
        <v>0</v>
      </c>
      <c r="N239" s="5">
        <v>0.1051875763833393</v>
      </c>
      <c r="O239" s="5">
        <v>0</v>
      </c>
      <c r="P239" s="5">
        <v>0</v>
      </c>
      <c r="Q239" s="4">
        <f>ROUND((L239*100*1)+(N239*100*2)+(O239*100*3),2)</f>
        <v>110.52</v>
      </c>
      <c r="R239" s="5">
        <v>0.86965637673809781</v>
      </c>
      <c r="S239" s="5">
        <v>6.5870499679156818E-3</v>
      </c>
      <c r="T239" s="5">
        <v>0.1072517179295522</v>
      </c>
      <c r="U239" s="5">
        <v>4.6521520821110341E-4</v>
      </c>
      <c r="V239" s="5">
        <v>1.6039640156223171E-2</v>
      </c>
      <c r="W239" s="4">
        <f>ROUND((R239*100*1)+(T239*100*2)+(U239*100*3),2)</f>
        <v>108.56</v>
      </c>
      <c r="X239" s="5">
        <v>0.78223383233774912</v>
      </c>
      <c r="Y239" s="5">
        <v>3.9777462611566804E-3</v>
      </c>
      <c r="Z239" s="5">
        <v>8.171261863927759E-2</v>
      </c>
      <c r="AA239" s="5">
        <v>7.7736904260358936E-4</v>
      </c>
      <c r="AB239" s="5">
        <v>0.13129843371921299</v>
      </c>
      <c r="AC239" s="4">
        <f>ROUND((X239*100*1)+(Z239*100*2)+(AA239*100*3),2)</f>
        <v>94.8</v>
      </c>
      <c r="AD239">
        <f>ROUND(AVERAGE(Q239,W239,AC239),2)</f>
        <v>104.63</v>
      </c>
    </row>
    <row r="240" spans="1:30" x14ac:dyDescent="0.2">
      <c r="A240">
        <v>242</v>
      </c>
      <c r="B240">
        <v>1</v>
      </c>
      <c r="C240" t="s">
        <v>1117</v>
      </c>
      <c r="D240" t="s">
        <v>1118</v>
      </c>
      <c r="E240" t="s">
        <v>1105</v>
      </c>
      <c r="F240" t="s">
        <v>1119</v>
      </c>
      <c r="G240" t="s">
        <v>1120</v>
      </c>
      <c r="H240" t="s">
        <v>25</v>
      </c>
      <c r="I240" t="s">
        <v>25</v>
      </c>
      <c r="J240" t="s">
        <v>26</v>
      </c>
      <c r="K240" t="s">
        <v>43</v>
      </c>
      <c r="L240" s="5">
        <v>0.92331178782845191</v>
      </c>
      <c r="M240" s="5">
        <v>0</v>
      </c>
      <c r="N240" s="5">
        <v>1.216218147712906E-2</v>
      </c>
      <c r="O240" s="5">
        <v>6.4526030694465719E-2</v>
      </c>
      <c r="P240" s="5">
        <v>0</v>
      </c>
      <c r="Q240" s="4">
        <f>ROUND((L240*100*1)+(N240*100*2)+(O240*100*3),2)</f>
        <v>114.12</v>
      </c>
      <c r="R240" s="5">
        <v>0.87053986991050392</v>
      </c>
      <c r="S240" s="5">
        <v>0</v>
      </c>
      <c r="T240" s="5">
        <v>0.115685179554603</v>
      </c>
      <c r="U240" s="5">
        <v>1.360906438733194E-2</v>
      </c>
      <c r="V240" s="5">
        <v>1.6588614756118949E-4</v>
      </c>
      <c r="W240" s="4">
        <f>ROUND((R240*100*1)+(T240*100*2)+(U240*100*3),2)</f>
        <v>114.27</v>
      </c>
      <c r="X240" s="5">
        <v>0.82151334200073001</v>
      </c>
      <c r="Y240" s="5">
        <v>2.4525000885261918E-3</v>
      </c>
      <c r="Z240" s="5">
        <v>0.1167231143497862</v>
      </c>
      <c r="AA240" s="5">
        <v>5.8688406912873588E-2</v>
      </c>
      <c r="AB240" s="5">
        <v>6.2263664808404062E-4</v>
      </c>
      <c r="AC240" s="4">
        <f>ROUND((X240*100*1)+(Z240*100*2)+(AA240*100*3),2)</f>
        <v>123.1</v>
      </c>
      <c r="AD240">
        <f>ROUND(AVERAGE(Q240,W240,AC240),2)</f>
        <v>117.16</v>
      </c>
    </row>
    <row r="241" spans="1:30" x14ac:dyDescent="0.2">
      <c r="A241">
        <v>243</v>
      </c>
      <c r="B241">
        <v>1</v>
      </c>
      <c r="C241" t="s">
        <v>1121</v>
      </c>
      <c r="D241" t="s">
        <v>1122</v>
      </c>
      <c r="E241" t="s">
        <v>1105</v>
      </c>
      <c r="F241" t="s">
        <v>1123</v>
      </c>
      <c r="G241" t="s">
        <v>1124</v>
      </c>
      <c r="H241" t="s">
        <v>67</v>
      </c>
      <c r="I241" t="s">
        <v>67</v>
      </c>
      <c r="J241" t="s">
        <v>26</v>
      </c>
      <c r="K241" t="s">
        <v>43</v>
      </c>
      <c r="L241" s="5">
        <v>0.86678827990788565</v>
      </c>
      <c r="M241" s="5">
        <v>0</v>
      </c>
      <c r="N241" s="5">
        <v>0.13321172009220481</v>
      </c>
      <c r="O241" s="5">
        <v>0</v>
      </c>
      <c r="P241" s="5">
        <v>0</v>
      </c>
      <c r="Q241" s="4">
        <f>ROUND((L241*100*1)+(N241*100*2)+(O241*100*3),2)</f>
        <v>113.32</v>
      </c>
      <c r="R241" s="5">
        <v>0.78512929570574064</v>
      </c>
      <c r="S241" s="5">
        <v>0</v>
      </c>
      <c r="T241" s="5">
        <v>0.1000026089169586</v>
      </c>
      <c r="U241" s="5">
        <v>8.150116877991536E-3</v>
      </c>
      <c r="V241" s="5">
        <v>0.10671797849930929</v>
      </c>
      <c r="W241" s="4">
        <f>ROUND((R241*100*1)+(T241*100*2)+(U241*100*3),2)</f>
        <v>100.96</v>
      </c>
      <c r="X241" s="5">
        <v>0.8261054212592589</v>
      </c>
      <c r="Y241" s="5">
        <v>3.9777462611566804E-3</v>
      </c>
      <c r="Z241" s="5">
        <v>7.1782440922139618E-2</v>
      </c>
      <c r="AA241" s="5">
        <v>5.8960701947450896E-3</v>
      </c>
      <c r="AB241" s="5">
        <v>9.2238321362699716E-2</v>
      </c>
      <c r="AC241" s="4">
        <f>ROUND((X241*100*1)+(Z241*100*2)+(AA241*100*3),2)</f>
        <v>98.74</v>
      </c>
      <c r="AD241">
        <f>ROUND(AVERAGE(Q241,W241,AC241),2)</f>
        <v>104.34</v>
      </c>
    </row>
    <row r="242" spans="1:30" x14ac:dyDescent="0.2">
      <c r="A242">
        <v>244</v>
      </c>
      <c r="B242">
        <v>1</v>
      </c>
      <c r="C242" t="s">
        <v>1125</v>
      </c>
      <c r="D242" t="s">
        <v>1126</v>
      </c>
      <c r="E242" t="s">
        <v>1105</v>
      </c>
      <c r="F242" t="s">
        <v>1127</v>
      </c>
      <c r="G242" t="s">
        <v>1128</v>
      </c>
      <c r="H242" t="s">
        <v>25</v>
      </c>
      <c r="I242" t="s">
        <v>25</v>
      </c>
      <c r="J242" t="s">
        <v>26</v>
      </c>
      <c r="K242" t="s">
        <v>43</v>
      </c>
      <c r="L242" s="5">
        <v>0.84163404050857749</v>
      </c>
      <c r="M242" s="5">
        <v>0</v>
      </c>
      <c r="N242" s="5">
        <v>0.1561563210245866</v>
      </c>
      <c r="O242" s="5">
        <v>2.20963846683988E-3</v>
      </c>
      <c r="P242" s="5">
        <v>0</v>
      </c>
      <c r="Q242" s="4">
        <f>ROUND((L242*100*1)+(N242*100*2)+(O242*100*3),2)</f>
        <v>116.06</v>
      </c>
      <c r="R242" s="5">
        <v>0.87291746875812815</v>
      </c>
      <c r="S242" s="5">
        <v>0</v>
      </c>
      <c r="T242" s="5">
        <v>0.10121940295560231</v>
      </c>
      <c r="U242" s="5">
        <v>3.326226037441466E-3</v>
      </c>
      <c r="V242" s="5">
        <v>2.2536902248828091E-2</v>
      </c>
      <c r="W242" s="4">
        <f>ROUND((R242*100*1)+(T242*100*2)+(U242*100*3),2)</f>
        <v>108.53</v>
      </c>
      <c r="X242" s="5">
        <v>0.9002888705114277</v>
      </c>
      <c r="Y242" s="5">
        <v>3.7898301348665859E-3</v>
      </c>
      <c r="Z242" s="5">
        <v>8.0074400850781866E-2</v>
      </c>
      <c r="AA242" s="5">
        <v>2.840555962977527E-3</v>
      </c>
      <c r="AB242" s="5">
        <v>1.3006342539946369E-2</v>
      </c>
      <c r="AC242" s="4">
        <f>ROUND((X242*100*1)+(Z242*100*2)+(AA242*100*3),2)</f>
        <v>106.9</v>
      </c>
      <c r="AD242">
        <f>ROUND(AVERAGE(Q242,W242,AC242),2)</f>
        <v>110.5</v>
      </c>
    </row>
    <row r="243" spans="1:30" x14ac:dyDescent="0.2">
      <c r="A243">
        <v>245</v>
      </c>
      <c r="B243">
        <v>1</v>
      </c>
      <c r="C243" t="s">
        <v>1129</v>
      </c>
      <c r="D243" t="s">
        <v>1130</v>
      </c>
      <c r="E243" t="s">
        <v>1131</v>
      </c>
      <c r="F243" t="s">
        <v>1132</v>
      </c>
      <c r="G243" t="s">
        <v>1132</v>
      </c>
      <c r="H243" t="s">
        <v>25</v>
      </c>
      <c r="I243" t="s">
        <v>25</v>
      </c>
      <c r="J243" t="s">
        <v>26</v>
      </c>
      <c r="K243" t="s">
        <v>43</v>
      </c>
      <c r="L243" s="5">
        <v>1</v>
      </c>
      <c r="M243" s="5">
        <v>0</v>
      </c>
      <c r="N243" s="5">
        <v>0</v>
      </c>
      <c r="O243" s="5">
        <v>0</v>
      </c>
      <c r="P243" s="5">
        <v>0</v>
      </c>
      <c r="Q243" s="4">
        <f>ROUND((L243*100*1)+(N243*100*2)+(O243*100*3),2)</f>
        <v>100</v>
      </c>
      <c r="R243" s="5">
        <v>0.89743750101065412</v>
      </c>
      <c r="S243" s="5">
        <v>0</v>
      </c>
      <c r="T243" s="5">
        <v>1.647712363741512E-2</v>
      </c>
      <c r="U243" s="5">
        <v>2.85346372899014E-2</v>
      </c>
      <c r="V243" s="5">
        <v>5.7550738062029372E-2</v>
      </c>
      <c r="W243" s="4">
        <f>ROUND((R243*100*1)+(T243*100*2)+(U243*100*3),2)</f>
        <v>101.6</v>
      </c>
      <c r="X243" s="5">
        <v>0.6854080575685193</v>
      </c>
      <c r="Y243" s="5">
        <v>0</v>
      </c>
      <c r="Z243" s="5">
        <v>9.8808676432304982E-2</v>
      </c>
      <c r="AA243" s="5">
        <v>8.5107569167433519E-2</v>
      </c>
      <c r="AB243" s="5">
        <v>0.13067569683174221</v>
      </c>
      <c r="AC243" s="4">
        <f>ROUND((X243*100*1)+(Z243*100*2)+(AA243*100*3),2)</f>
        <v>113.83</v>
      </c>
      <c r="AD243">
        <f>ROUND(AVERAGE(Q243,W243,AC243),2)</f>
        <v>105.14</v>
      </c>
    </row>
    <row r="244" spans="1:30" x14ac:dyDescent="0.2">
      <c r="A244">
        <v>246</v>
      </c>
      <c r="B244">
        <v>1</v>
      </c>
      <c r="C244" t="s">
        <v>1133</v>
      </c>
      <c r="D244" t="s">
        <v>1134</v>
      </c>
      <c r="E244" t="s">
        <v>1131</v>
      </c>
      <c r="F244" t="s">
        <v>1135</v>
      </c>
      <c r="G244" t="s">
        <v>1135</v>
      </c>
      <c r="H244" t="s">
        <v>25</v>
      </c>
      <c r="I244" t="s">
        <v>25</v>
      </c>
      <c r="J244" t="s">
        <v>92</v>
      </c>
      <c r="K244" t="s">
        <v>43</v>
      </c>
      <c r="L244" s="5">
        <v>0</v>
      </c>
      <c r="M244" s="5">
        <v>0</v>
      </c>
      <c r="N244" s="5">
        <v>6.0751606061119998E-2</v>
      </c>
      <c r="O244" s="5">
        <v>4.8929018599902551E-3</v>
      </c>
      <c r="P244" s="5">
        <v>0.93435549207888979</v>
      </c>
      <c r="Q244" s="4">
        <f>ROUND((L244*100*1)+(N244*100*2)+(O244*100*3),2)</f>
        <v>13.62</v>
      </c>
      <c r="R244" s="5">
        <v>0.18502869929629659</v>
      </c>
      <c r="S244" s="5">
        <v>0</v>
      </c>
      <c r="T244" s="5">
        <v>0.12693627610022001</v>
      </c>
      <c r="U244" s="5">
        <v>5.6932177532422183E-2</v>
      </c>
      <c r="V244" s="5">
        <v>0.63110284707106112</v>
      </c>
      <c r="W244" s="4">
        <f>ROUND((R244*100*1)+(T244*100*2)+(U244*100*3),2)</f>
        <v>60.97</v>
      </c>
      <c r="X244" s="5">
        <v>0.2264655732902737</v>
      </c>
      <c r="Y244" s="5">
        <v>0</v>
      </c>
      <c r="Z244" s="5">
        <v>0.15311714105201141</v>
      </c>
      <c r="AA244" s="5">
        <v>0.16856639097753709</v>
      </c>
      <c r="AB244" s="5">
        <v>0.45185089468017781</v>
      </c>
      <c r="AC244" s="4">
        <f>ROUND((X244*100*1)+(Z244*100*2)+(AA244*100*3),2)</f>
        <v>103.84</v>
      </c>
      <c r="AD244">
        <f>ROUND(AVERAGE(Q244,W244,AC244),2)</f>
        <v>59.48</v>
      </c>
    </row>
    <row r="245" spans="1:30" x14ac:dyDescent="0.2">
      <c r="A245">
        <v>247</v>
      </c>
      <c r="B245">
        <v>1</v>
      </c>
      <c r="C245" t="s">
        <v>1136</v>
      </c>
      <c r="D245" t="s">
        <v>1137</v>
      </c>
      <c r="E245" t="s">
        <v>1131</v>
      </c>
      <c r="F245" t="s">
        <v>1138</v>
      </c>
      <c r="G245" t="s">
        <v>1138</v>
      </c>
      <c r="H245" t="s">
        <v>25</v>
      </c>
      <c r="I245" t="s">
        <v>25</v>
      </c>
      <c r="J245" t="s">
        <v>26</v>
      </c>
      <c r="K245" t="s">
        <v>43</v>
      </c>
      <c r="L245" s="5">
        <v>0.66713404515804675</v>
      </c>
      <c r="M245" s="5">
        <v>0</v>
      </c>
      <c r="N245" s="5">
        <v>0.1304604614914418</v>
      </c>
      <c r="O245" s="5">
        <v>0.12966640995093459</v>
      </c>
      <c r="P245" s="5">
        <v>7.2739083399576909E-2</v>
      </c>
      <c r="Q245" s="4">
        <f>ROUND((L245*100*1)+(N245*100*2)+(O245*100*3),2)</f>
        <v>131.71</v>
      </c>
      <c r="R245" s="5">
        <v>0.37008985155424989</v>
      </c>
      <c r="S245" s="5">
        <v>0</v>
      </c>
      <c r="T245" s="5">
        <v>0.1846536789824966</v>
      </c>
      <c r="U245" s="5">
        <v>0.35241604193962478</v>
      </c>
      <c r="V245" s="5">
        <v>9.2840427523628533E-2</v>
      </c>
      <c r="W245" s="4">
        <f>ROUND((R245*100*1)+(T245*100*2)+(U245*100*3),2)</f>
        <v>179.66</v>
      </c>
      <c r="X245" s="5">
        <v>0.44191072870191972</v>
      </c>
      <c r="Y245" s="5">
        <v>0</v>
      </c>
      <c r="Z245" s="5">
        <v>0.14930695108394421</v>
      </c>
      <c r="AA245" s="5">
        <v>0.33266767603935471</v>
      </c>
      <c r="AB245" s="5">
        <v>7.6114644174781532E-2</v>
      </c>
      <c r="AC245" s="4">
        <f>ROUND((X245*100*1)+(Z245*100*2)+(AA245*100*3),2)</f>
        <v>173.85</v>
      </c>
      <c r="AD245">
        <f>ROUND(AVERAGE(Q245,W245,AC245),2)</f>
        <v>161.74</v>
      </c>
    </row>
    <row r="246" spans="1:30" x14ac:dyDescent="0.2">
      <c r="A246">
        <v>248</v>
      </c>
      <c r="B246">
        <v>1</v>
      </c>
      <c r="C246" t="s">
        <v>1139</v>
      </c>
      <c r="D246" t="s">
        <v>1140</v>
      </c>
      <c r="E246" t="s">
        <v>1141</v>
      </c>
      <c r="F246" t="s">
        <v>1142</v>
      </c>
      <c r="G246" t="s">
        <v>1143</v>
      </c>
      <c r="H246" t="s">
        <v>25</v>
      </c>
      <c r="I246" t="s">
        <v>25</v>
      </c>
      <c r="J246" t="s">
        <v>26</v>
      </c>
      <c r="K246" t="s">
        <v>1108</v>
      </c>
      <c r="L246" s="5">
        <v>0.91230418059531349</v>
      </c>
      <c r="M246" s="5">
        <v>0</v>
      </c>
      <c r="N246" s="5">
        <v>8.7695819404747424E-2</v>
      </c>
      <c r="O246" s="5">
        <v>0</v>
      </c>
      <c r="P246" s="5">
        <v>0</v>
      </c>
      <c r="Q246" s="4">
        <f>ROUND((L246*100*1)+(N246*100*2)+(O246*100*3),2)</f>
        <v>108.77</v>
      </c>
      <c r="R246" s="5">
        <v>0.93762377791549389</v>
      </c>
      <c r="S246" s="5">
        <v>0</v>
      </c>
      <c r="T246" s="5">
        <v>6.2376222084552103E-2</v>
      </c>
      <c r="U246" s="5">
        <v>0</v>
      </c>
      <c r="V246" s="5">
        <v>0</v>
      </c>
      <c r="W246" s="4">
        <f>ROUND((R246*100*1)+(T246*100*2)+(U246*100*3),2)</f>
        <v>106.24</v>
      </c>
      <c r="X246" s="5">
        <v>0.94002388589633179</v>
      </c>
      <c r="Y246" s="5">
        <v>0</v>
      </c>
      <c r="Z246" s="5">
        <v>5.9976114103691032E-2</v>
      </c>
      <c r="AA246" s="5">
        <v>0</v>
      </c>
      <c r="AB246" s="5">
        <v>0</v>
      </c>
      <c r="AC246" s="4">
        <f>ROUND((X246*100*1)+(Z246*100*2)+(AA246*100*3),2)</f>
        <v>106</v>
      </c>
      <c r="AD246">
        <f>ROUND(AVERAGE(Q246,W246,AC246),2)</f>
        <v>107</v>
      </c>
    </row>
    <row r="247" spans="1:30" x14ac:dyDescent="0.2">
      <c r="A247">
        <v>249</v>
      </c>
      <c r="B247">
        <v>1</v>
      </c>
      <c r="C247" t="s">
        <v>1144</v>
      </c>
      <c r="D247" t="s">
        <v>1145</v>
      </c>
      <c r="E247" t="s">
        <v>1141</v>
      </c>
      <c r="F247" t="s">
        <v>1146</v>
      </c>
      <c r="G247" t="s">
        <v>1147</v>
      </c>
      <c r="H247" t="s">
        <v>25</v>
      </c>
      <c r="I247" t="s">
        <v>25</v>
      </c>
      <c r="J247" t="s">
        <v>34</v>
      </c>
      <c r="K247" t="s">
        <v>1108</v>
      </c>
      <c r="L247" s="5">
        <v>0.81893826401847092</v>
      </c>
      <c r="M247" s="5">
        <v>0</v>
      </c>
      <c r="N247" s="5">
        <v>0</v>
      </c>
      <c r="O247" s="5">
        <v>0</v>
      </c>
      <c r="P247" s="5">
        <v>0.18106173598152911</v>
      </c>
      <c r="Q247" s="4">
        <f>ROUND((L247*100*1)+(N247*100*2)+(O247*100*3),2)</f>
        <v>81.89</v>
      </c>
      <c r="R247" s="5">
        <v>0.78486911454318065</v>
      </c>
      <c r="S247" s="5">
        <v>0</v>
      </c>
      <c r="T247" s="5">
        <v>5.8649098265696448E-2</v>
      </c>
      <c r="U247" s="5">
        <v>0</v>
      </c>
      <c r="V247" s="5">
        <v>0.15648178719112291</v>
      </c>
      <c r="W247" s="4">
        <f>ROUND((R247*100*1)+(T247*100*2)+(U247*100*3),2)</f>
        <v>90.22</v>
      </c>
      <c r="X247" s="5">
        <v>0.7368326599230991</v>
      </c>
      <c r="Y247" s="5">
        <v>0</v>
      </c>
      <c r="Z247" s="5">
        <v>4.2653609344160709E-2</v>
      </c>
      <c r="AA247" s="5">
        <v>0</v>
      </c>
      <c r="AB247" s="5">
        <v>0.22051373073274019</v>
      </c>
      <c r="AC247" s="4">
        <f>ROUND((X247*100*1)+(Z247*100*2)+(AA247*100*3),2)</f>
        <v>82.21</v>
      </c>
      <c r="AD247">
        <f>ROUND(AVERAGE(Q247,W247,AC247),2)</f>
        <v>84.77</v>
      </c>
    </row>
    <row r="248" spans="1:30" x14ac:dyDescent="0.2">
      <c r="A248">
        <v>250</v>
      </c>
      <c r="B248">
        <v>1</v>
      </c>
      <c r="C248" t="s">
        <v>1148</v>
      </c>
      <c r="D248" t="s">
        <v>1149</v>
      </c>
      <c r="E248" t="s">
        <v>1141</v>
      </c>
      <c r="F248" t="s">
        <v>1150</v>
      </c>
      <c r="G248" t="s">
        <v>1151</v>
      </c>
      <c r="H248" t="s">
        <v>25</v>
      </c>
      <c r="I248" t="s">
        <v>25</v>
      </c>
      <c r="J248" t="s">
        <v>34</v>
      </c>
      <c r="K248" t="s">
        <v>1108</v>
      </c>
      <c r="L248" s="5">
        <v>0.94673126947227604</v>
      </c>
      <c r="M248" s="5">
        <v>0</v>
      </c>
      <c r="N248" s="5">
        <v>5.3268730527791817E-2</v>
      </c>
      <c r="O248" s="5">
        <v>0</v>
      </c>
      <c r="P248" s="5">
        <v>0</v>
      </c>
      <c r="Q248" s="4">
        <f>ROUND((L248*100*1)+(N248*100*2)+(O248*100*3),2)</f>
        <v>105.33</v>
      </c>
      <c r="R248" s="5">
        <v>0.94900600300450777</v>
      </c>
      <c r="S248" s="5">
        <v>0</v>
      </c>
      <c r="T248" s="5">
        <v>5.099399699549223E-2</v>
      </c>
      <c r="U248" s="5">
        <v>0</v>
      </c>
      <c r="V248" s="5">
        <v>0</v>
      </c>
      <c r="W248" s="4">
        <f>ROUND((R248*100*1)+(T248*100*2)+(U248*100*3),2)</f>
        <v>105.1</v>
      </c>
      <c r="X248" s="5">
        <v>0.96299643360760112</v>
      </c>
      <c r="Y248" s="5">
        <v>0</v>
      </c>
      <c r="Z248" s="5">
        <v>3.7003566392386528E-2</v>
      </c>
      <c r="AA248" s="5">
        <v>0</v>
      </c>
      <c r="AB248" s="5">
        <v>1.2323475573339241E-14</v>
      </c>
      <c r="AC248" s="4">
        <f>ROUND((X248*100*1)+(Z248*100*2)+(AA248*100*3),2)</f>
        <v>103.7</v>
      </c>
      <c r="AD248">
        <f>ROUND(AVERAGE(Q248,W248,AC248),2)</f>
        <v>104.71</v>
      </c>
    </row>
    <row r="249" spans="1:30" x14ac:dyDescent="0.2">
      <c r="A249">
        <v>251</v>
      </c>
      <c r="B249">
        <v>1</v>
      </c>
      <c r="C249" t="s">
        <v>1152</v>
      </c>
      <c r="D249" t="s">
        <v>1153</v>
      </c>
      <c r="E249" t="s">
        <v>1141</v>
      </c>
      <c r="F249" t="s">
        <v>1154</v>
      </c>
      <c r="G249" t="s">
        <v>1155</v>
      </c>
      <c r="H249" t="s">
        <v>25</v>
      </c>
      <c r="I249" t="s">
        <v>25</v>
      </c>
      <c r="J249" t="s">
        <v>26</v>
      </c>
      <c r="K249" t="s">
        <v>43</v>
      </c>
      <c r="L249" s="5">
        <v>0.90161431404526915</v>
      </c>
      <c r="M249" s="5">
        <v>0</v>
      </c>
      <c r="N249" s="5">
        <v>9.8385685954770305E-2</v>
      </c>
      <c r="O249" s="5">
        <v>0</v>
      </c>
      <c r="P249" s="5">
        <v>0</v>
      </c>
      <c r="Q249" s="4">
        <f>ROUND((L249*100*1)+(N249*100*2)+(O249*100*3),2)</f>
        <v>109.84</v>
      </c>
      <c r="R249" s="5">
        <v>0.95600389356705495</v>
      </c>
      <c r="S249" s="5">
        <v>0</v>
      </c>
      <c r="T249" s="5">
        <v>4.399610643297569E-2</v>
      </c>
      <c r="U249" s="5">
        <v>0</v>
      </c>
      <c r="V249" s="5">
        <v>0</v>
      </c>
      <c r="W249" s="4">
        <f>ROUND((R249*100*1)+(T249*100*2)+(U249*100*3),2)</f>
        <v>104.4</v>
      </c>
      <c r="X249" s="5">
        <v>0.96047117294578932</v>
      </c>
      <c r="Y249" s="5">
        <v>0</v>
      </c>
      <c r="Z249" s="5">
        <v>3.9528827054213587E-2</v>
      </c>
      <c r="AA249" s="5">
        <v>0</v>
      </c>
      <c r="AB249" s="5">
        <v>0</v>
      </c>
      <c r="AC249" s="4">
        <f>ROUND((X249*100*1)+(Z249*100*2)+(AA249*100*3),2)</f>
        <v>103.95</v>
      </c>
      <c r="AD249">
        <f>ROUND(AVERAGE(Q249,W249,AC249),2)</f>
        <v>106.06</v>
      </c>
    </row>
    <row r="250" spans="1:30" x14ac:dyDescent="0.2">
      <c r="A250">
        <v>252</v>
      </c>
      <c r="B250">
        <v>1</v>
      </c>
      <c r="C250" t="s">
        <v>1156</v>
      </c>
      <c r="D250" t="s">
        <v>1157</v>
      </c>
      <c r="E250" t="s">
        <v>1141</v>
      </c>
      <c r="F250" t="s">
        <v>1158</v>
      </c>
      <c r="G250" t="s">
        <v>1159</v>
      </c>
      <c r="H250" t="s">
        <v>25</v>
      </c>
      <c r="I250" t="s">
        <v>25</v>
      </c>
      <c r="J250" t="s">
        <v>26</v>
      </c>
      <c r="K250" t="s">
        <v>1108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4">
        <f>ROUND((L250*100*1)+(N250*100*2)+(O250*100*3),2)</f>
        <v>100</v>
      </c>
      <c r="R250" s="5">
        <v>0.99999999999999989</v>
      </c>
      <c r="S250" s="5">
        <v>0</v>
      </c>
      <c r="T250" s="5">
        <v>0</v>
      </c>
      <c r="U250" s="5">
        <v>0</v>
      </c>
      <c r="V250" s="5">
        <v>1.110223024625157E-16</v>
      </c>
      <c r="W250" s="4">
        <f>ROUND((R250*100*1)+(T250*100*2)+(U250*100*3),2)</f>
        <v>100</v>
      </c>
      <c r="X250" s="5">
        <v>1</v>
      </c>
      <c r="Y250" s="5">
        <v>0</v>
      </c>
      <c r="Z250" s="5">
        <v>0</v>
      </c>
      <c r="AA250" s="5">
        <v>0</v>
      </c>
      <c r="AB250" s="5">
        <v>0</v>
      </c>
      <c r="AC250" s="4">
        <f>ROUND((X250*100*1)+(Z250*100*2)+(AA250*100*3),2)</f>
        <v>100</v>
      </c>
      <c r="AD250">
        <f>ROUND(AVERAGE(Q250,W250,AC250),2)</f>
        <v>100</v>
      </c>
    </row>
    <row r="251" spans="1:30" x14ac:dyDescent="0.2">
      <c r="A251">
        <v>253</v>
      </c>
      <c r="B251">
        <v>1</v>
      </c>
      <c r="C251" t="s">
        <v>1160</v>
      </c>
      <c r="D251" t="s">
        <v>1161</v>
      </c>
      <c r="E251" t="s">
        <v>1162</v>
      </c>
      <c r="F251" t="s">
        <v>1163</v>
      </c>
      <c r="G251" t="s">
        <v>1164</v>
      </c>
      <c r="H251" t="s">
        <v>25</v>
      </c>
      <c r="I251" t="s">
        <v>25</v>
      </c>
      <c r="J251" t="s">
        <v>34</v>
      </c>
      <c r="K251" t="s">
        <v>35</v>
      </c>
      <c r="L251" s="5">
        <v>0.93980339994160611</v>
      </c>
      <c r="M251" s="5">
        <v>0</v>
      </c>
      <c r="N251" s="5">
        <v>6.0196600058386791E-2</v>
      </c>
      <c r="O251" s="5">
        <v>0</v>
      </c>
      <c r="P251" s="5">
        <v>7.1054273576010019E-15</v>
      </c>
      <c r="Q251" s="4">
        <f>ROUND((L251*100*1)+(N251*100*2)+(O251*100*3),2)</f>
        <v>106.02</v>
      </c>
      <c r="R251" s="5">
        <v>0.94942195127645168</v>
      </c>
      <c r="S251" s="5">
        <v>0</v>
      </c>
      <c r="T251" s="5">
        <v>5.057804872356108E-2</v>
      </c>
      <c r="U251" s="5">
        <v>0</v>
      </c>
      <c r="V251" s="5">
        <v>0</v>
      </c>
      <c r="W251" s="4">
        <f>ROUND((R251*100*1)+(T251*100*2)+(U251*100*3),2)</f>
        <v>105.06</v>
      </c>
      <c r="X251" s="5">
        <v>0.93324729262366524</v>
      </c>
      <c r="Y251" s="5">
        <v>0</v>
      </c>
      <c r="Z251" s="5">
        <v>6.6612446983734863E-2</v>
      </c>
      <c r="AA251" s="5">
        <v>1.4026039257244229E-4</v>
      </c>
      <c r="AB251" s="5">
        <v>2.7533531010703879E-14</v>
      </c>
      <c r="AC251" s="4">
        <f>ROUND((X251*100*1)+(Z251*100*2)+(AA251*100*3),2)</f>
        <v>106.69</v>
      </c>
      <c r="AD251">
        <f>ROUND(AVERAGE(Q251,W251,AC251),2)</f>
        <v>105.92</v>
      </c>
    </row>
    <row r="252" spans="1:30" x14ac:dyDescent="0.2">
      <c r="A252">
        <v>254</v>
      </c>
      <c r="B252">
        <v>1</v>
      </c>
      <c r="C252" t="s">
        <v>1165</v>
      </c>
      <c r="D252" t="s">
        <v>1166</v>
      </c>
      <c r="E252" t="s">
        <v>1162</v>
      </c>
      <c r="F252" t="s">
        <v>1167</v>
      </c>
      <c r="G252" t="s">
        <v>1168</v>
      </c>
      <c r="H252" t="s">
        <v>25</v>
      </c>
      <c r="I252" t="s">
        <v>25</v>
      </c>
      <c r="J252" t="s">
        <v>26</v>
      </c>
      <c r="K252" t="s">
        <v>35</v>
      </c>
      <c r="L252" s="5">
        <v>0.94083941036261876</v>
      </c>
      <c r="M252" s="5">
        <v>0</v>
      </c>
      <c r="N252" s="5">
        <v>5.9160589637432003E-2</v>
      </c>
      <c r="O252" s="5">
        <v>0</v>
      </c>
      <c r="P252" s="5">
        <v>0</v>
      </c>
      <c r="Q252" s="4">
        <f>ROUND((L252*100*1)+(N252*100*2)+(O252*100*3),2)</f>
        <v>105.92</v>
      </c>
      <c r="R252" s="5">
        <v>0.9628588681021204</v>
      </c>
      <c r="S252" s="5">
        <v>0</v>
      </c>
      <c r="T252" s="5">
        <v>3.7141131897879473E-2</v>
      </c>
      <c r="U252" s="5">
        <v>0</v>
      </c>
      <c r="V252" s="5">
        <v>1.110223024625157E-16</v>
      </c>
      <c r="W252" s="4">
        <f>ROUND((R252*100*1)+(T252*100*2)+(U252*100*3),2)</f>
        <v>103.71</v>
      </c>
      <c r="X252" s="5">
        <v>0.9448745243048654</v>
      </c>
      <c r="Y252" s="5">
        <v>0</v>
      </c>
      <c r="Z252" s="5">
        <v>5.512547569513377E-2</v>
      </c>
      <c r="AA252" s="5">
        <v>0</v>
      </c>
      <c r="AB252" s="5">
        <v>7.7715611723760958E-16</v>
      </c>
      <c r="AC252" s="4">
        <f>ROUND((X252*100*1)+(Z252*100*2)+(AA252*100*3),2)</f>
        <v>105.51</v>
      </c>
      <c r="AD252">
        <f>ROUND(AVERAGE(Q252,W252,AC252),2)</f>
        <v>105.05</v>
      </c>
    </row>
    <row r="253" spans="1:30" x14ac:dyDescent="0.2">
      <c r="A253">
        <v>255</v>
      </c>
      <c r="B253">
        <v>1</v>
      </c>
      <c r="C253" t="s">
        <v>1169</v>
      </c>
      <c r="D253" t="s">
        <v>1170</v>
      </c>
      <c r="E253" t="s">
        <v>1162</v>
      </c>
      <c r="F253" t="s">
        <v>1171</v>
      </c>
      <c r="G253" t="s">
        <v>1172</v>
      </c>
      <c r="H253" t="s">
        <v>25</v>
      </c>
      <c r="I253" t="s">
        <v>25</v>
      </c>
      <c r="J253" t="s">
        <v>34</v>
      </c>
      <c r="K253" t="s">
        <v>35</v>
      </c>
      <c r="L253" s="5">
        <v>0.97081253602777373</v>
      </c>
      <c r="M253" s="5">
        <v>0</v>
      </c>
      <c r="N253" s="5">
        <v>2.9187463972226539E-2</v>
      </c>
      <c r="O253" s="5">
        <v>0</v>
      </c>
      <c r="P253" s="5">
        <v>0</v>
      </c>
      <c r="Q253" s="4">
        <f>ROUND((L253*100*1)+(N253*100*2)+(O253*100*3),2)</f>
        <v>102.92</v>
      </c>
      <c r="R253" s="5">
        <v>0.91322148031728978</v>
      </c>
      <c r="S253" s="5">
        <v>0</v>
      </c>
      <c r="T253" s="5">
        <v>8.6778519682731009E-2</v>
      </c>
      <c r="U253" s="5">
        <v>0</v>
      </c>
      <c r="V253" s="5">
        <v>0</v>
      </c>
      <c r="W253" s="4">
        <f>ROUND((R253*100*1)+(T253*100*2)+(U253*100*3),2)</f>
        <v>108.68</v>
      </c>
      <c r="X253" s="5">
        <v>0.93326520277590441</v>
      </c>
      <c r="Y253" s="5">
        <v>0</v>
      </c>
      <c r="Z253" s="5">
        <v>6.6734797224112255E-2</v>
      </c>
      <c r="AA253" s="5">
        <v>0</v>
      </c>
      <c r="AB253" s="5">
        <v>0</v>
      </c>
      <c r="AC253" s="4">
        <f>ROUND((X253*100*1)+(Z253*100*2)+(AA253*100*3),2)</f>
        <v>106.67</v>
      </c>
      <c r="AD253">
        <f>ROUND(AVERAGE(Q253,W253,AC253),2)</f>
        <v>106.09</v>
      </c>
    </row>
    <row r="254" spans="1:30" x14ac:dyDescent="0.2">
      <c r="A254">
        <v>256</v>
      </c>
      <c r="B254">
        <v>1</v>
      </c>
      <c r="C254" t="s">
        <v>1173</v>
      </c>
      <c r="D254" t="s">
        <v>1174</v>
      </c>
      <c r="E254" t="s">
        <v>1162</v>
      </c>
      <c r="F254" t="s">
        <v>1175</v>
      </c>
      <c r="G254" t="s">
        <v>1176</v>
      </c>
      <c r="H254" t="s">
        <v>25</v>
      </c>
      <c r="I254" t="s">
        <v>25</v>
      </c>
      <c r="J254" t="s">
        <v>26</v>
      </c>
      <c r="K254" t="s">
        <v>35</v>
      </c>
      <c r="L254" s="5">
        <v>0</v>
      </c>
      <c r="M254" s="5">
        <v>0</v>
      </c>
      <c r="N254" s="5">
        <v>9.6996644466381843E-2</v>
      </c>
      <c r="O254" s="5">
        <v>0.90300335553332423</v>
      </c>
      <c r="P254" s="5">
        <v>2.939870569207415E-13</v>
      </c>
      <c r="Q254" s="4">
        <f>ROUND((L254*100*1)+(N254*100*2)+(O254*100*3),2)</f>
        <v>290.3</v>
      </c>
      <c r="R254" s="5">
        <v>6.2212917548471892E-2</v>
      </c>
      <c r="S254" s="5">
        <v>0</v>
      </c>
      <c r="T254" s="5">
        <v>0.1750464709741015</v>
      </c>
      <c r="U254" s="5">
        <v>0.76274061147745165</v>
      </c>
      <c r="V254" s="5">
        <v>0</v>
      </c>
      <c r="W254" s="4">
        <f>ROUND((R254*100*1)+(T254*100*2)+(U254*100*3),2)</f>
        <v>270.05</v>
      </c>
      <c r="X254" s="5">
        <v>0.10817847592124701</v>
      </c>
      <c r="Y254" s="5">
        <v>0</v>
      </c>
      <c r="Z254" s="5">
        <v>0.1752203270948206</v>
      </c>
      <c r="AA254" s="5">
        <v>0.68341997396011722</v>
      </c>
      <c r="AB254" s="5">
        <v>3.3181223023815098E-2</v>
      </c>
      <c r="AC254" s="4">
        <f>ROUND((X254*100*1)+(Z254*100*2)+(AA254*100*3),2)</f>
        <v>250.89</v>
      </c>
      <c r="AD254">
        <f>ROUND(AVERAGE(Q254,W254,AC254),2)</f>
        <v>270.41000000000003</v>
      </c>
    </row>
    <row r="255" spans="1:30" x14ac:dyDescent="0.2">
      <c r="A255">
        <v>257</v>
      </c>
      <c r="B255">
        <v>1</v>
      </c>
      <c r="C255" t="s">
        <v>1177</v>
      </c>
      <c r="D255" t="s">
        <v>1178</v>
      </c>
      <c r="E255" t="s">
        <v>1179</v>
      </c>
      <c r="F255" t="s">
        <v>1180</v>
      </c>
      <c r="G255" t="s">
        <v>1180</v>
      </c>
      <c r="H255" t="s">
        <v>25</v>
      </c>
      <c r="I255" t="s">
        <v>25</v>
      </c>
      <c r="J255" t="s">
        <v>26</v>
      </c>
      <c r="K255" t="s">
        <v>43</v>
      </c>
      <c r="L255" s="5">
        <v>1.0992254716111869E-2</v>
      </c>
      <c r="M255" s="5">
        <v>0</v>
      </c>
      <c r="N255" s="5">
        <v>0.10438121730288021</v>
      </c>
      <c r="O255" s="5">
        <v>0</v>
      </c>
      <c r="P255" s="5">
        <v>0.88462652798100794</v>
      </c>
      <c r="Q255" s="4">
        <f>ROUND((L255*100*1)+(N255*100*2)+(O255*100*3),2)</f>
        <v>21.98</v>
      </c>
      <c r="R255" s="5">
        <v>0.15581739089970911</v>
      </c>
      <c r="S255" s="5">
        <v>0</v>
      </c>
      <c r="T255" s="5">
        <v>9.8055223286578133E-2</v>
      </c>
      <c r="U255" s="5">
        <v>8.878937636908811E-2</v>
      </c>
      <c r="V255" s="5">
        <v>0.65733800944462462</v>
      </c>
      <c r="W255" s="4">
        <f>ROUND((R255*100*1)+(T255*100*2)+(U255*100*3),2)</f>
        <v>61.83</v>
      </c>
      <c r="X255" s="5">
        <v>0.30044967224489572</v>
      </c>
      <c r="Y255" s="5">
        <v>0</v>
      </c>
      <c r="Z255" s="5">
        <v>9.3728500410026394E-2</v>
      </c>
      <c r="AA255" s="5">
        <v>6.5702906489851012E-2</v>
      </c>
      <c r="AB255" s="5">
        <v>0.54011892085522695</v>
      </c>
      <c r="AC255" s="4">
        <f>ROUND((X255*100*1)+(Z255*100*2)+(AA255*100*3),2)</f>
        <v>68.5</v>
      </c>
      <c r="AD255">
        <f>ROUND(AVERAGE(Q255,W255,AC255),2)</f>
        <v>50.77</v>
      </c>
    </row>
    <row r="256" spans="1:30" x14ac:dyDescent="0.2">
      <c r="A256">
        <v>258</v>
      </c>
      <c r="B256">
        <v>2</v>
      </c>
      <c r="C256" t="s">
        <v>1181</v>
      </c>
      <c r="D256" t="s">
        <v>1182</v>
      </c>
      <c r="E256" t="s">
        <v>1183</v>
      </c>
      <c r="F256" t="s">
        <v>1184</v>
      </c>
      <c r="G256" t="s">
        <v>1185</v>
      </c>
      <c r="H256" t="s">
        <v>67</v>
      </c>
      <c r="I256" t="s">
        <v>67</v>
      </c>
      <c r="J256" t="s">
        <v>92</v>
      </c>
      <c r="K256" t="s">
        <v>35</v>
      </c>
      <c r="L256" s="5">
        <v>1.923217830136693E-2</v>
      </c>
      <c r="M256" s="5">
        <v>0</v>
      </c>
      <c r="N256" s="5">
        <v>6.5852999594374947E-2</v>
      </c>
      <c r="O256" s="5">
        <v>0</v>
      </c>
      <c r="P256" s="5">
        <v>0.91491482210425801</v>
      </c>
      <c r="Q256" s="4">
        <f>ROUND((L256*100*1)+(N256*100*2)+(O256*100*3),2)</f>
        <v>15.09</v>
      </c>
      <c r="R256" s="5">
        <v>0.20342615746049311</v>
      </c>
      <c r="S256" s="5">
        <v>0</v>
      </c>
      <c r="T256" s="5">
        <v>0.17952856558092731</v>
      </c>
      <c r="U256" s="5">
        <v>3.2912249331380171E-2</v>
      </c>
      <c r="V256" s="5">
        <v>0.58413302762719943</v>
      </c>
      <c r="W256" s="4">
        <f>ROUND((R256*100*1)+(T256*100*2)+(U256*100*3),2)</f>
        <v>66.12</v>
      </c>
      <c r="X256" s="5">
        <v>0.3023653957415251</v>
      </c>
      <c r="Y256" s="5">
        <v>0</v>
      </c>
      <c r="Z256" s="5">
        <v>0.14390192509549299</v>
      </c>
      <c r="AA256" s="5">
        <v>8.9409426551951221E-2</v>
      </c>
      <c r="AB256" s="5">
        <v>0.4643232526110308</v>
      </c>
      <c r="AC256" s="4">
        <f>ROUND((X256*100*1)+(Z256*100*2)+(AA256*100*3),2)</f>
        <v>85.84</v>
      </c>
      <c r="AD256">
        <f>ROUND(AVERAGE(Q256,W256,AC256),2)</f>
        <v>55.68</v>
      </c>
    </row>
    <row r="257" spans="1:30" x14ac:dyDescent="0.2">
      <c r="A257">
        <v>259</v>
      </c>
      <c r="B257">
        <v>1</v>
      </c>
      <c r="C257" t="s">
        <v>1186</v>
      </c>
      <c r="D257" t="s">
        <v>1187</v>
      </c>
      <c r="E257" t="s">
        <v>1179</v>
      </c>
      <c r="F257" t="s">
        <v>1188</v>
      </c>
      <c r="G257" t="s">
        <v>1189</v>
      </c>
      <c r="H257" t="s">
        <v>25</v>
      </c>
      <c r="I257" t="s">
        <v>25</v>
      </c>
      <c r="J257" t="s">
        <v>26</v>
      </c>
      <c r="K257" t="s">
        <v>43</v>
      </c>
      <c r="L257" s="5">
        <v>1</v>
      </c>
      <c r="M257" s="5">
        <v>0</v>
      </c>
      <c r="N257" s="5">
        <v>0</v>
      </c>
      <c r="O257" s="5">
        <v>0</v>
      </c>
      <c r="P257" s="5">
        <v>0</v>
      </c>
      <c r="Q257" s="4">
        <f>ROUND((L257*100*1)+(N257*100*2)+(O257*100*3),2)</f>
        <v>100</v>
      </c>
      <c r="R257" s="5">
        <v>0.91873082537029227</v>
      </c>
      <c r="S257" s="5">
        <v>0</v>
      </c>
      <c r="T257" s="5">
        <v>2.6300142962889982E-2</v>
      </c>
      <c r="U257" s="5">
        <v>0</v>
      </c>
      <c r="V257" s="5">
        <v>5.4969031666817762E-2</v>
      </c>
      <c r="W257" s="4">
        <f>ROUND((R257*100*1)+(T257*100*2)+(U257*100*3),2)</f>
        <v>97.13</v>
      </c>
      <c r="X257" s="5">
        <v>0.75281692434810732</v>
      </c>
      <c r="Y257" s="5">
        <v>0</v>
      </c>
      <c r="Z257" s="5">
        <v>3.2997346807142038E-2</v>
      </c>
      <c r="AA257" s="5">
        <v>0</v>
      </c>
      <c r="AB257" s="5">
        <v>0.21418572884475059</v>
      </c>
      <c r="AC257" s="4">
        <f>ROUND((X257*100*1)+(Z257*100*2)+(AA257*100*3),2)</f>
        <v>81.88</v>
      </c>
      <c r="AD257">
        <f>ROUND(AVERAGE(Q257,W257,AC257),2)</f>
        <v>93</v>
      </c>
    </row>
    <row r="258" spans="1:30" x14ac:dyDescent="0.2">
      <c r="A258">
        <v>260</v>
      </c>
      <c r="B258">
        <v>1</v>
      </c>
      <c r="C258" t="s">
        <v>1190</v>
      </c>
      <c r="D258" t="s">
        <v>1191</v>
      </c>
      <c r="E258" t="s">
        <v>1179</v>
      </c>
      <c r="F258" t="s">
        <v>1192</v>
      </c>
      <c r="G258" t="s">
        <v>1193</v>
      </c>
      <c r="H258" t="s">
        <v>25</v>
      </c>
      <c r="I258" t="s">
        <v>25</v>
      </c>
      <c r="J258" t="s">
        <v>26</v>
      </c>
      <c r="K258" t="s">
        <v>43</v>
      </c>
      <c r="L258" s="5">
        <v>0.5044999472529812</v>
      </c>
      <c r="M258" s="5">
        <v>0</v>
      </c>
      <c r="N258" s="5">
        <v>0</v>
      </c>
      <c r="O258" s="5">
        <v>0</v>
      </c>
      <c r="P258" s="5">
        <v>0.49550005274701869</v>
      </c>
      <c r="Q258" s="4">
        <f>ROUND((L258*100*1)+(N258*100*2)+(O258*100*3),2)</f>
        <v>50.45</v>
      </c>
      <c r="R258" s="5">
        <v>0.49774172280447548</v>
      </c>
      <c r="S258" s="5">
        <v>0</v>
      </c>
      <c r="T258" s="5">
        <v>0</v>
      </c>
      <c r="U258" s="5">
        <v>0</v>
      </c>
      <c r="V258" s="5">
        <v>0.50225827719552452</v>
      </c>
      <c r="W258" s="4">
        <f>ROUND((R258*100*1)+(T258*100*2)+(U258*100*3),2)</f>
        <v>49.77</v>
      </c>
      <c r="X258" s="5">
        <v>0.4717484381567506</v>
      </c>
      <c r="Y258" s="5">
        <v>0</v>
      </c>
      <c r="Z258" s="5">
        <v>2.0394088228302801E-2</v>
      </c>
      <c r="AA258" s="5">
        <v>0</v>
      </c>
      <c r="AB258" s="5">
        <v>0.5078574736149466</v>
      </c>
      <c r="AC258" s="4">
        <f>ROUND((X258*100*1)+(Z258*100*2)+(AA258*100*3),2)</f>
        <v>51.25</v>
      </c>
      <c r="AD258">
        <f>ROUND(AVERAGE(Q258,W258,AC258),2)</f>
        <v>50.49</v>
      </c>
    </row>
    <row r="259" spans="1:30" x14ac:dyDescent="0.2">
      <c r="A259">
        <v>261</v>
      </c>
      <c r="B259">
        <v>1</v>
      </c>
      <c r="C259" t="s">
        <v>1194</v>
      </c>
      <c r="D259" t="s">
        <v>1195</v>
      </c>
      <c r="E259" t="s">
        <v>1196</v>
      </c>
      <c r="F259" t="s">
        <v>1197</v>
      </c>
      <c r="G259" t="s">
        <v>1198</v>
      </c>
      <c r="H259" t="s">
        <v>25</v>
      </c>
      <c r="I259" t="s">
        <v>25</v>
      </c>
      <c r="J259" t="s">
        <v>34</v>
      </c>
      <c r="K259" t="s">
        <v>1108</v>
      </c>
      <c r="L259" s="5">
        <v>0.99082199372002955</v>
      </c>
      <c r="M259" s="5">
        <v>0</v>
      </c>
      <c r="N259" s="5">
        <v>9.0867236698263781E-3</v>
      </c>
      <c r="O259" s="5">
        <v>9.1282610228614924E-5</v>
      </c>
      <c r="P259" s="5">
        <v>0</v>
      </c>
      <c r="Q259" s="4">
        <f>ROUND((L259*100*1)+(N259*100*2)+(O259*100*3),2)</f>
        <v>100.93</v>
      </c>
      <c r="R259" s="5">
        <v>0.86445970853659082</v>
      </c>
      <c r="S259" s="5">
        <v>0</v>
      </c>
      <c r="T259" s="5">
        <v>0.1057985425455589</v>
      </c>
      <c r="U259" s="5">
        <v>1.6985611205319151E-3</v>
      </c>
      <c r="V259" s="5">
        <v>2.8043187797318399E-2</v>
      </c>
      <c r="W259" s="4">
        <f>ROUND((R259*100*1)+(T259*100*2)+(U259*100*3),2)</f>
        <v>108.12</v>
      </c>
      <c r="X259" s="5">
        <v>0.80470537672727127</v>
      </c>
      <c r="Y259" s="5">
        <v>0</v>
      </c>
      <c r="Z259" s="5">
        <v>0.1044156304923519</v>
      </c>
      <c r="AA259" s="5">
        <v>1.5156556005640641E-2</v>
      </c>
      <c r="AB259" s="5">
        <v>7.5722436774736224E-2</v>
      </c>
      <c r="AC259" s="4">
        <f>ROUND((X259*100*1)+(Z259*100*2)+(AA259*100*3),2)</f>
        <v>105.9</v>
      </c>
      <c r="AD259">
        <f>ROUND(AVERAGE(Q259,W259,AC259),2)</f>
        <v>104.98</v>
      </c>
    </row>
    <row r="260" spans="1:30" x14ac:dyDescent="0.2">
      <c r="A260">
        <v>262</v>
      </c>
      <c r="B260">
        <v>1</v>
      </c>
      <c r="C260" t="s">
        <v>1199</v>
      </c>
      <c r="D260" t="s">
        <v>1200</v>
      </c>
      <c r="E260" t="s">
        <v>1196</v>
      </c>
      <c r="F260" t="s">
        <v>1201</v>
      </c>
      <c r="G260" t="s">
        <v>1202</v>
      </c>
      <c r="H260" t="s">
        <v>25</v>
      </c>
      <c r="I260" t="s">
        <v>25</v>
      </c>
      <c r="J260" t="s">
        <v>92</v>
      </c>
      <c r="K260" t="s">
        <v>1108</v>
      </c>
      <c r="L260" s="5">
        <v>0.37784743968412482</v>
      </c>
      <c r="M260" s="5">
        <v>0</v>
      </c>
      <c r="N260" s="5">
        <v>0.2024264682517356</v>
      </c>
      <c r="O260" s="5">
        <v>0.32959821379909221</v>
      </c>
      <c r="P260" s="5">
        <v>9.0127878265047423E-2</v>
      </c>
      <c r="Q260" s="4">
        <f>ROUND((L260*100*1)+(N260*100*2)+(O260*100*3),2)</f>
        <v>177.15</v>
      </c>
      <c r="R260" s="5">
        <v>0.76036289000528068</v>
      </c>
      <c r="S260" s="5">
        <v>0</v>
      </c>
      <c r="T260" s="5">
        <v>0.1015491701708864</v>
      </c>
      <c r="U260" s="5">
        <v>0.1017324253482062</v>
      </c>
      <c r="V260" s="5">
        <v>3.6355514475626682E-2</v>
      </c>
      <c r="W260" s="4">
        <f>ROUND((R260*100*1)+(T260*100*2)+(U260*100*3),2)</f>
        <v>126.87</v>
      </c>
      <c r="X260" s="5">
        <v>0.8448935538939597</v>
      </c>
      <c r="Y260" s="5">
        <v>0</v>
      </c>
      <c r="Z260" s="5">
        <v>8.3848329945770086E-2</v>
      </c>
      <c r="AA260" s="5">
        <v>4.6644862323009628E-2</v>
      </c>
      <c r="AB260" s="5">
        <v>2.461325383726054E-2</v>
      </c>
      <c r="AC260" s="4">
        <f>ROUND((X260*100*1)+(Z260*100*2)+(AA260*100*3),2)</f>
        <v>115.25</v>
      </c>
      <c r="AD260">
        <f>ROUND(AVERAGE(Q260,W260,AC260),2)</f>
        <v>139.76</v>
      </c>
    </row>
    <row r="261" spans="1:30" x14ac:dyDescent="0.2">
      <c r="A261">
        <v>263</v>
      </c>
      <c r="B261">
        <v>1</v>
      </c>
      <c r="C261" t="s">
        <v>1203</v>
      </c>
      <c r="D261" t="s">
        <v>1204</v>
      </c>
      <c r="E261" t="s">
        <v>1196</v>
      </c>
      <c r="F261" t="s">
        <v>1205</v>
      </c>
      <c r="G261" t="s">
        <v>1206</v>
      </c>
      <c r="H261" t="s">
        <v>25</v>
      </c>
      <c r="I261" t="s">
        <v>25</v>
      </c>
      <c r="J261" t="s">
        <v>26</v>
      </c>
      <c r="K261" t="s">
        <v>1108</v>
      </c>
      <c r="L261" s="5">
        <v>0.73990185810174802</v>
      </c>
      <c r="M261" s="5">
        <v>0</v>
      </c>
      <c r="N261" s="5">
        <v>0.20298005540373479</v>
      </c>
      <c r="O261" s="5">
        <v>8.9357055318570547E-4</v>
      </c>
      <c r="P261" s="5">
        <v>5.6224515941331481E-2</v>
      </c>
      <c r="Q261" s="4">
        <f>ROUND((L261*100*1)+(N261*100*2)+(O261*100*3),2)</f>
        <v>114.85</v>
      </c>
      <c r="R261" s="5">
        <v>0.78625953625062572</v>
      </c>
      <c r="S261" s="5">
        <v>0</v>
      </c>
      <c r="T261" s="5">
        <v>0.1202732693462045</v>
      </c>
      <c r="U261" s="5">
        <v>3.6340957545001711E-3</v>
      </c>
      <c r="V261" s="5">
        <v>8.9833098648669618E-2</v>
      </c>
      <c r="W261" s="4">
        <f>ROUND((R261*100*1)+(T261*100*2)+(U261*100*3),2)</f>
        <v>103.77</v>
      </c>
      <c r="X261" s="5">
        <v>0.76161328735950562</v>
      </c>
      <c r="Y261" s="5">
        <v>0</v>
      </c>
      <c r="Z261" s="5">
        <v>0.1388539719989407</v>
      </c>
      <c r="AA261" s="5">
        <v>5.4363102640517913E-2</v>
      </c>
      <c r="AB261" s="5">
        <v>4.5169638001035788E-2</v>
      </c>
      <c r="AC261" s="4">
        <f>ROUND((X261*100*1)+(Z261*100*2)+(AA261*100*3),2)</f>
        <v>120.24</v>
      </c>
      <c r="AD261">
        <f>ROUND(AVERAGE(Q261,W261,AC261),2)</f>
        <v>112.95</v>
      </c>
    </row>
    <row r="262" spans="1:30" x14ac:dyDescent="0.2">
      <c r="A262">
        <v>264</v>
      </c>
      <c r="B262">
        <v>1</v>
      </c>
      <c r="C262" t="s">
        <v>1207</v>
      </c>
      <c r="D262" t="s">
        <v>1208</v>
      </c>
      <c r="E262" t="s">
        <v>1196</v>
      </c>
      <c r="F262" t="s">
        <v>1209</v>
      </c>
      <c r="G262" t="s">
        <v>1210</v>
      </c>
      <c r="H262" t="s">
        <v>25</v>
      </c>
      <c r="I262" t="s">
        <v>25</v>
      </c>
      <c r="J262" t="s">
        <v>26</v>
      </c>
      <c r="K262" t="s">
        <v>1108</v>
      </c>
      <c r="L262" s="5">
        <v>0.81574730655190664</v>
      </c>
      <c r="M262" s="5">
        <v>0</v>
      </c>
      <c r="N262" s="5">
        <v>0.1842526934478787</v>
      </c>
      <c r="O262" s="5">
        <v>0</v>
      </c>
      <c r="P262" s="5">
        <v>2.147171329625053E-13</v>
      </c>
      <c r="Q262" s="4">
        <f>ROUND((L262*100*1)+(N262*100*2)+(O262*100*3),2)</f>
        <v>118.43</v>
      </c>
      <c r="R262" s="5">
        <v>0.90961381903115257</v>
      </c>
      <c r="S262" s="5">
        <v>0</v>
      </c>
      <c r="T262" s="5">
        <v>9.0386180968903052E-2</v>
      </c>
      <c r="U262" s="5">
        <v>0</v>
      </c>
      <c r="V262" s="5">
        <v>0</v>
      </c>
      <c r="W262" s="4">
        <f>ROUND((R262*100*1)+(T262*100*2)+(U262*100*3),2)</f>
        <v>109.04</v>
      </c>
      <c r="X262" s="5">
        <v>0.91914110479816358</v>
      </c>
      <c r="Y262" s="5">
        <v>0</v>
      </c>
      <c r="Z262" s="5">
        <v>8.0858895201865358E-2</v>
      </c>
      <c r="AA262" s="5">
        <v>0</v>
      </c>
      <c r="AB262" s="5">
        <v>0</v>
      </c>
      <c r="AC262" s="4">
        <f>ROUND((X262*100*1)+(Z262*100*2)+(AA262*100*3),2)</f>
        <v>108.09</v>
      </c>
      <c r="AD262">
        <f>ROUND(AVERAGE(Q262,W262,AC262),2)</f>
        <v>111.85</v>
      </c>
    </row>
    <row r="263" spans="1:30" x14ac:dyDescent="0.2">
      <c r="A263">
        <v>265</v>
      </c>
      <c r="B263">
        <v>1</v>
      </c>
      <c r="C263" t="s">
        <v>1211</v>
      </c>
      <c r="D263" t="s">
        <v>1212</v>
      </c>
      <c r="E263" t="s">
        <v>1196</v>
      </c>
      <c r="F263" t="s">
        <v>1213</v>
      </c>
      <c r="G263" t="s">
        <v>1213</v>
      </c>
      <c r="H263" t="s">
        <v>25</v>
      </c>
      <c r="I263" t="s">
        <v>25</v>
      </c>
      <c r="J263" t="s">
        <v>92</v>
      </c>
      <c r="K263" t="s">
        <v>1108</v>
      </c>
      <c r="L263" s="5">
        <v>0.88898693131360251</v>
      </c>
      <c r="M263" s="5">
        <v>0</v>
      </c>
      <c r="N263" s="5">
        <v>0.1043934710572637</v>
      </c>
      <c r="O263" s="5">
        <v>6.6195976291441366E-3</v>
      </c>
      <c r="P263" s="5">
        <v>0</v>
      </c>
      <c r="Q263" s="4">
        <f>ROUND((L263*100*1)+(N263*100*2)+(O263*100*3),2)</f>
        <v>111.76</v>
      </c>
      <c r="R263" s="5">
        <v>0.9640355890660085</v>
      </c>
      <c r="S263" s="5">
        <v>0</v>
      </c>
      <c r="T263" s="5">
        <v>3.5291329430267103E-2</v>
      </c>
      <c r="U263" s="5">
        <v>6.7308150372642913E-4</v>
      </c>
      <c r="V263" s="5">
        <v>0</v>
      </c>
      <c r="W263" s="4">
        <f>ROUND((R263*100*1)+(T263*100*2)+(U263*100*3),2)</f>
        <v>103.66</v>
      </c>
      <c r="X263" s="5">
        <v>0.94608598674097766</v>
      </c>
      <c r="Y263" s="5">
        <v>0</v>
      </c>
      <c r="Z263" s="5">
        <v>5.3679583366849977E-2</v>
      </c>
      <c r="AA263" s="5">
        <v>2.3442989218744759E-4</v>
      </c>
      <c r="AB263" s="5">
        <v>0</v>
      </c>
      <c r="AC263" s="4">
        <f>ROUND((X263*100*1)+(Z263*100*2)+(AA263*100*3),2)</f>
        <v>105.41</v>
      </c>
      <c r="AD263">
        <f>ROUND(AVERAGE(Q263,W263,AC263),2)</f>
        <v>106.94</v>
      </c>
    </row>
    <row r="264" spans="1:30" x14ac:dyDescent="0.2">
      <c r="A264">
        <v>266</v>
      </c>
      <c r="B264">
        <v>1</v>
      </c>
      <c r="C264" t="s">
        <v>1214</v>
      </c>
      <c r="D264" t="s">
        <v>1215</v>
      </c>
      <c r="E264" t="s">
        <v>1216</v>
      </c>
      <c r="F264" t="s">
        <v>1055</v>
      </c>
      <c r="G264" t="s">
        <v>1217</v>
      </c>
      <c r="H264" t="s">
        <v>25</v>
      </c>
      <c r="I264" t="s">
        <v>25</v>
      </c>
      <c r="J264" t="s">
        <v>26</v>
      </c>
      <c r="K264" t="s">
        <v>650</v>
      </c>
      <c r="L264" s="5">
        <v>6.039625484247834E-2</v>
      </c>
      <c r="M264" s="5">
        <v>0</v>
      </c>
      <c r="N264" s="5">
        <v>0.19757580554487489</v>
      </c>
      <c r="O264" s="5">
        <v>0.74202793961269597</v>
      </c>
      <c r="P264" s="5">
        <v>0</v>
      </c>
      <c r="Q264" s="4">
        <f>ROUND((L264*100*1)+(N264*100*2)+(O264*100*3),2)</f>
        <v>268.16000000000003</v>
      </c>
      <c r="R264" s="5">
        <v>0.39254350860295989</v>
      </c>
      <c r="S264" s="5">
        <v>0</v>
      </c>
      <c r="T264" s="5">
        <v>0.17588334378627371</v>
      </c>
      <c r="U264" s="5">
        <v>0.43157314761067089</v>
      </c>
      <c r="V264" s="5">
        <v>9.5479180117763462E-14</v>
      </c>
      <c r="W264" s="4">
        <f>ROUND((R264*100*1)+(T264*100*2)+(U264*100*3),2)</f>
        <v>203.9</v>
      </c>
      <c r="X264" s="5">
        <v>0.56958829566106917</v>
      </c>
      <c r="Y264" s="5">
        <v>0</v>
      </c>
      <c r="Z264" s="5">
        <v>0.1543419802703235</v>
      </c>
      <c r="AA264" s="5">
        <v>0.27606972406863961</v>
      </c>
      <c r="AB264" s="5">
        <v>0</v>
      </c>
      <c r="AC264" s="4">
        <f>ROUND((X264*100*1)+(Z264*100*2)+(AA264*100*3),2)</f>
        <v>170.65</v>
      </c>
      <c r="AD264">
        <f>ROUND(AVERAGE(Q264,W264,AC264),2)</f>
        <v>214.24</v>
      </c>
    </row>
    <row r="265" spans="1:30" x14ac:dyDescent="0.2">
      <c r="A265">
        <v>267</v>
      </c>
      <c r="B265">
        <v>1</v>
      </c>
      <c r="C265" t="s">
        <v>1218</v>
      </c>
      <c r="D265" t="s">
        <v>1219</v>
      </c>
      <c r="E265" t="s">
        <v>1220</v>
      </c>
      <c r="F265" t="s">
        <v>1221</v>
      </c>
      <c r="G265" t="s">
        <v>1222</v>
      </c>
      <c r="H265" t="s">
        <v>25</v>
      </c>
      <c r="I265" t="s">
        <v>25</v>
      </c>
      <c r="J265" t="s">
        <v>34</v>
      </c>
      <c r="K265" t="s">
        <v>1108</v>
      </c>
      <c r="L265" s="5">
        <v>2.1703574090084679E-2</v>
      </c>
      <c r="M265" s="5">
        <v>0</v>
      </c>
      <c r="N265" s="5">
        <v>0</v>
      </c>
      <c r="O265" s="5">
        <v>0</v>
      </c>
      <c r="P265" s="5">
        <v>0.97829642590991528</v>
      </c>
      <c r="Q265" s="4">
        <f>ROUND((L265*100*1)+(N265*100*2)+(O265*100*3),2)</f>
        <v>2.17</v>
      </c>
      <c r="R265" s="5">
        <v>0.33392461815677948</v>
      </c>
      <c r="S265" s="5">
        <v>0</v>
      </c>
      <c r="T265" s="5">
        <v>8.7342818683511195E-2</v>
      </c>
      <c r="U265" s="5">
        <v>3.1416572943345931E-3</v>
      </c>
      <c r="V265" s="5">
        <v>0.57559090586537476</v>
      </c>
      <c r="W265" s="4">
        <f>ROUND((R265*100*1)+(T265*100*2)+(U265*100*3),2)</f>
        <v>51.8</v>
      </c>
      <c r="X265" s="5">
        <v>0.33945186842864072</v>
      </c>
      <c r="Y265" s="5">
        <v>0</v>
      </c>
      <c r="Z265" s="5">
        <v>0.13423945292867151</v>
      </c>
      <c r="AA265" s="5">
        <v>1.2666576371426869E-3</v>
      </c>
      <c r="AB265" s="5">
        <v>0.52504202100554509</v>
      </c>
      <c r="AC265" s="4">
        <f>ROUND((X265*100*1)+(Z265*100*2)+(AA265*100*3),2)</f>
        <v>61.17</v>
      </c>
      <c r="AD265">
        <f>ROUND(AVERAGE(Q265,W265,AC265),2)</f>
        <v>38.380000000000003</v>
      </c>
    </row>
    <row r="266" spans="1:30" x14ac:dyDescent="0.2">
      <c r="A266">
        <v>268</v>
      </c>
      <c r="B266">
        <v>3</v>
      </c>
      <c r="C266" t="s">
        <v>1223</v>
      </c>
      <c r="D266" t="s">
        <v>1224</v>
      </c>
      <c r="E266" t="s">
        <v>1220</v>
      </c>
      <c r="F266" t="s">
        <v>171</v>
      </c>
      <c r="G266" t="s">
        <v>172</v>
      </c>
      <c r="H266" t="s">
        <v>25</v>
      </c>
      <c r="I266" t="s">
        <v>25</v>
      </c>
      <c r="J266" t="s">
        <v>34</v>
      </c>
      <c r="K266" t="s">
        <v>1108</v>
      </c>
      <c r="L266" s="5">
        <v>0.62793185473085089</v>
      </c>
      <c r="M266" s="5">
        <v>0</v>
      </c>
      <c r="N266" s="5">
        <v>9.6132519625046389E-2</v>
      </c>
      <c r="O266" s="5">
        <v>1.3365555953605E-2</v>
      </c>
      <c r="P266" s="5">
        <v>0.26257006969049762</v>
      </c>
      <c r="Q266" s="4">
        <f>ROUND((L266*100*1)+(N266*100*2)+(O266*100*3),2)</f>
        <v>86.03</v>
      </c>
      <c r="R266" s="5">
        <v>0.66987650182970015</v>
      </c>
      <c r="S266" s="5">
        <v>0</v>
      </c>
      <c r="T266" s="5">
        <v>8.1867377273136616E-2</v>
      </c>
      <c r="U266" s="5">
        <v>5.5596168073831446E-3</v>
      </c>
      <c r="V266" s="5">
        <v>0.24269650408978019</v>
      </c>
      <c r="W266" s="4">
        <f>ROUND((R266*100*1)+(T266*100*2)+(U266*100*3),2)</f>
        <v>85.03</v>
      </c>
      <c r="X266" s="5">
        <v>0.76873198261029874</v>
      </c>
      <c r="Y266" s="5">
        <v>0</v>
      </c>
      <c r="Z266" s="5">
        <v>6.2639964877942961E-2</v>
      </c>
      <c r="AA266" s="5">
        <v>1.937071075726855E-3</v>
      </c>
      <c r="AB266" s="5">
        <v>0.16669098143603131</v>
      </c>
      <c r="AC266" s="4">
        <f>ROUND((X266*100*1)+(Z266*100*2)+(AA266*100*3),2)</f>
        <v>89.98</v>
      </c>
      <c r="AD266">
        <f>ROUND(AVERAGE(Q266,W266,AC266),2)</f>
        <v>87.01</v>
      </c>
    </row>
    <row r="267" spans="1:30" x14ac:dyDescent="0.2">
      <c r="A267">
        <v>269</v>
      </c>
      <c r="B267">
        <v>2</v>
      </c>
      <c r="C267" t="s">
        <v>1225</v>
      </c>
      <c r="D267" t="s">
        <v>1226</v>
      </c>
      <c r="E267" t="s">
        <v>1227</v>
      </c>
      <c r="F267" t="s">
        <v>1228</v>
      </c>
      <c r="G267" t="s">
        <v>1229</v>
      </c>
      <c r="H267" t="s">
        <v>25</v>
      </c>
      <c r="I267" t="s">
        <v>25</v>
      </c>
      <c r="J267" t="s">
        <v>26</v>
      </c>
      <c r="K267" t="s">
        <v>1108</v>
      </c>
      <c r="L267" s="5">
        <v>0.83284551061534018</v>
      </c>
      <c r="M267" s="5">
        <v>0</v>
      </c>
      <c r="N267" s="5">
        <v>0.16715448938471861</v>
      </c>
      <c r="O267" s="5">
        <v>0</v>
      </c>
      <c r="P267" s="5">
        <v>0</v>
      </c>
      <c r="Q267" s="4">
        <f>ROUND((L267*100*1)+(N267*100*2)+(O267*100*3),2)</f>
        <v>116.72</v>
      </c>
      <c r="R267" s="5">
        <v>0.96024379455694642</v>
      </c>
      <c r="S267" s="5">
        <v>0</v>
      </c>
      <c r="T267" s="5">
        <v>3.9536251899997148E-2</v>
      </c>
      <c r="U267" s="5">
        <v>1.6708616594467501E-4</v>
      </c>
      <c r="V267" s="5">
        <v>5.2867377111853748E-5</v>
      </c>
      <c r="W267" s="4">
        <f>ROUND((R267*100*1)+(T267*100*2)+(U267*100*3),2)</f>
        <v>103.98</v>
      </c>
      <c r="X267" s="5">
        <v>0.96587353182910962</v>
      </c>
      <c r="Y267" s="5">
        <v>0</v>
      </c>
      <c r="Z267" s="5">
        <v>3.3908069606254691E-2</v>
      </c>
      <c r="AA267" s="5">
        <v>5.8195020441899727E-5</v>
      </c>
      <c r="AB267" s="5">
        <v>1.60203544193771E-4</v>
      </c>
      <c r="AC267" s="4">
        <f>ROUND((X267*100*1)+(Z267*100*2)+(AA267*100*3),2)</f>
        <v>103.39</v>
      </c>
      <c r="AD267">
        <f>ROUND(AVERAGE(Q267,W267,AC267),2)</f>
        <v>108.03</v>
      </c>
    </row>
    <row r="268" spans="1:30" x14ac:dyDescent="0.2">
      <c r="A268">
        <v>270</v>
      </c>
      <c r="B268">
        <v>1</v>
      </c>
      <c r="C268" t="s">
        <v>1230</v>
      </c>
      <c r="D268" t="s">
        <v>1231</v>
      </c>
      <c r="E268" t="s">
        <v>1227</v>
      </c>
      <c r="F268" t="s">
        <v>1232</v>
      </c>
      <c r="G268" t="s">
        <v>1233</v>
      </c>
      <c r="H268" t="s">
        <v>25</v>
      </c>
      <c r="I268" t="s">
        <v>25</v>
      </c>
      <c r="J268" t="s">
        <v>34</v>
      </c>
      <c r="K268" t="s">
        <v>1108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4">
        <f>ROUND((L268*100*1)+(N268*100*2)+(O268*100*3),2)</f>
        <v>100</v>
      </c>
      <c r="R268" s="5">
        <v>0.99993256301130273</v>
      </c>
      <c r="S268" s="5">
        <v>0</v>
      </c>
      <c r="T268" s="5">
        <v>6.7436988700348612E-5</v>
      </c>
      <c r="U268" s="5">
        <v>0</v>
      </c>
      <c r="V268" s="5">
        <v>0</v>
      </c>
      <c r="W268" s="4">
        <f>ROUND((R268*100*1)+(T268*100*2)+(U268*100*3),2)</f>
        <v>100.01</v>
      </c>
      <c r="X268" s="5">
        <v>0.97886750679524714</v>
      </c>
      <c r="Y268" s="5">
        <v>0</v>
      </c>
      <c r="Z268" s="5">
        <v>1.9969496598704041E-2</v>
      </c>
      <c r="AA268" s="5">
        <v>2.2465117119624941E-5</v>
      </c>
      <c r="AB268" s="5">
        <v>1.14053148892912E-3</v>
      </c>
      <c r="AC268" s="4">
        <f>ROUND((X268*100*1)+(Z268*100*2)+(AA268*100*3),2)</f>
        <v>101.89</v>
      </c>
      <c r="AD268">
        <f>ROUND(AVERAGE(Q268,W268,AC268),2)</f>
        <v>100.63</v>
      </c>
    </row>
    <row r="269" spans="1:30" x14ac:dyDescent="0.2">
      <c r="A269">
        <v>271</v>
      </c>
      <c r="B269">
        <v>1</v>
      </c>
      <c r="C269" t="s">
        <v>1234</v>
      </c>
      <c r="D269" t="s">
        <v>1235</v>
      </c>
      <c r="E269" t="s">
        <v>1227</v>
      </c>
      <c r="F269" t="s">
        <v>1236</v>
      </c>
      <c r="G269" t="s">
        <v>1237</v>
      </c>
      <c r="H269" t="s">
        <v>25</v>
      </c>
      <c r="I269" t="s">
        <v>25</v>
      </c>
      <c r="J269" t="s">
        <v>26</v>
      </c>
      <c r="K269" t="s">
        <v>1108</v>
      </c>
      <c r="L269" s="5">
        <v>0.9997875462514364</v>
      </c>
      <c r="M269" s="5">
        <v>0</v>
      </c>
      <c r="N269" s="5">
        <v>0</v>
      </c>
      <c r="O269" s="5">
        <v>0</v>
      </c>
      <c r="P269" s="5">
        <v>2.124537485636013E-4</v>
      </c>
      <c r="Q269" s="4">
        <f>ROUND((L269*100*1)+(N269*100*2)+(O269*100*3),2)</f>
        <v>99.98</v>
      </c>
      <c r="R269" s="5">
        <v>0.9060792563516189</v>
      </c>
      <c r="S269" s="5">
        <v>0</v>
      </c>
      <c r="T269" s="5">
        <v>9.0485636854443316E-2</v>
      </c>
      <c r="U269" s="5">
        <v>2.6894712579459959E-3</v>
      </c>
      <c r="V269" s="5">
        <v>7.4563553599182864E-4</v>
      </c>
      <c r="W269" s="4">
        <f>ROUND((R269*100*1)+(T269*100*2)+(U269*100*3),2)</f>
        <v>109.51</v>
      </c>
      <c r="X269" s="5">
        <v>0.89488616795948284</v>
      </c>
      <c r="Y269" s="5">
        <v>0</v>
      </c>
      <c r="Z269" s="5">
        <v>0.1023936731892429</v>
      </c>
      <c r="AA269" s="5">
        <v>2.1508778707193111E-3</v>
      </c>
      <c r="AB269" s="5">
        <v>5.6928098055497589E-4</v>
      </c>
      <c r="AC269" s="4">
        <f>ROUND((X269*100*1)+(Z269*100*2)+(AA269*100*3),2)</f>
        <v>110.61</v>
      </c>
      <c r="AD269">
        <f>ROUND(AVERAGE(Q269,W269,AC269),2)</f>
        <v>106.7</v>
      </c>
    </row>
    <row r="270" spans="1:30" x14ac:dyDescent="0.2">
      <c r="A270">
        <v>272</v>
      </c>
      <c r="B270">
        <v>1</v>
      </c>
      <c r="C270" t="s">
        <v>1238</v>
      </c>
      <c r="D270" t="s">
        <v>1239</v>
      </c>
      <c r="E270" t="s">
        <v>1227</v>
      </c>
      <c r="F270" t="s">
        <v>1240</v>
      </c>
      <c r="G270" t="s">
        <v>1241</v>
      </c>
      <c r="H270" t="s">
        <v>25</v>
      </c>
      <c r="I270" t="s">
        <v>25</v>
      </c>
      <c r="J270" t="s">
        <v>92</v>
      </c>
      <c r="K270" t="s">
        <v>1108</v>
      </c>
      <c r="L270" s="5">
        <v>0.90242586061795582</v>
      </c>
      <c r="M270" s="5">
        <v>0</v>
      </c>
      <c r="N270" s="5">
        <v>9.7574139382040542E-2</v>
      </c>
      <c r="O270" s="5">
        <v>0</v>
      </c>
      <c r="P270" s="5">
        <v>3.6637359812630174E-15</v>
      </c>
      <c r="Q270" s="4">
        <f>ROUND((L270*100*1)+(N270*100*2)+(O270*100*3),2)</f>
        <v>109.76</v>
      </c>
      <c r="R270" s="5">
        <v>0.96631428120919172</v>
      </c>
      <c r="S270" s="5">
        <v>0</v>
      </c>
      <c r="T270" s="5">
        <v>3.3685718790799693E-2</v>
      </c>
      <c r="U270" s="5">
        <v>0</v>
      </c>
      <c r="V270" s="5">
        <v>8.5487172896137054E-15</v>
      </c>
      <c r="W270" s="4">
        <f>ROUND((R270*100*1)+(T270*100*2)+(U270*100*3),2)</f>
        <v>103.37</v>
      </c>
      <c r="X270" s="5">
        <v>0.97478298675762387</v>
      </c>
      <c r="Y270" s="5">
        <v>0</v>
      </c>
      <c r="Z270" s="5">
        <v>2.5206831576805481E-2</v>
      </c>
      <c r="AA270" s="5">
        <v>0</v>
      </c>
      <c r="AB270" s="5">
        <v>1.018166557065214E-5</v>
      </c>
      <c r="AC270" s="4">
        <f>ROUND((X270*100*1)+(Z270*100*2)+(AA270*100*3),2)</f>
        <v>102.52</v>
      </c>
      <c r="AD270">
        <f>ROUND(AVERAGE(Q270,W270,AC270),2)</f>
        <v>105.22</v>
      </c>
    </row>
    <row r="271" spans="1:30" x14ac:dyDescent="0.2">
      <c r="A271">
        <v>273</v>
      </c>
      <c r="B271">
        <v>1</v>
      </c>
      <c r="C271" t="s">
        <v>1242</v>
      </c>
      <c r="D271" t="s">
        <v>1243</v>
      </c>
      <c r="E271" t="s">
        <v>1244</v>
      </c>
      <c r="F271" t="s">
        <v>1245</v>
      </c>
      <c r="G271" t="s">
        <v>1046</v>
      </c>
      <c r="H271" t="s">
        <v>25</v>
      </c>
      <c r="I271" t="s">
        <v>25</v>
      </c>
      <c r="J271" t="s">
        <v>26</v>
      </c>
      <c r="K271" t="s">
        <v>650</v>
      </c>
      <c r="L271" s="5">
        <v>0.88416743893307115</v>
      </c>
      <c r="M271" s="5">
        <v>0</v>
      </c>
      <c r="N271" s="5">
        <v>0.1158325610669249</v>
      </c>
      <c r="O271" s="5">
        <v>0</v>
      </c>
      <c r="P271" s="5">
        <v>3.9968028886505643E-15</v>
      </c>
      <c r="Q271" s="4">
        <f>ROUND((L271*100*1)+(N271*100*2)+(O271*100*3),2)</f>
        <v>111.58</v>
      </c>
      <c r="R271" s="5">
        <v>0.61583481943566609</v>
      </c>
      <c r="S271" s="5">
        <v>0</v>
      </c>
      <c r="T271" s="5">
        <v>0.1794304583606639</v>
      </c>
      <c r="U271" s="5">
        <v>0.2047347222035982</v>
      </c>
      <c r="V271" s="5">
        <v>7.1720407390785113E-14</v>
      </c>
      <c r="W271" s="4">
        <f>ROUND((R271*100*1)+(T271*100*2)+(U271*100*3),2)</f>
        <v>158.88999999999999</v>
      </c>
      <c r="X271" s="5">
        <v>0.59627147564990235</v>
      </c>
      <c r="Y271" s="5">
        <v>0</v>
      </c>
      <c r="Z271" s="5">
        <v>0.1679116467859246</v>
      </c>
      <c r="AA271" s="5">
        <v>0.23581687756416109</v>
      </c>
      <c r="AB271" s="5">
        <v>1.1990408665951691E-14</v>
      </c>
      <c r="AC271" s="4">
        <f>ROUND((X271*100*1)+(Z271*100*2)+(AA271*100*3),2)</f>
        <v>163.95</v>
      </c>
      <c r="AD271">
        <f>ROUND(AVERAGE(Q271,W271,AC271),2)</f>
        <v>144.81</v>
      </c>
    </row>
    <row r="272" spans="1:30" x14ac:dyDescent="0.2">
      <c r="A272">
        <v>274</v>
      </c>
      <c r="B272">
        <v>1</v>
      </c>
      <c r="C272" t="s">
        <v>1246</v>
      </c>
      <c r="D272" t="s">
        <v>1247</v>
      </c>
      <c r="E272" t="s">
        <v>1244</v>
      </c>
      <c r="F272" t="s">
        <v>1248</v>
      </c>
      <c r="G272" t="s">
        <v>1249</v>
      </c>
      <c r="H272" t="s">
        <v>25</v>
      </c>
      <c r="I272" t="s">
        <v>25</v>
      </c>
      <c r="J272" t="s">
        <v>34</v>
      </c>
      <c r="K272" t="s">
        <v>650</v>
      </c>
      <c r="L272" s="5">
        <v>0.79594670297560099</v>
      </c>
      <c r="M272" s="5">
        <v>0</v>
      </c>
      <c r="N272" s="5">
        <v>0.20405329702451991</v>
      </c>
      <c r="O272" s="5">
        <v>0</v>
      </c>
      <c r="P272" s="5">
        <v>0</v>
      </c>
      <c r="Q272" s="4">
        <f>ROUND((L272*100*1)+(N272*100*2)+(O272*100*3),2)</f>
        <v>120.41</v>
      </c>
      <c r="R272" s="5">
        <v>0.87929135308014295</v>
      </c>
      <c r="S272" s="5">
        <v>0</v>
      </c>
      <c r="T272" s="5">
        <v>0.12070864691987521</v>
      </c>
      <c r="U272" s="5">
        <v>0</v>
      </c>
      <c r="V272" s="5">
        <v>0</v>
      </c>
      <c r="W272" s="4">
        <f>ROUND((R272*100*1)+(T272*100*2)+(U272*100*3),2)</f>
        <v>112.07</v>
      </c>
      <c r="X272" s="5">
        <v>0.81676985201344554</v>
      </c>
      <c r="Y272" s="5">
        <v>0</v>
      </c>
      <c r="Z272" s="5">
        <v>0.14454770794584759</v>
      </c>
      <c r="AA272" s="5">
        <v>3.8682440040686453E-2</v>
      </c>
      <c r="AB272" s="5">
        <v>2.042810365310288E-14</v>
      </c>
      <c r="AC272" s="4">
        <f>ROUND((X272*100*1)+(Z272*100*2)+(AA272*100*3),2)</f>
        <v>122.19</v>
      </c>
      <c r="AD272">
        <f>ROUND(AVERAGE(Q272,W272,AC272),2)</f>
        <v>118.22</v>
      </c>
    </row>
    <row r="273" spans="1:30" x14ac:dyDescent="0.2">
      <c r="A273">
        <v>275</v>
      </c>
      <c r="B273">
        <v>1</v>
      </c>
      <c r="C273" t="s">
        <v>1250</v>
      </c>
      <c r="D273" t="s">
        <v>1251</v>
      </c>
      <c r="E273" t="s">
        <v>1244</v>
      </c>
      <c r="F273" t="s">
        <v>1252</v>
      </c>
      <c r="G273" t="s">
        <v>1253</v>
      </c>
      <c r="H273" t="s">
        <v>25</v>
      </c>
      <c r="I273" t="s">
        <v>25</v>
      </c>
      <c r="J273" t="s">
        <v>34</v>
      </c>
      <c r="K273" t="s">
        <v>650</v>
      </c>
      <c r="L273" s="5">
        <v>0</v>
      </c>
      <c r="M273" s="5">
        <v>0</v>
      </c>
      <c r="N273" s="5">
        <v>0.18483053431418109</v>
      </c>
      <c r="O273" s="5">
        <v>0.81516946568582882</v>
      </c>
      <c r="P273" s="5">
        <v>0</v>
      </c>
      <c r="Q273" s="4">
        <f>ROUND((L273*100*1)+(N273*100*2)+(O273*100*3),2)</f>
        <v>281.52</v>
      </c>
      <c r="R273" s="5">
        <v>0.14449633529617509</v>
      </c>
      <c r="S273" s="5">
        <v>0</v>
      </c>
      <c r="T273" s="5">
        <v>0.15270688311125261</v>
      </c>
      <c r="U273" s="5">
        <v>0.70279678159259185</v>
      </c>
      <c r="V273" s="5">
        <v>0</v>
      </c>
      <c r="W273" s="4">
        <f>ROUND((R273*100*1)+(T273*100*2)+(U273*100*3),2)</f>
        <v>255.83</v>
      </c>
      <c r="X273" s="5">
        <v>0.24902876028956039</v>
      </c>
      <c r="Y273" s="5">
        <v>0</v>
      </c>
      <c r="Z273" s="5">
        <v>0.17805221982153779</v>
      </c>
      <c r="AA273" s="5">
        <v>0.57291901988896154</v>
      </c>
      <c r="AB273" s="5">
        <v>0</v>
      </c>
      <c r="AC273" s="4">
        <f>ROUND((X273*100*1)+(Z273*100*2)+(AA273*100*3),2)</f>
        <v>232.39</v>
      </c>
      <c r="AD273">
        <f>ROUND(AVERAGE(Q273,W273,AC273),2)</f>
        <v>256.58</v>
      </c>
    </row>
    <row r="274" spans="1:30" x14ac:dyDescent="0.2">
      <c r="A274">
        <v>276</v>
      </c>
      <c r="B274">
        <v>1</v>
      </c>
      <c r="C274" t="s">
        <v>1254</v>
      </c>
      <c r="D274" t="s">
        <v>1255</v>
      </c>
      <c r="E274" t="s">
        <v>1244</v>
      </c>
      <c r="F274" t="s">
        <v>1256</v>
      </c>
      <c r="G274" t="s">
        <v>1257</v>
      </c>
      <c r="H274" t="s">
        <v>25</v>
      </c>
      <c r="I274" t="s">
        <v>25</v>
      </c>
      <c r="J274" t="s">
        <v>26</v>
      </c>
      <c r="K274" t="s">
        <v>650</v>
      </c>
      <c r="L274" s="5">
        <v>1.275926376532267E-2</v>
      </c>
      <c r="M274" s="5">
        <v>0</v>
      </c>
      <c r="N274" s="5">
        <v>0.1188390747279225</v>
      </c>
      <c r="O274" s="5">
        <v>0.86840166150674913</v>
      </c>
      <c r="P274" s="5">
        <v>5.773159728050814E-15</v>
      </c>
      <c r="Q274" s="4">
        <f>ROUND((L274*100*1)+(N274*100*2)+(O274*100*3),2)</f>
        <v>285.56</v>
      </c>
      <c r="R274" s="5">
        <v>0.1754177266285544</v>
      </c>
      <c r="S274" s="5">
        <v>0</v>
      </c>
      <c r="T274" s="5">
        <v>0.15894690870423539</v>
      </c>
      <c r="U274" s="5">
        <v>0.66563536466718065</v>
      </c>
      <c r="V274" s="5">
        <v>2.9531932455029158E-14</v>
      </c>
      <c r="W274" s="4">
        <f>ROUND((R274*100*1)+(T274*100*2)+(U274*100*3),2)</f>
        <v>249.02</v>
      </c>
      <c r="X274" s="5">
        <v>0.25841108999264051</v>
      </c>
      <c r="Y274" s="5">
        <v>0</v>
      </c>
      <c r="Z274" s="5">
        <v>0.1723234821901696</v>
      </c>
      <c r="AA274" s="5">
        <v>0.56926542781720912</v>
      </c>
      <c r="AB274" s="5">
        <v>0</v>
      </c>
      <c r="AC274" s="4">
        <f>ROUND((X274*100*1)+(Z274*100*2)+(AA274*100*3),2)</f>
        <v>231.09</v>
      </c>
      <c r="AD274">
        <f>ROUND(AVERAGE(Q274,W274,AC274),2)</f>
        <v>255.22</v>
      </c>
    </row>
    <row r="275" spans="1:30" x14ac:dyDescent="0.2">
      <c r="A275">
        <v>277</v>
      </c>
      <c r="B275">
        <v>1</v>
      </c>
      <c r="C275" t="s">
        <v>1258</v>
      </c>
      <c r="D275" t="s">
        <v>1259</v>
      </c>
      <c r="E275" t="s">
        <v>1260</v>
      </c>
      <c r="F275" t="s">
        <v>1261</v>
      </c>
      <c r="G275" t="s">
        <v>1262</v>
      </c>
      <c r="H275" t="s">
        <v>67</v>
      </c>
      <c r="I275" t="s">
        <v>67</v>
      </c>
      <c r="J275" t="s">
        <v>92</v>
      </c>
      <c r="K275" t="s">
        <v>363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4">
        <f>ROUND((L275*100*1)+(N275*100*2)+(O275*100*3),2)</f>
        <v>100</v>
      </c>
      <c r="R275" s="5">
        <v>0.65643094358162957</v>
      </c>
      <c r="S275" s="5">
        <v>0</v>
      </c>
      <c r="T275" s="5">
        <v>6.1662724509125029E-2</v>
      </c>
      <c r="U275" s="5">
        <v>4.603387207078026E-2</v>
      </c>
      <c r="V275" s="5">
        <v>0.23587245983846519</v>
      </c>
      <c r="W275" s="4">
        <f>ROUND((R275*100*1)+(T275*100*2)+(U275*100*3),2)</f>
        <v>91.79</v>
      </c>
      <c r="X275" s="5">
        <v>0.60533902261855077</v>
      </c>
      <c r="Y275" s="5">
        <v>0</v>
      </c>
      <c r="Z275" s="5">
        <v>9.1474148494129701E-2</v>
      </c>
      <c r="AA275" s="5">
        <v>6.4936283556596225E-2</v>
      </c>
      <c r="AB275" s="5">
        <v>0.23825054533072329</v>
      </c>
      <c r="AC275" s="4">
        <f>ROUND((X275*100*1)+(Z275*100*2)+(AA275*100*3),2)</f>
        <v>98.31</v>
      </c>
      <c r="AD275">
        <f>ROUND(AVERAGE(Q275,W275,AC275),2)</f>
        <v>96.7</v>
      </c>
    </row>
    <row r="276" spans="1:30" x14ac:dyDescent="0.2">
      <c r="A276">
        <v>278</v>
      </c>
      <c r="B276">
        <v>2</v>
      </c>
      <c r="C276" t="s">
        <v>1263</v>
      </c>
      <c r="D276" t="s">
        <v>1264</v>
      </c>
      <c r="E276" t="s">
        <v>1265</v>
      </c>
      <c r="F276" t="s">
        <v>683</v>
      </c>
      <c r="G276" t="s">
        <v>684</v>
      </c>
      <c r="H276" t="s">
        <v>25</v>
      </c>
      <c r="I276" t="s">
        <v>25</v>
      </c>
      <c r="J276" t="s">
        <v>26</v>
      </c>
      <c r="K276" t="s">
        <v>1108</v>
      </c>
      <c r="L276" s="5">
        <v>0.1173112919312384</v>
      </c>
      <c r="M276" s="5">
        <v>0</v>
      </c>
      <c r="N276" s="5">
        <v>0.1993200450978273</v>
      </c>
      <c r="O276" s="5">
        <v>0.13481262133875949</v>
      </c>
      <c r="P276" s="5">
        <v>0.54855604163217475</v>
      </c>
      <c r="Q276" s="4">
        <f>ROUND((L276*100*1)+(N276*100*2)+(O276*100*3),2)</f>
        <v>92.04</v>
      </c>
      <c r="R276" s="5">
        <v>0.52193936961086529</v>
      </c>
      <c r="S276" s="5">
        <v>0</v>
      </c>
      <c r="T276" s="5">
        <v>0.1787065994634971</v>
      </c>
      <c r="U276" s="5">
        <v>0.18392428927963339</v>
      </c>
      <c r="V276" s="5">
        <v>0.1154297416460042</v>
      </c>
      <c r="W276" s="4">
        <f>ROUND((R276*100*1)+(T276*100*2)+(U276*100*3),2)</f>
        <v>143.11000000000001</v>
      </c>
      <c r="X276" s="5">
        <v>0.65314881318832674</v>
      </c>
      <c r="Y276" s="5">
        <v>0</v>
      </c>
      <c r="Z276" s="5">
        <v>0.15115720768751459</v>
      </c>
      <c r="AA276" s="5">
        <v>0.14295188775104739</v>
      </c>
      <c r="AB276" s="5">
        <v>5.2742091373111262E-2</v>
      </c>
      <c r="AC276" s="4">
        <f>ROUND((X276*100*1)+(Z276*100*2)+(AA276*100*3),2)</f>
        <v>138.43</v>
      </c>
      <c r="AD276">
        <f>ROUND(AVERAGE(Q276,W276,AC276),2)</f>
        <v>124.53</v>
      </c>
    </row>
    <row r="277" spans="1:30" x14ac:dyDescent="0.2">
      <c r="A277">
        <v>279</v>
      </c>
      <c r="B277">
        <v>1</v>
      </c>
      <c r="C277" t="s">
        <v>1266</v>
      </c>
      <c r="D277" t="s">
        <v>1267</v>
      </c>
      <c r="E277" t="s">
        <v>1265</v>
      </c>
      <c r="F277" t="s">
        <v>1268</v>
      </c>
      <c r="G277" t="s">
        <v>1269</v>
      </c>
      <c r="H277" t="s">
        <v>25</v>
      </c>
      <c r="I277" t="s">
        <v>25</v>
      </c>
      <c r="J277" t="s">
        <v>26</v>
      </c>
      <c r="K277" t="s">
        <v>1108</v>
      </c>
      <c r="L277" s="5">
        <v>0.90912602338440762</v>
      </c>
      <c r="M277" s="5">
        <v>0</v>
      </c>
      <c r="N277" s="5">
        <v>9.0873976615571561E-2</v>
      </c>
      <c r="O277" s="5">
        <v>0</v>
      </c>
      <c r="P277" s="5">
        <v>2.087219286295294E-14</v>
      </c>
      <c r="Q277" s="4">
        <f>ROUND((L277*100*1)+(N277*100*2)+(O277*100*3),2)</f>
        <v>109.09</v>
      </c>
      <c r="R277" s="5">
        <v>0.9056428615490637</v>
      </c>
      <c r="S277" s="5">
        <v>0</v>
      </c>
      <c r="T277" s="5">
        <v>9.4357138450950021E-2</v>
      </c>
      <c r="U277" s="5">
        <v>0</v>
      </c>
      <c r="V277" s="5">
        <v>0</v>
      </c>
      <c r="W277" s="4">
        <f>ROUND((R277*100*1)+(T277*100*2)+(U277*100*3),2)</f>
        <v>109.44</v>
      </c>
      <c r="X277" s="5">
        <v>0.91548705684088649</v>
      </c>
      <c r="Y277" s="5">
        <v>0</v>
      </c>
      <c r="Z277" s="5">
        <v>8.4453448733695188E-2</v>
      </c>
      <c r="AA277" s="5">
        <v>5.9494425432091672E-5</v>
      </c>
      <c r="AB277" s="5">
        <v>0</v>
      </c>
      <c r="AC277" s="4">
        <f>ROUND((X277*100*1)+(Z277*100*2)+(AA277*100*3),2)</f>
        <v>108.46</v>
      </c>
      <c r="AD277">
        <f>ROUND(AVERAGE(Q277,W277,AC277),2)</f>
        <v>109</v>
      </c>
    </row>
    <row r="278" spans="1:30" x14ac:dyDescent="0.2">
      <c r="A278">
        <v>280</v>
      </c>
      <c r="B278">
        <v>1</v>
      </c>
      <c r="C278" t="s">
        <v>1270</v>
      </c>
      <c r="D278" t="s">
        <v>1271</v>
      </c>
      <c r="E278" t="s">
        <v>1265</v>
      </c>
      <c r="F278" t="s">
        <v>1146</v>
      </c>
      <c r="G278" t="s">
        <v>1272</v>
      </c>
      <c r="H278" t="s">
        <v>25</v>
      </c>
      <c r="I278" t="s">
        <v>25</v>
      </c>
      <c r="J278" t="s">
        <v>26</v>
      </c>
      <c r="K278" t="s">
        <v>43</v>
      </c>
      <c r="L278" s="5">
        <v>1</v>
      </c>
      <c r="M278" s="5">
        <v>0</v>
      </c>
      <c r="N278" s="5">
        <v>0</v>
      </c>
      <c r="O278" s="5">
        <v>0</v>
      </c>
      <c r="P278" s="5">
        <v>0</v>
      </c>
      <c r="Q278" s="4">
        <f>ROUND((L278*100*1)+(N278*100*2)+(O278*100*3),2)</f>
        <v>100</v>
      </c>
      <c r="R278" s="5">
        <v>0.99057863189093087</v>
      </c>
      <c r="S278" s="5">
        <v>0</v>
      </c>
      <c r="T278" s="5">
        <v>9.4213681090697388E-3</v>
      </c>
      <c r="U278" s="5">
        <v>0</v>
      </c>
      <c r="V278" s="5">
        <v>0</v>
      </c>
      <c r="W278" s="4">
        <f>ROUND((R278*100*1)+(T278*100*2)+(U278*100*3),2)</f>
        <v>100.94</v>
      </c>
      <c r="X278" s="5">
        <v>0.94790354982001912</v>
      </c>
      <c r="Y278" s="5">
        <v>0</v>
      </c>
      <c r="Z278" s="5">
        <v>3.6407408188798653E-2</v>
      </c>
      <c r="AA278" s="5">
        <v>1.8356319378317429E-3</v>
      </c>
      <c r="AB278" s="5">
        <v>1.3853410053350499E-2</v>
      </c>
      <c r="AC278" s="4">
        <f>ROUND((X278*100*1)+(Z278*100*2)+(AA278*100*3),2)</f>
        <v>102.62</v>
      </c>
      <c r="AD278">
        <f>ROUND(AVERAGE(Q278,W278,AC278),2)</f>
        <v>101.19</v>
      </c>
    </row>
    <row r="279" spans="1:30" x14ac:dyDescent="0.2">
      <c r="A279">
        <v>281</v>
      </c>
      <c r="B279">
        <v>1</v>
      </c>
      <c r="C279" t="s">
        <v>1273</v>
      </c>
      <c r="D279" t="s">
        <v>1274</v>
      </c>
      <c r="E279" t="s">
        <v>1265</v>
      </c>
      <c r="F279" t="s">
        <v>344</v>
      </c>
      <c r="G279" t="s">
        <v>345</v>
      </c>
      <c r="H279" t="s">
        <v>25</v>
      </c>
      <c r="I279" t="s">
        <v>25</v>
      </c>
      <c r="J279" t="s">
        <v>26</v>
      </c>
      <c r="K279" t="s">
        <v>1108</v>
      </c>
      <c r="L279" s="5">
        <v>0.45304110781502072</v>
      </c>
      <c r="M279" s="5">
        <v>0</v>
      </c>
      <c r="N279" s="5">
        <v>0.23032797460890139</v>
      </c>
      <c r="O279" s="5">
        <v>1.5572951254552859E-3</v>
      </c>
      <c r="P279" s="5">
        <v>0.31507362245062248</v>
      </c>
      <c r="Q279" s="4">
        <f>ROUND((L279*100*1)+(N279*100*2)+(O279*100*3),2)</f>
        <v>91.84</v>
      </c>
      <c r="R279" s="5">
        <v>0.43947249978971731</v>
      </c>
      <c r="S279" s="5">
        <v>0</v>
      </c>
      <c r="T279" s="5">
        <v>0.12591296165100749</v>
      </c>
      <c r="U279" s="5">
        <v>5.3384480235371527E-4</v>
      </c>
      <c r="V279" s="5">
        <v>0.43408069375692138</v>
      </c>
      <c r="W279" s="4">
        <f>ROUND((R279*100*1)+(T279*100*2)+(U279*100*3),2)</f>
        <v>69.290000000000006</v>
      </c>
      <c r="X279" s="5">
        <v>0.49083420907330189</v>
      </c>
      <c r="Y279" s="5">
        <v>0</v>
      </c>
      <c r="Z279" s="5">
        <v>7.3824428465522049E-2</v>
      </c>
      <c r="AA279" s="5">
        <v>1.8593465838496299E-4</v>
      </c>
      <c r="AB279" s="5">
        <v>0.43515542780279098</v>
      </c>
      <c r="AC279" s="4">
        <f>ROUND((X279*100*1)+(Z279*100*2)+(AA279*100*3),2)</f>
        <v>63.9</v>
      </c>
      <c r="AD279">
        <f>ROUND(AVERAGE(Q279,W279,AC279),2)</f>
        <v>75.010000000000005</v>
      </c>
    </row>
    <row r="280" spans="1:30" x14ac:dyDescent="0.2">
      <c r="A280">
        <v>282</v>
      </c>
      <c r="B280">
        <v>1</v>
      </c>
      <c r="C280" t="s">
        <v>1275</v>
      </c>
      <c r="D280" t="s">
        <v>1276</v>
      </c>
      <c r="E280" t="s">
        <v>1265</v>
      </c>
      <c r="F280" t="s">
        <v>1277</v>
      </c>
      <c r="G280" t="s">
        <v>1278</v>
      </c>
      <c r="H280" t="s">
        <v>25</v>
      </c>
      <c r="I280" t="s">
        <v>25</v>
      </c>
      <c r="J280" t="s">
        <v>26</v>
      </c>
      <c r="K280" t="s">
        <v>1108</v>
      </c>
      <c r="L280" s="5">
        <v>0.91787965635121038</v>
      </c>
      <c r="M280" s="5">
        <v>0</v>
      </c>
      <c r="N280" s="5">
        <v>8.2120343648850846E-2</v>
      </c>
      <c r="O280" s="5">
        <v>0</v>
      </c>
      <c r="P280" s="5">
        <v>0</v>
      </c>
      <c r="Q280" s="4">
        <f>ROUND((L280*100*1)+(N280*100*2)+(O280*100*3),2)</f>
        <v>108.21</v>
      </c>
      <c r="R280" s="5">
        <v>0.92651258962919147</v>
      </c>
      <c r="S280" s="5">
        <v>0</v>
      </c>
      <c r="T280" s="5">
        <v>5.6671203128286107E-2</v>
      </c>
      <c r="U280" s="5">
        <v>0</v>
      </c>
      <c r="V280" s="5">
        <v>1.6816207242522418E-2</v>
      </c>
      <c r="W280" s="4">
        <f>ROUND((R280*100*1)+(T280*100*2)+(U280*100*3),2)</f>
        <v>103.99</v>
      </c>
      <c r="X280" s="5">
        <v>0.81088841227265851</v>
      </c>
      <c r="Y280" s="5">
        <v>0</v>
      </c>
      <c r="Z280" s="5">
        <v>8.0584734262501928E-2</v>
      </c>
      <c r="AA280" s="5">
        <v>3.099905459831754E-4</v>
      </c>
      <c r="AB280" s="5">
        <v>0.1082168629188565</v>
      </c>
      <c r="AC280" s="4">
        <f>ROUND((X280*100*1)+(Z280*100*2)+(AA280*100*3),2)</f>
        <v>97.3</v>
      </c>
      <c r="AD280">
        <f>ROUND(AVERAGE(Q280,W280,AC280),2)</f>
        <v>103.17</v>
      </c>
    </row>
    <row r="281" spans="1:30" x14ac:dyDescent="0.2">
      <c r="A281">
        <v>283</v>
      </c>
      <c r="B281">
        <v>1</v>
      </c>
      <c r="C281" t="s">
        <v>1279</v>
      </c>
      <c r="D281" t="s">
        <v>1280</v>
      </c>
      <c r="E281" t="s">
        <v>1281</v>
      </c>
      <c r="F281" t="s">
        <v>1282</v>
      </c>
      <c r="H281" t="s">
        <v>25</v>
      </c>
      <c r="I281" t="s">
        <v>25</v>
      </c>
      <c r="J281" t="s">
        <v>26</v>
      </c>
      <c r="K281" t="s">
        <v>650</v>
      </c>
      <c r="L281" s="5">
        <v>0.48669817997984632</v>
      </c>
      <c r="M281" s="5">
        <v>0</v>
      </c>
      <c r="N281" s="5">
        <v>0.103090550945254</v>
      </c>
      <c r="O281" s="5">
        <v>0.21262256179107961</v>
      </c>
      <c r="P281" s="5">
        <v>0.1975887072838203</v>
      </c>
      <c r="Q281" s="4">
        <f>ROUND((L281*100*1)+(N281*100*2)+(O281*100*3),2)</f>
        <v>133.07</v>
      </c>
      <c r="R281" s="5">
        <v>0.76905103101971539</v>
      </c>
      <c r="S281" s="5">
        <v>0</v>
      </c>
      <c r="T281" s="5">
        <v>7.2206688872693631E-2</v>
      </c>
      <c r="U281" s="5">
        <v>5.2590509361939992E-2</v>
      </c>
      <c r="V281" s="5">
        <v>0.10615177074565101</v>
      </c>
      <c r="W281" s="4">
        <f>ROUND((R281*100*1)+(T281*100*2)+(U281*100*3),2)</f>
        <v>107.12</v>
      </c>
      <c r="X281" s="5">
        <v>0.68835001631118153</v>
      </c>
      <c r="Y281" s="5">
        <v>0</v>
      </c>
      <c r="Z281" s="5">
        <v>7.5318839031325482E-2</v>
      </c>
      <c r="AA281" s="5">
        <v>3.4540761287773933E-2</v>
      </c>
      <c r="AB281" s="5">
        <v>0.201790383369719</v>
      </c>
      <c r="AC281" s="4">
        <f>ROUND((X281*100*1)+(Z281*100*2)+(AA281*100*3),2)</f>
        <v>94.26</v>
      </c>
      <c r="AD281">
        <f>ROUND(AVERAGE(Q281,W281,AC281),2)</f>
        <v>111.48</v>
      </c>
    </row>
    <row r="282" spans="1:30" x14ac:dyDescent="0.2">
      <c r="A282">
        <v>284</v>
      </c>
      <c r="B282">
        <v>1</v>
      </c>
      <c r="C282" t="s">
        <v>1283</v>
      </c>
      <c r="D282" t="s">
        <v>1284</v>
      </c>
      <c r="E282" t="s">
        <v>1281</v>
      </c>
      <c r="F282" t="s">
        <v>1285</v>
      </c>
      <c r="H282" t="s">
        <v>25</v>
      </c>
      <c r="I282" t="s">
        <v>25</v>
      </c>
      <c r="J282" t="s">
        <v>26</v>
      </c>
      <c r="K282" t="s">
        <v>650</v>
      </c>
      <c r="L282" s="5">
        <v>0.85626569394765106</v>
      </c>
      <c r="M282" s="5">
        <v>0</v>
      </c>
      <c r="N282" s="5">
        <v>0.1402204792525662</v>
      </c>
      <c r="O282" s="5">
        <v>0</v>
      </c>
      <c r="P282" s="5">
        <v>3.5138267997827381E-3</v>
      </c>
      <c r="Q282" s="4">
        <f>ROUND((L282*100*1)+(N282*100*2)+(O282*100*3),2)</f>
        <v>113.67</v>
      </c>
      <c r="R282" s="5">
        <v>0.72574497554052841</v>
      </c>
      <c r="S282" s="5">
        <v>0</v>
      </c>
      <c r="T282" s="5">
        <v>0.1087393375615795</v>
      </c>
      <c r="U282" s="5">
        <v>3.6855535766733817E-2</v>
      </c>
      <c r="V282" s="5">
        <v>0.12866015113115831</v>
      </c>
      <c r="W282" s="4">
        <f>ROUND((R282*100*1)+(T282*100*2)+(U282*100*3),2)</f>
        <v>105.38</v>
      </c>
      <c r="X282" s="5">
        <v>0.7866565334740333</v>
      </c>
      <c r="Y282" s="5">
        <v>0</v>
      </c>
      <c r="Z282" s="5">
        <v>6.3323651223430158E-2</v>
      </c>
      <c r="AA282" s="5">
        <v>2.5006807188537959E-2</v>
      </c>
      <c r="AB282" s="5">
        <v>0.12501300811399851</v>
      </c>
      <c r="AC282" s="4">
        <f>ROUND((X282*100*1)+(Z282*100*2)+(AA282*100*3),2)</f>
        <v>98.83</v>
      </c>
      <c r="AD282">
        <f>ROUND(AVERAGE(Q282,W282,AC282),2)</f>
        <v>105.96</v>
      </c>
    </row>
    <row r="283" spans="1:30" x14ac:dyDescent="0.2">
      <c r="A283">
        <v>285</v>
      </c>
      <c r="B283">
        <v>2</v>
      </c>
      <c r="C283" t="s">
        <v>1286</v>
      </c>
      <c r="D283" t="s">
        <v>1287</v>
      </c>
      <c r="E283" t="s">
        <v>1288</v>
      </c>
      <c r="F283" t="s">
        <v>1289</v>
      </c>
      <c r="G283" t="s">
        <v>1290</v>
      </c>
      <c r="H283" t="s">
        <v>25</v>
      </c>
      <c r="I283" t="s">
        <v>25</v>
      </c>
      <c r="J283" t="s">
        <v>34</v>
      </c>
      <c r="K283" t="s">
        <v>35</v>
      </c>
      <c r="L283" s="5">
        <v>0</v>
      </c>
      <c r="M283" s="5">
        <v>0</v>
      </c>
      <c r="N283" s="5">
        <v>0.2239087587231357</v>
      </c>
      <c r="O283" s="5">
        <v>0.77609124127693707</v>
      </c>
      <c r="P283" s="5">
        <v>0</v>
      </c>
      <c r="Q283" s="4">
        <f>ROUND((L283*100*1)+(N283*100*2)+(O283*100*3),2)</f>
        <v>277.61</v>
      </c>
      <c r="R283" s="5">
        <v>0</v>
      </c>
      <c r="S283" s="5">
        <v>0</v>
      </c>
      <c r="T283" s="5">
        <v>0.16705454100727629</v>
      </c>
      <c r="U283" s="5">
        <v>0.72997444163108582</v>
      </c>
      <c r="V283" s="5">
        <v>0.1029710173616378</v>
      </c>
      <c r="W283" s="4">
        <f>ROUND((R283*100*1)+(T283*100*2)+(U283*100*3),2)</f>
        <v>252.4</v>
      </c>
      <c r="X283" s="5">
        <v>0</v>
      </c>
      <c r="Y283" s="5">
        <v>0</v>
      </c>
      <c r="Z283" s="5">
        <v>0.16035335242012119</v>
      </c>
      <c r="AA283" s="5">
        <v>0.57126701156043513</v>
      </c>
      <c r="AB283" s="5">
        <v>0.2683796360194437</v>
      </c>
      <c r="AC283" s="4">
        <f>ROUND((X283*100*1)+(Z283*100*2)+(AA283*100*3),2)</f>
        <v>203.45</v>
      </c>
      <c r="AD283">
        <f>ROUND(AVERAGE(Q283,W283,AC283),2)</f>
        <v>244.49</v>
      </c>
    </row>
    <row r="284" spans="1:30" x14ac:dyDescent="0.2">
      <c r="A284">
        <v>286</v>
      </c>
      <c r="B284">
        <v>1</v>
      </c>
      <c r="C284" t="s">
        <v>1291</v>
      </c>
      <c r="D284" t="s">
        <v>1292</v>
      </c>
      <c r="E284" t="s">
        <v>1288</v>
      </c>
      <c r="F284" t="s">
        <v>1293</v>
      </c>
      <c r="G284" t="s">
        <v>1294</v>
      </c>
      <c r="H284" t="s">
        <v>25</v>
      </c>
      <c r="I284" t="s">
        <v>25</v>
      </c>
      <c r="J284" t="s">
        <v>26</v>
      </c>
      <c r="K284" t="s">
        <v>35</v>
      </c>
      <c r="L284" s="5">
        <v>2.4103816504458479E-2</v>
      </c>
      <c r="M284" s="5">
        <v>0</v>
      </c>
      <c r="N284" s="5">
        <v>0.1464469051048074</v>
      </c>
      <c r="O284" s="5">
        <v>0.82944927839076965</v>
      </c>
      <c r="P284" s="5">
        <v>0</v>
      </c>
      <c r="Q284" s="4">
        <f>ROUND((L284*100*1)+(N284*100*2)+(O284*100*3),2)</f>
        <v>280.52999999999997</v>
      </c>
      <c r="R284" s="5">
        <v>0.14062608199701979</v>
      </c>
      <c r="S284" s="5">
        <v>0</v>
      </c>
      <c r="T284" s="5">
        <v>0.14519280883283869</v>
      </c>
      <c r="U284" s="5">
        <v>0.56335969690391963</v>
      </c>
      <c r="V284" s="5">
        <v>0.15082141226622189</v>
      </c>
      <c r="W284" s="4">
        <f>ROUND((R284*100*1)+(T284*100*2)+(U284*100*3),2)</f>
        <v>212.11</v>
      </c>
      <c r="X284" s="5">
        <v>0.1141005020411946</v>
      </c>
      <c r="Y284" s="5">
        <v>0</v>
      </c>
      <c r="Z284" s="5">
        <v>0.11925865493111031</v>
      </c>
      <c r="AA284" s="5">
        <v>0.47932258242458892</v>
      </c>
      <c r="AB284" s="5">
        <v>0.28731826060310622</v>
      </c>
      <c r="AC284" s="4">
        <f>ROUND((X284*100*1)+(Z284*100*2)+(AA284*100*3),2)</f>
        <v>179.06</v>
      </c>
      <c r="AD284">
        <f>ROUND(AVERAGE(Q284,W284,AC284),2)</f>
        <v>223.9</v>
      </c>
    </row>
    <row r="285" spans="1:30" x14ac:dyDescent="0.2">
      <c r="A285">
        <v>287</v>
      </c>
      <c r="B285">
        <v>1</v>
      </c>
      <c r="C285" t="s">
        <v>1295</v>
      </c>
      <c r="D285" t="s">
        <v>1296</v>
      </c>
      <c r="E285" t="s">
        <v>1288</v>
      </c>
      <c r="F285" t="s">
        <v>1297</v>
      </c>
      <c r="G285" t="s">
        <v>1298</v>
      </c>
      <c r="H285" t="s">
        <v>25</v>
      </c>
      <c r="I285" t="s">
        <v>25</v>
      </c>
      <c r="J285" t="s">
        <v>26</v>
      </c>
      <c r="K285" t="s">
        <v>35</v>
      </c>
      <c r="L285" s="5">
        <v>0</v>
      </c>
      <c r="M285" s="5">
        <v>0</v>
      </c>
      <c r="N285" s="5">
        <v>0.34122444917532119</v>
      </c>
      <c r="O285" s="5">
        <v>0.65877555082478723</v>
      </c>
      <c r="P285" s="5">
        <v>0</v>
      </c>
      <c r="Q285" s="4">
        <f>ROUND((L285*100*1)+(N285*100*2)+(O285*100*3),2)</f>
        <v>265.88</v>
      </c>
      <c r="R285" s="5">
        <v>0</v>
      </c>
      <c r="S285" s="5">
        <v>0</v>
      </c>
      <c r="T285" s="5">
        <v>0.24439362900179809</v>
      </c>
      <c r="U285" s="5">
        <v>0.57512658293099395</v>
      </c>
      <c r="V285" s="5">
        <v>0.18047978806720799</v>
      </c>
      <c r="W285" s="4">
        <f>ROUND((R285*100*1)+(T285*100*2)+(U285*100*3),2)</f>
        <v>221.42</v>
      </c>
      <c r="X285" s="5">
        <v>1.305817799067872E-2</v>
      </c>
      <c r="Y285" s="5">
        <v>0</v>
      </c>
      <c r="Z285" s="5">
        <v>0.14761359023508941</v>
      </c>
      <c r="AA285" s="5">
        <v>0.46080644999174081</v>
      </c>
      <c r="AB285" s="5">
        <v>0.37852178178249118</v>
      </c>
      <c r="AC285" s="4">
        <f>ROUND((X285*100*1)+(Z285*100*2)+(AA285*100*3),2)</f>
        <v>169.07</v>
      </c>
      <c r="AD285">
        <f>ROUND(AVERAGE(Q285,W285,AC285),2)</f>
        <v>218.79</v>
      </c>
    </row>
    <row r="286" spans="1:30" x14ac:dyDescent="0.2">
      <c r="A286">
        <v>288</v>
      </c>
      <c r="B286">
        <v>1</v>
      </c>
      <c r="C286" t="s">
        <v>1299</v>
      </c>
      <c r="D286" t="s">
        <v>1300</v>
      </c>
      <c r="E286" t="s">
        <v>1288</v>
      </c>
      <c r="F286" t="s">
        <v>1301</v>
      </c>
      <c r="G286" t="s">
        <v>1302</v>
      </c>
      <c r="H286" t="s">
        <v>25</v>
      </c>
      <c r="I286" t="s">
        <v>25</v>
      </c>
      <c r="J286" t="s">
        <v>26</v>
      </c>
      <c r="K286" t="s">
        <v>43</v>
      </c>
      <c r="L286" s="5">
        <v>0.70256490410411332</v>
      </c>
      <c r="M286" s="5">
        <v>0</v>
      </c>
      <c r="N286" s="5">
        <v>0.2974350958957277</v>
      </c>
      <c r="O286" s="5">
        <v>0</v>
      </c>
      <c r="P286" s="5">
        <v>1.5898393712632239E-13</v>
      </c>
      <c r="Q286" s="4">
        <f>ROUND((L286*100*1)+(N286*100*2)+(O286*100*3),2)</f>
        <v>129.74</v>
      </c>
      <c r="R286" s="5">
        <v>0.84922816797385126</v>
      </c>
      <c r="S286" s="5">
        <v>0</v>
      </c>
      <c r="T286" s="5">
        <v>0.15077183202618669</v>
      </c>
      <c r="U286" s="5">
        <v>0</v>
      </c>
      <c r="V286" s="5">
        <v>0</v>
      </c>
      <c r="W286" s="4">
        <f>ROUND((R286*100*1)+(T286*100*2)+(U286*100*3),2)</f>
        <v>115.08</v>
      </c>
      <c r="X286" s="5">
        <v>0.76588052238103044</v>
      </c>
      <c r="Y286" s="5">
        <v>0</v>
      </c>
      <c r="Z286" s="5">
        <v>0.15009653598929729</v>
      </c>
      <c r="AA286" s="5">
        <v>8.4022941629664061E-2</v>
      </c>
      <c r="AB286" s="5">
        <v>8.2156503822261584E-15</v>
      </c>
      <c r="AC286" s="4">
        <f>ROUND((X286*100*1)+(Z286*100*2)+(AA286*100*3),2)</f>
        <v>131.81</v>
      </c>
      <c r="AD286">
        <f>ROUND(AVERAGE(Q286,W286,AC286),2)</f>
        <v>125.54</v>
      </c>
    </row>
    <row r="287" spans="1:30" x14ac:dyDescent="0.2">
      <c r="A287">
        <v>289</v>
      </c>
      <c r="B287">
        <v>1</v>
      </c>
      <c r="C287" t="s">
        <v>1303</v>
      </c>
      <c r="D287" t="s">
        <v>1304</v>
      </c>
      <c r="E287" t="s">
        <v>1288</v>
      </c>
      <c r="F287" t="s">
        <v>1305</v>
      </c>
      <c r="G287" t="s">
        <v>1306</v>
      </c>
      <c r="H287" t="s">
        <v>25</v>
      </c>
      <c r="I287" t="s">
        <v>25</v>
      </c>
      <c r="J287" t="s">
        <v>26</v>
      </c>
      <c r="K287" t="s">
        <v>35</v>
      </c>
      <c r="L287" s="5">
        <v>0</v>
      </c>
      <c r="M287" s="5">
        <v>0</v>
      </c>
      <c r="N287" s="5">
        <v>7.4888429736870432E-2</v>
      </c>
      <c r="O287" s="5">
        <v>0.92511157026319824</v>
      </c>
      <c r="P287" s="5">
        <v>0</v>
      </c>
      <c r="Q287" s="4">
        <f>ROUND((L287*100*1)+(N287*100*2)+(O287*100*3),2)</f>
        <v>292.51</v>
      </c>
      <c r="R287" s="5">
        <v>7.6678995982275427E-2</v>
      </c>
      <c r="S287" s="5">
        <v>0</v>
      </c>
      <c r="T287" s="5">
        <v>0.13863754812492579</v>
      </c>
      <c r="U287" s="5">
        <v>0.78468345589273025</v>
      </c>
      <c r="V287" s="5">
        <v>6.8500760619372159E-14</v>
      </c>
      <c r="W287" s="4">
        <f>ROUND((R287*100*1)+(T287*100*2)+(U287*100*3),2)</f>
        <v>270.8</v>
      </c>
      <c r="X287" s="5">
        <v>0.18974666060796469</v>
      </c>
      <c r="Y287" s="5">
        <v>0</v>
      </c>
      <c r="Z287" s="5">
        <v>0.17071680656810451</v>
      </c>
      <c r="AA287" s="5">
        <v>0.63953653282395317</v>
      </c>
      <c r="AB287" s="5">
        <v>0</v>
      </c>
      <c r="AC287" s="4">
        <f>ROUND((X287*100*1)+(Z287*100*2)+(AA287*100*3),2)</f>
        <v>244.98</v>
      </c>
      <c r="AD287">
        <f>ROUND(AVERAGE(Q287,W287,AC287),2)</f>
        <v>269.43</v>
      </c>
    </row>
    <row r="288" spans="1:30" x14ac:dyDescent="0.2">
      <c r="A288">
        <v>290</v>
      </c>
      <c r="B288">
        <v>1</v>
      </c>
      <c r="C288" t="s">
        <v>1307</v>
      </c>
      <c r="D288" t="s">
        <v>1308</v>
      </c>
      <c r="E288" t="s">
        <v>1288</v>
      </c>
      <c r="F288" t="s">
        <v>1309</v>
      </c>
      <c r="G288" t="s">
        <v>1310</v>
      </c>
      <c r="H288" t="s">
        <v>25</v>
      </c>
      <c r="I288" t="s">
        <v>25</v>
      </c>
      <c r="J288" t="s">
        <v>26</v>
      </c>
      <c r="K288" t="s">
        <v>35</v>
      </c>
      <c r="L288" s="5">
        <v>1.1579315300949789E-2</v>
      </c>
      <c r="M288" s="5">
        <v>0</v>
      </c>
      <c r="N288" s="5">
        <v>0.16728632393634399</v>
      </c>
      <c r="O288" s="5">
        <v>0.82113436076271162</v>
      </c>
      <c r="P288" s="5">
        <v>0</v>
      </c>
      <c r="Q288" s="4">
        <f>ROUND((L288*100*1)+(N288*100*2)+(O288*100*3),2)</f>
        <v>280.95999999999998</v>
      </c>
      <c r="R288" s="5">
        <v>0.111717934800141</v>
      </c>
      <c r="S288" s="5">
        <v>0</v>
      </c>
      <c r="T288" s="5">
        <v>0.12768707449288391</v>
      </c>
      <c r="U288" s="5">
        <v>0.76059499070694447</v>
      </c>
      <c r="V288" s="5">
        <v>3.0642155479654321E-14</v>
      </c>
      <c r="W288" s="4">
        <f>ROUND((R288*100*1)+(T288*100*2)+(U288*100*3),2)</f>
        <v>264.89</v>
      </c>
      <c r="X288" s="5">
        <v>0.1098385180096076</v>
      </c>
      <c r="Y288" s="5">
        <v>0</v>
      </c>
      <c r="Z288" s="5">
        <v>0.16194670365706959</v>
      </c>
      <c r="AA288" s="5">
        <v>0.72821477833334824</v>
      </c>
      <c r="AB288" s="5">
        <v>0</v>
      </c>
      <c r="AC288" s="4">
        <f>ROUND((X288*100*1)+(Z288*100*2)+(AA288*100*3),2)</f>
        <v>261.83999999999997</v>
      </c>
      <c r="AD288">
        <f>ROUND(AVERAGE(Q288,W288,AC288),2)</f>
        <v>269.23</v>
      </c>
    </row>
    <row r="289" spans="1:30" x14ac:dyDescent="0.2">
      <c r="A289">
        <v>291</v>
      </c>
      <c r="B289">
        <v>1</v>
      </c>
      <c r="C289" t="s">
        <v>1311</v>
      </c>
      <c r="D289" t="s">
        <v>1312</v>
      </c>
      <c r="E289" t="s">
        <v>1288</v>
      </c>
      <c r="F289" t="s">
        <v>1313</v>
      </c>
      <c r="G289" t="s">
        <v>1314</v>
      </c>
      <c r="H289" t="s">
        <v>25</v>
      </c>
      <c r="I289" t="s">
        <v>25</v>
      </c>
      <c r="J289" t="s">
        <v>26</v>
      </c>
      <c r="K289" t="s">
        <v>650</v>
      </c>
      <c r="L289" s="5">
        <v>0.32415051218153318</v>
      </c>
      <c r="M289" s="5">
        <v>0</v>
      </c>
      <c r="N289" s="5">
        <v>0.1975725489608626</v>
      </c>
      <c r="O289" s="5">
        <v>0.47827693885772282</v>
      </c>
      <c r="P289" s="5">
        <v>0</v>
      </c>
      <c r="Q289" s="4">
        <f>ROUND((L289*100*1)+(N289*100*2)+(O289*100*3),2)</f>
        <v>215.41</v>
      </c>
      <c r="R289" s="5">
        <v>0.5514983047788995</v>
      </c>
      <c r="S289" s="5">
        <v>0</v>
      </c>
      <c r="T289" s="5">
        <v>0.15148275724956431</v>
      </c>
      <c r="U289" s="5">
        <v>0.2970189379715838</v>
      </c>
      <c r="V289" s="5">
        <v>0</v>
      </c>
      <c r="W289" s="4">
        <f>ROUND((R289*100*1)+(T289*100*2)+(U289*100*3),2)</f>
        <v>174.55</v>
      </c>
      <c r="X289" s="5">
        <v>0.49715311205042828</v>
      </c>
      <c r="Y289" s="5">
        <v>0</v>
      </c>
      <c r="Z289" s="5">
        <v>0.14644673332996491</v>
      </c>
      <c r="AA289" s="5">
        <v>0.35640015461962438</v>
      </c>
      <c r="AB289" s="5">
        <v>0</v>
      </c>
      <c r="AC289" s="4">
        <f>ROUND((X289*100*1)+(Z289*100*2)+(AA289*100*3),2)</f>
        <v>185.92</v>
      </c>
      <c r="AD289">
        <f>ROUND(AVERAGE(Q289,W289,AC289),2)</f>
        <v>191.96</v>
      </c>
    </row>
    <row r="290" spans="1:30" x14ac:dyDescent="0.2">
      <c r="A290">
        <v>292</v>
      </c>
      <c r="B290">
        <v>1</v>
      </c>
      <c r="C290" t="s">
        <v>1315</v>
      </c>
      <c r="D290" t="s">
        <v>1316</v>
      </c>
      <c r="E290" t="s">
        <v>1317</v>
      </c>
      <c r="F290" t="s">
        <v>1318</v>
      </c>
      <c r="G290" t="s">
        <v>1319</v>
      </c>
      <c r="H290" t="s">
        <v>25</v>
      </c>
      <c r="I290" t="s">
        <v>25</v>
      </c>
      <c r="J290" t="s">
        <v>26</v>
      </c>
      <c r="K290" t="s">
        <v>650</v>
      </c>
      <c r="L290" s="5">
        <v>0.33392095846711051</v>
      </c>
      <c r="M290" s="5">
        <v>0</v>
      </c>
      <c r="N290" s="5">
        <v>3.518905624496476E-2</v>
      </c>
      <c r="O290" s="5">
        <v>5.5537392411661281E-3</v>
      </c>
      <c r="P290" s="5">
        <v>0.62533624604675864</v>
      </c>
      <c r="Q290" s="4">
        <f>ROUND((L290*100*1)+(N290*100*2)+(O290*100*3),2)</f>
        <v>42.1</v>
      </c>
      <c r="R290" s="5">
        <v>0.5849739583828556</v>
      </c>
      <c r="S290" s="5">
        <v>0</v>
      </c>
      <c r="T290" s="5">
        <v>9.0550087601659751E-2</v>
      </c>
      <c r="U290" s="5">
        <v>9.7062895987243946E-3</v>
      </c>
      <c r="V290" s="5">
        <v>0.31476966441676019</v>
      </c>
      <c r="W290" s="4">
        <f>ROUND((R290*100*1)+(T290*100*2)+(U290*100*3),2)</f>
        <v>79.52</v>
      </c>
      <c r="X290" s="5">
        <v>0.71623723766482095</v>
      </c>
      <c r="Y290" s="5">
        <v>0</v>
      </c>
      <c r="Z290" s="5">
        <v>0.11396552341465881</v>
      </c>
      <c r="AA290" s="5">
        <v>4.785032854492781E-3</v>
      </c>
      <c r="AB290" s="5">
        <v>0.16501220606602751</v>
      </c>
      <c r="AC290" s="4">
        <f>ROUND((X290*100*1)+(Z290*100*2)+(AA290*100*3),2)</f>
        <v>95.85</v>
      </c>
      <c r="AD290">
        <f>ROUND(AVERAGE(Q290,W290,AC290),2)</f>
        <v>72.489999999999995</v>
      </c>
    </row>
    <row r="291" spans="1:30" x14ac:dyDescent="0.2">
      <c r="A291">
        <v>293</v>
      </c>
      <c r="B291">
        <v>1</v>
      </c>
      <c r="C291" t="s">
        <v>1320</v>
      </c>
      <c r="D291" t="s">
        <v>1321</v>
      </c>
      <c r="E291" t="s">
        <v>1322</v>
      </c>
      <c r="F291" t="s">
        <v>1323</v>
      </c>
      <c r="G291" t="s">
        <v>1324</v>
      </c>
      <c r="H291" t="s">
        <v>25</v>
      </c>
      <c r="I291" t="s">
        <v>25</v>
      </c>
      <c r="J291" t="s">
        <v>34</v>
      </c>
      <c r="K291" t="s">
        <v>650</v>
      </c>
      <c r="L291" s="5">
        <v>0.76557997360858376</v>
      </c>
      <c r="M291" s="5">
        <v>0</v>
      </c>
      <c r="N291" s="5">
        <v>0.23442002639151949</v>
      </c>
      <c r="O291" s="5">
        <v>0</v>
      </c>
      <c r="P291" s="5">
        <v>0</v>
      </c>
      <c r="Q291" s="4">
        <f>ROUND((L291*100*1)+(N291*100*2)+(O291*100*3),2)</f>
        <v>123.44</v>
      </c>
      <c r="R291" s="5">
        <v>0.73644369007011223</v>
      </c>
      <c r="S291" s="5">
        <v>0</v>
      </c>
      <c r="T291" s="5">
        <v>0.16483269115690949</v>
      </c>
      <c r="U291" s="5">
        <v>9.87236187730125E-2</v>
      </c>
      <c r="V291" s="5">
        <v>0</v>
      </c>
      <c r="W291" s="4">
        <f>ROUND((R291*100*1)+(T291*100*2)+(U291*100*3),2)</f>
        <v>136.22999999999999</v>
      </c>
      <c r="X291" s="5">
        <v>0.73716744723456507</v>
      </c>
      <c r="Y291" s="5">
        <v>0</v>
      </c>
      <c r="Z291" s="5">
        <v>0.15925076356750281</v>
      </c>
      <c r="AA291" s="5">
        <v>0.1035817891979246</v>
      </c>
      <c r="AB291" s="5">
        <v>7.5495165674510645E-15</v>
      </c>
      <c r="AC291" s="4">
        <f>ROUND((X291*100*1)+(Z291*100*2)+(AA291*100*3),2)</f>
        <v>136.63999999999999</v>
      </c>
      <c r="AD291">
        <f>ROUND(AVERAGE(Q291,W291,AC291),2)</f>
        <v>132.1</v>
      </c>
    </row>
    <row r="292" spans="1:30" x14ac:dyDescent="0.2">
      <c r="A292">
        <v>294</v>
      </c>
      <c r="B292">
        <v>1</v>
      </c>
      <c r="C292" t="s">
        <v>1325</v>
      </c>
      <c r="D292" t="s">
        <v>1326</v>
      </c>
      <c r="E292" t="s">
        <v>1327</v>
      </c>
      <c r="F292" t="s">
        <v>1328</v>
      </c>
      <c r="H292" t="s">
        <v>25</v>
      </c>
      <c r="I292" t="s">
        <v>25</v>
      </c>
      <c r="J292" t="s">
        <v>92</v>
      </c>
      <c r="K292" t="s">
        <v>650</v>
      </c>
      <c r="L292" s="5">
        <v>1</v>
      </c>
      <c r="M292" s="5">
        <v>0</v>
      </c>
      <c r="N292" s="5">
        <v>0</v>
      </c>
      <c r="O292" s="5">
        <v>0</v>
      </c>
      <c r="P292" s="5">
        <v>0</v>
      </c>
      <c r="Q292" s="4">
        <f>ROUND((L292*100*1)+(N292*100*2)+(O292*100*3),2)</f>
        <v>100</v>
      </c>
      <c r="R292" s="5">
        <v>0.99650228896848325</v>
      </c>
      <c r="S292" s="5">
        <v>0</v>
      </c>
      <c r="T292" s="5">
        <v>0</v>
      </c>
      <c r="U292" s="5">
        <v>0</v>
      </c>
      <c r="V292" s="5">
        <v>3.4977110315167481E-3</v>
      </c>
      <c r="W292" s="4">
        <f>ROUND((R292*100*1)+(T292*100*2)+(U292*100*3),2)</f>
        <v>99.65</v>
      </c>
      <c r="X292" s="5">
        <v>0.9548751403671959</v>
      </c>
      <c r="Y292" s="5">
        <v>0</v>
      </c>
      <c r="Z292" s="5">
        <v>2.1092049610740252E-2</v>
      </c>
      <c r="AA292" s="5">
        <v>1.4753180698130271E-3</v>
      </c>
      <c r="AB292" s="5">
        <v>2.255749195225076E-2</v>
      </c>
      <c r="AC292" s="4">
        <f>ROUND((X292*100*1)+(Z292*100*2)+(AA292*100*3),2)</f>
        <v>100.15</v>
      </c>
      <c r="AD292">
        <f>ROUND(AVERAGE(Q292,W292,AC292),2)</f>
        <v>99.93</v>
      </c>
    </row>
    <row r="293" spans="1:30" x14ac:dyDescent="0.2">
      <c r="A293">
        <v>295</v>
      </c>
      <c r="B293">
        <v>1</v>
      </c>
      <c r="C293" t="s">
        <v>1329</v>
      </c>
      <c r="D293" t="s">
        <v>1330</v>
      </c>
      <c r="E293" t="s">
        <v>1327</v>
      </c>
      <c r="F293" t="s">
        <v>1331</v>
      </c>
      <c r="G293" t="s">
        <v>1332</v>
      </c>
      <c r="H293" t="s">
        <v>25</v>
      </c>
      <c r="I293" t="s">
        <v>25</v>
      </c>
      <c r="J293" t="s">
        <v>26</v>
      </c>
      <c r="K293" t="s">
        <v>650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4">
        <f>ROUND((L293*100*1)+(N293*100*2)+(O293*100*3),2)</f>
        <v>100</v>
      </c>
      <c r="R293" s="5">
        <v>0.97579131775089356</v>
      </c>
      <c r="S293" s="5">
        <v>0</v>
      </c>
      <c r="T293" s="5">
        <v>2.420868224911293E-2</v>
      </c>
      <c r="U293" s="5">
        <v>0</v>
      </c>
      <c r="V293" s="5">
        <v>0</v>
      </c>
      <c r="W293" s="4">
        <f>ROUND((R293*100*1)+(T293*100*2)+(U293*100*3),2)</f>
        <v>102.42</v>
      </c>
      <c r="X293" s="5">
        <v>0.9727529543697635</v>
      </c>
      <c r="Y293" s="5">
        <v>0</v>
      </c>
      <c r="Z293" s="5">
        <v>2.7247045630237509E-2</v>
      </c>
      <c r="AA293" s="5">
        <v>0</v>
      </c>
      <c r="AB293" s="5">
        <v>0</v>
      </c>
      <c r="AC293" s="4">
        <f>ROUND((X293*100*1)+(Z293*100*2)+(AA293*100*3),2)</f>
        <v>102.72</v>
      </c>
      <c r="AD293">
        <f>ROUND(AVERAGE(Q293,W293,AC293),2)</f>
        <v>101.71</v>
      </c>
    </row>
    <row r="294" spans="1:30" x14ac:dyDescent="0.2">
      <c r="A294">
        <v>296</v>
      </c>
      <c r="B294">
        <v>1</v>
      </c>
      <c r="C294" t="s">
        <v>1333</v>
      </c>
      <c r="D294" t="s">
        <v>1334</v>
      </c>
      <c r="E294" t="s">
        <v>1327</v>
      </c>
      <c r="F294" t="s">
        <v>1335</v>
      </c>
      <c r="H294" t="s">
        <v>25</v>
      </c>
      <c r="I294" t="s">
        <v>25</v>
      </c>
      <c r="J294" t="s">
        <v>26</v>
      </c>
      <c r="K294" t="s">
        <v>650</v>
      </c>
      <c r="L294" s="5">
        <v>0.69506816738906041</v>
      </c>
      <c r="M294" s="5">
        <v>0</v>
      </c>
      <c r="N294" s="5">
        <v>0.13809623708251781</v>
      </c>
      <c r="O294" s="5">
        <v>0.13988101388672791</v>
      </c>
      <c r="P294" s="5">
        <v>2.6954581641693839E-2</v>
      </c>
      <c r="Q294" s="4">
        <f>ROUND((L294*100*1)+(N294*100*2)+(O294*100*3),2)</f>
        <v>139.09</v>
      </c>
      <c r="R294" s="5">
        <v>0.7706814711576766</v>
      </c>
      <c r="S294" s="5">
        <v>0</v>
      </c>
      <c r="T294" s="5">
        <v>7.9176755456960457E-2</v>
      </c>
      <c r="U294" s="5">
        <v>0.14031556170008461</v>
      </c>
      <c r="V294" s="5">
        <v>9.8262116852783077E-3</v>
      </c>
      <c r="W294" s="4">
        <f>ROUND((R294*100*1)+(T294*100*2)+(U294*100*3),2)</f>
        <v>135</v>
      </c>
      <c r="X294" s="5">
        <v>0.80503574110177312</v>
      </c>
      <c r="Y294" s="5">
        <v>0</v>
      </c>
      <c r="Z294" s="5">
        <v>6.5295289916497773E-2</v>
      </c>
      <c r="AA294" s="5">
        <v>0.1031218254773974</v>
      </c>
      <c r="AB294" s="5">
        <v>2.6547143504331631E-2</v>
      </c>
      <c r="AC294" s="4">
        <f>ROUND((X294*100*1)+(Z294*100*2)+(AA294*100*3),2)</f>
        <v>124.5</v>
      </c>
      <c r="AD294">
        <f>ROUND(AVERAGE(Q294,W294,AC294),2)</f>
        <v>132.86000000000001</v>
      </c>
    </row>
    <row r="295" spans="1:30" x14ac:dyDescent="0.2">
      <c r="A295">
        <v>297</v>
      </c>
      <c r="B295">
        <v>1</v>
      </c>
      <c r="C295" t="s">
        <v>1336</v>
      </c>
      <c r="D295" t="s">
        <v>1337</v>
      </c>
      <c r="E295" t="s">
        <v>1338</v>
      </c>
      <c r="F295" t="s">
        <v>1339</v>
      </c>
      <c r="G295" t="s">
        <v>1340</v>
      </c>
      <c r="H295" t="s">
        <v>25</v>
      </c>
      <c r="I295" t="s">
        <v>25</v>
      </c>
      <c r="J295" t="s">
        <v>34</v>
      </c>
      <c r="K295" t="s">
        <v>650</v>
      </c>
      <c r="L295" s="5">
        <v>0.95933859657387821</v>
      </c>
      <c r="M295" s="5">
        <v>0</v>
      </c>
      <c r="N295" s="5">
        <v>0</v>
      </c>
      <c r="O295" s="5">
        <v>0</v>
      </c>
      <c r="P295" s="5">
        <v>4.0661403426121789E-2</v>
      </c>
      <c r="Q295" s="4">
        <f>ROUND((L295*100*1)+(N295*100*2)+(O295*100*3),2)</f>
        <v>95.93</v>
      </c>
      <c r="R295" s="5">
        <v>0.77907792535658138</v>
      </c>
      <c r="S295" s="5">
        <v>0</v>
      </c>
      <c r="T295" s="5">
        <v>3.4062840415965412E-2</v>
      </c>
      <c r="U295" s="5">
        <v>1.8981818655388609E-3</v>
      </c>
      <c r="V295" s="5">
        <v>0.1849610523619144</v>
      </c>
      <c r="W295" s="4">
        <f>ROUND((R295*100*1)+(T295*100*2)+(U295*100*3),2)</f>
        <v>85.29</v>
      </c>
      <c r="X295" s="5">
        <v>0.74978833318739624</v>
      </c>
      <c r="Y295" s="5">
        <v>0</v>
      </c>
      <c r="Z295" s="5">
        <v>5.7807908011970763E-2</v>
      </c>
      <c r="AA295" s="5">
        <v>2.7755603722256581E-2</v>
      </c>
      <c r="AB295" s="5">
        <v>0.16464815507837641</v>
      </c>
      <c r="AC295" s="4">
        <f>ROUND((X295*100*1)+(Z295*100*2)+(AA295*100*3),2)</f>
        <v>94.87</v>
      </c>
      <c r="AD295">
        <f>ROUND(AVERAGE(Q295,W295,AC295),2)</f>
        <v>92.03</v>
      </c>
    </row>
    <row r="296" spans="1:30" x14ac:dyDescent="0.2">
      <c r="A296">
        <v>298</v>
      </c>
      <c r="B296">
        <v>1</v>
      </c>
      <c r="C296" t="s">
        <v>1341</v>
      </c>
      <c r="D296" t="s">
        <v>1342</v>
      </c>
      <c r="E296" t="s">
        <v>1338</v>
      </c>
      <c r="F296" t="s">
        <v>1343</v>
      </c>
      <c r="G296" t="s">
        <v>1344</v>
      </c>
      <c r="H296" t="s">
        <v>25</v>
      </c>
      <c r="I296" t="s">
        <v>25</v>
      </c>
      <c r="J296" t="s">
        <v>34</v>
      </c>
      <c r="K296" t="s">
        <v>650</v>
      </c>
      <c r="L296" s="5">
        <v>0.79048295081265663</v>
      </c>
      <c r="M296" s="5">
        <v>0</v>
      </c>
      <c r="N296" s="5">
        <v>0.209517049187398</v>
      </c>
      <c r="O296" s="5">
        <v>0</v>
      </c>
      <c r="P296" s="5">
        <v>0</v>
      </c>
      <c r="Q296" s="4">
        <f>ROUND((L296*100*1)+(N296*100*2)+(O296*100*3),2)</f>
        <v>120.95</v>
      </c>
      <c r="R296" s="5">
        <v>0.95316880823685135</v>
      </c>
      <c r="S296" s="5">
        <v>0</v>
      </c>
      <c r="T296" s="5">
        <v>4.6831191763147838E-2</v>
      </c>
      <c r="U296" s="5">
        <v>0</v>
      </c>
      <c r="V296" s="5">
        <v>7.7715611723760958E-16</v>
      </c>
      <c r="W296" s="4">
        <f>ROUND((R296*100*1)+(T296*100*2)+(U296*100*3),2)</f>
        <v>104.68</v>
      </c>
      <c r="X296" s="5">
        <v>0.87493713760432068</v>
      </c>
      <c r="Y296" s="5">
        <v>0</v>
      </c>
      <c r="Z296" s="5">
        <v>3.2830873329208962E-2</v>
      </c>
      <c r="AA296" s="5">
        <v>1.161188700947374E-3</v>
      </c>
      <c r="AB296" s="5">
        <v>9.1070800365522953E-2</v>
      </c>
      <c r="AC296" s="4">
        <f>ROUND((X296*100*1)+(Z296*100*2)+(AA296*100*3),2)</f>
        <v>94.41</v>
      </c>
      <c r="AD296">
        <f>ROUND(AVERAGE(Q296,W296,AC296),2)</f>
        <v>106.68</v>
      </c>
    </row>
    <row r="297" spans="1:30" x14ac:dyDescent="0.2">
      <c r="A297">
        <v>299</v>
      </c>
      <c r="B297">
        <v>1</v>
      </c>
      <c r="C297" t="s">
        <v>1345</v>
      </c>
      <c r="D297" t="s">
        <v>1346</v>
      </c>
      <c r="E297" t="s">
        <v>1347</v>
      </c>
      <c r="F297" t="s">
        <v>1348</v>
      </c>
      <c r="G297" t="s">
        <v>1349</v>
      </c>
      <c r="H297" t="s">
        <v>25</v>
      </c>
      <c r="I297" t="s">
        <v>25</v>
      </c>
      <c r="J297" t="s">
        <v>26</v>
      </c>
      <c r="K297" t="s">
        <v>43</v>
      </c>
      <c r="L297" s="5">
        <v>0.98373436870839648</v>
      </c>
      <c r="M297" s="5">
        <v>0</v>
      </c>
      <c r="N297" s="5">
        <v>5.4679329785854124E-3</v>
      </c>
      <c r="O297" s="5">
        <v>0</v>
      </c>
      <c r="P297" s="5">
        <v>1.079769831301813E-2</v>
      </c>
      <c r="Q297" s="4">
        <f>ROUND((L297*100*1)+(N297*100*2)+(O297*100*3),2)</f>
        <v>99.47</v>
      </c>
      <c r="R297" s="5">
        <v>0.8833013473652761</v>
      </c>
      <c r="S297" s="5">
        <v>0</v>
      </c>
      <c r="T297" s="5">
        <v>6.1701735065522713E-2</v>
      </c>
      <c r="U297" s="5">
        <v>2.1757318248024311E-2</v>
      </c>
      <c r="V297" s="5">
        <v>3.3239599321176927E-2</v>
      </c>
      <c r="W297" s="4">
        <f>ROUND((R297*100*1)+(T297*100*2)+(U297*100*3),2)</f>
        <v>107.2</v>
      </c>
      <c r="X297" s="5">
        <v>0.91666530033261262</v>
      </c>
      <c r="Y297" s="5">
        <v>0</v>
      </c>
      <c r="Z297" s="5">
        <v>3.5623583178948801E-2</v>
      </c>
      <c r="AA297" s="5">
        <v>7.7531527675685358E-3</v>
      </c>
      <c r="AB297" s="5">
        <v>3.9957963720870023E-2</v>
      </c>
      <c r="AC297" s="4">
        <f>ROUND((X297*100*1)+(Z297*100*2)+(AA297*100*3),2)</f>
        <v>101.12</v>
      </c>
      <c r="AD297">
        <f>ROUND(AVERAGE(Q297,W297,AC297),2)</f>
        <v>102.6</v>
      </c>
    </row>
    <row r="298" spans="1:30" x14ac:dyDescent="0.2">
      <c r="A298">
        <v>320</v>
      </c>
      <c r="B298">
        <v>1</v>
      </c>
      <c r="C298" t="s">
        <v>1350</v>
      </c>
      <c r="D298" t="s">
        <v>1351</v>
      </c>
      <c r="E298" t="s">
        <v>109</v>
      </c>
      <c r="H298" t="s">
        <v>67</v>
      </c>
      <c r="I298" t="s">
        <v>67</v>
      </c>
      <c r="J298" t="s">
        <v>92</v>
      </c>
      <c r="K298" t="s">
        <v>187</v>
      </c>
      <c r="L298" s="5">
        <v>0</v>
      </c>
      <c r="M298" s="5">
        <v>0</v>
      </c>
      <c r="N298" s="5">
        <v>0.30766750627045791</v>
      </c>
      <c r="O298" s="5">
        <v>0.69233249372937444</v>
      </c>
      <c r="P298" s="5">
        <v>1.6764367671839861E-13</v>
      </c>
      <c r="Q298" s="4">
        <f>ROUND((L298*100*1)+(N298*100*2)+(O298*100*3),2)</f>
        <v>269.23</v>
      </c>
      <c r="R298" s="5">
        <v>1.291878969893983E-2</v>
      </c>
      <c r="S298" s="5">
        <v>0</v>
      </c>
      <c r="T298" s="5">
        <v>0.2446773904069148</v>
      </c>
      <c r="U298" s="5">
        <v>0.57315589531973832</v>
      </c>
      <c r="V298" s="5">
        <v>0.1692479245744071</v>
      </c>
      <c r="W298" s="4">
        <f>ROUND((R298*100*1)+(T298*100*2)+(U298*100*3),2)</f>
        <v>222.17</v>
      </c>
      <c r="X298" s="5">
        <v>0.22000182884922351</v>
      </c>
      <c r="Y298" s="5">
        <v>0</v>
      </c>
      <c r="Z298" s="5">
        <v>0.15207185043716839</v>
      </c>
      <c r="AA298" s="5">
        <v>0.30098861450398029</v>
      </c>
      <c r="AB298" s="5">
        <v>0.32693770620962792</v>
      </c>
      <c r="AC298" s="4">
        <f>ROUND((X298*100*1)+(Z298*100*2)+(AA298*100*3),2)</f>
        <v>142.71</v>
      </c>
      <c r="AD298">
        <f>ROUND(AVERAGE(Q298,W298,AC298),2)</f>
        <v>211.37</v>
      </c>
    </row>
    <row r="299" spans="1:30" x14ac:dyDescent="0.2">
      <c r="A299">
        <v>321</v>
      </c>
      <c r="B299">
        <v>1</v>
      </c>
      <c r="C299" t="s">
        <v>1352</v>
      </c>
      <c r="D299" t="s">
        <v>1353</v>
      </c>
      <c r="E299" t="s">
        <v>1354</v>
      </c>
      <c r="H299" t="s">
        <v>25</v>
      </c>
      <c r="I299" t="s">
        <v>25</v>
      </c>
      <c r="J299" t="s">
        <v>92</v>
      </c>
      <c r="K299" t="s">
        <v>1355</v>
      </c>
      <c r="L299" s="5">
        <v>0.27132910479174338</v>
      </c>
      <c r="M299" s="5">
        <v>0</v>
      </c>
      <c r="N299" s="5">
        <v>0</v>
      </c>
      <c r="O299" s="5">
        <v>0</v>
      </c>
      <c r="P299" s="5">
        <v>0.72867089520825656</v>
      </c>
      <c r="Q299" s="4">
        <f>ROUND((L299*100*1)+(N299*100*2)+(O299*100*3),2)</f>
        <v>27.13</v>
      </c>
      <c r="R299" s="5">
        <v>0.33107762135762547</v>
      </c>
      <c r="S299" s="5">
        <v>0</v>
      </c>
      <c r="T299" s="5">
        <v>0.1007591545465651</v>
      </c>
      <c r="U299" s="5">
        <v>9.2222497475697607E-2</v>
      </c>
      <c r="V299" s="5">
        <v>0.47594072662011178</v>
      </c>
      <c r="W299" s="4">
        <f>ROUND((R299*100*1)+(T299*100*2)+(U299*100*3),2)</f>
        <v>80.930000000000007</v>
      </c>
      <c r="X299" s="5">
        <v>0.29582962641089577</v>
      </c>
      <c r="Y299" s="5">
        <v>0</v>
      </c>
      <c r="Z299" s="5">
        <v>0.1113186912561782</v>
      </c>
      <c r="AA299" s="5">
        <v>0.12861445048894329</v>
      </c>
      <c r="AB299" s="5">
        <v>0.46423723184398258</v>
      </c>
      <c r="AC299" s="4">
        <f>ROUND((X299*100*1)+(Z299*100*2)+(AA299*100*3),2)</f>
        <v>90.43</v>
      </c>
      <c r="AD299">
        <f>ROUND(AVERAGE(Q299,W299,AC299),2)</f>
        <v>66.16</v>
      </c>
    </row>
    <row r="300" spans="1:30" x14ac:dyDescent="0.2">
      <c r="A300">
        <v>322</v>
      </c>
      <c r="B300">
        <v>1</v>
      </c>
      <c r="C300" t="s">
        <v>1356</v>
      </c>
      <c r="D300" t="s">
        <v>1357</v>
      </c>
      <c r="E300" t="s">
        <v>1358</v>
      </c>
      <c r="H300" t="s">
        <v>25</v>
      </c>
      <c r="I300" t="s">
        <v>25</v>
      </c>
      <c r="J300" t="s">
        <v>92</v>
      </c>
      <c r="K300" t="s">
        <v>878</v>
      </c>
      <c r="L300" s="5">
        <v>0.1261941073699139</v>
      </c>
      <c r="M300" s="5">
        <v>0</v>
      </c>
      <c r="N300" s="5">
        <v>0.289785589774261</v>
      </c>
      <c r="O300" s="5">
        <v>0.58402030285601569</v>
      </c>
      <c r="P300" s="5">
        <v>0</v>
      </c>
      <c r="Q300" s="4">
        <f>ROUND((L300*100*1)+(N300*100*2)+(O300*100*3),2)</f>
        <v>245.78</v>
      </c>
      <c r="R300" s="5">
        <v>0.34454949721389699</v>
      </c>
      <c r="S300" s="5">
        <v>0</v>
      </c>
      <c r="T300" s="5">
        <v>0.2225183378492232</v>
      </c>
      <c r="U300" s="5">
        <v>0.39408975425309489</v>
      </c>
      <c r="V300" s="5">
        <v>3.88424106837848E-2</v>
      </c>
      <c r="W300" s="4">
        <f>ROUND((R300*100*1)+(T300*100*2)+(U300*100*3),2)</f>
        <v>197.19</v>
      </c>
      <c r="X300" s="5">
        <v>0.60536654902611642</v>
      </c>
      <c r="Y300" s="5">
        <v>0</v>
      </c>
      <c r="Z300" s="5">
        <v>0.15223923292226099</v>
      </c>
      <c r="AA300" s="5">
        <v>0.2234716512923752</v>
      </c>
      <c r="AB300" s="5">
        <v>1.8922566759247309E-2</v>
      </c>
      <c r="AC300" s="4">
        <f>ROUND((X300*100*1)+(Z300*100*2)+(AA300*100*3),2)</f>
        <v>158.03</v>
      </c>
      <c r="AD300">
        <f>ROUND(AVERAGE(Q300,W300,AC300),2)</f>
        <v>200.33</v>
      </c>
    </row>
    <row r="301" spans="1:30" x14ac:dyDescent="0.2">
      <c r="A301">
        <v>323</v>
      </c>
      <c r="B301">
        <v>1</v>
      </c>
      <c r="C301" t="s">
        <v>1359</v>
      </c>
      <c r="D301" t="s">
        <v>1360</v>
      </c>
      <c r="E301" t="s">
        <v>1361</v>
      </c>
      <c r="H301" t="s">
        <v>25</v>
      </c>
      <c r="I301" t="s">
        <v>25</v>
      </c>
      <c r="J301" t="s">
        <v>26</v>
      </c>
      <c r="K301" t="s">
        <v>1362</v>
      </c>
      <c r="L301" s="5">
        <v>0</v>
      </c>
      <c r="M301" s="5">
        <v>0</v>
      </c>
      <c r="N301" s="5">
        <v>0.42079010451151189</v>
      </c>
      <c r="O301" s="5">
        <v>0.57920989548837931</v>
      </c>
      <c r="P301" s="5">
        <v>1.088018564132653E-13</v>
      </c>
      <c r="Q301" s="4">
        <f>ROUND((L301*100*1)+(N301*100*2)+(O301*100*3),2)</f>
        <v>257.92</v>
      </c>
      <c r="R301" s="5">
        <v>1.059056310883688E-4</v>
      </c>
      <c r="S301" s="5">
        <v>0</v>
      </c>
      <c r="T301" s="5">
        <v>0.30134655315808517</v>
      </c>
      <c r="U301" s="5">
        <v>0.4802123760892601</v>
      </c>
      <c r="V301" s="5">
        <v>0.21833516512156639</v>
      </c>
      <c r="W301" s="4">
        <f>ROUND((R301*100*1)+(T301*100*2)+(U301*100*3),2)</f>
        <v>204.34</v>
      </c>
      <c r="X301" s="5">
        <v>0.20268280889273099</v>
      </c>
      <c r="Y301" s="5">
        <v>0</v>
      </c>
      <c r="Z301" s="5">
        <v>0.1833986666532427</v>
      </c>
      <c r="AA301" s="5">
        <v>0.20115781370127711</v>
      </c>
      <c r="AB301" s="5">
        <v>0.41276071075274923</v>
      </c>
      <c r="AC301" s="4">
        <f>ROUND((X301*100*1)+(Z301*100*2)+(AA301*100*3),2)</f>
        <v>117.3</v>
      </c>
      <c r="AD301">
        <f>ROUND(AVERAGE(Q301,W301,AC301),2)</f>
        <v>193.19</v>
      </c>
    </row>
    <row r="302" spans="1:30" x14ac:dyDescent="0.2">
      <c r="A302">
        <v>324</v>
      </c>
      <c r="B302">
        <v>1</v>
      </c>
      <c r="C302" t="s">
        <v>1363</v>
      </c>
      <c r="D302" t="s">
        <v>1364</v>
      </c>
      <c r="E302" t="s">
        <v>1365</v>
      </c>
      <c r="H302" t="s">
        <v>67</v>
      </c>
      <c r="I302" t="s">
        <v>67</v>
      </c>
      <c r="J302" t="s">
        <v>26</v>
      </c>
      <c r="K302" t="s">
        <v>585</v>
      </c>
      <c r="L302" s="5">
        <v>0.53818932407927955</v>
      </c>
      <c r="M302" s="5">
        <v>0</v>
      </c>
      <c r="N302" s="5">
        <v>0.24934322739774131</v>
      </c>
      <c r="O302" s="5">
        <v>0.21246744852300289</v>
      </c>
      <c r="P302" s="5">
        <v>0</v>
      </c>
      <c r="Q302" s="4">
        <f>ROUND((L302*100*1)+(N302*100*2)+(O302*100*3),2)</f>
        <v>167.43</v>
      </c>
      <c r="R302" s="5">
        <v>0.7098951593865187</v>
      </c>
      <c r="S302" s="5">
        <v>0</v>
      </c>
      <c r="T302" s="5">
        <v>0.13423192866242081</v>
      </c>
      <c r="U302" s="5">
        <v>0.15587291195107161</v>
      </c>
      <c r="V302" s="5">
        <v>0</v>
      </c>
      <c r="W302" s="4">
        <f>ROUND((R302*100*1)+(T302*100*2)+(U302*100*3),2)</f>
        <v>144.6</v>
      </c>
      <c r="X302" s="5">
        <v>0.82196453945451087</v>
      </c>
      <c r="Y302" s="5">
        <v>0</v>
      </c>
      <c r="Z302" s="5">
        <v>9.7188122036000094E-2</v>
      </c>
      <c r="AA302" s="5">
        <v>8.0432393735261565E-2</v>
      </c>
      <c r="AB302" s="5">
        <v>4.1494477422743259E-4</v>
      </c>
      <c r="AC302" s="4">
        <f>ROUND((X302*100*1)+(Z302*100*2)+(AA302*100*3),2)</f>
        <v>125.76</v>
      </c>
      <c r="AD302">
        <f>ROUND(AVERAGE(Q302,W302,AC302),2)</f>
        <v>145.93</v>
      </c>
    </row>
    <row r="303" spans="1:30" x14ac:dyDescent="0.2">
      <c r="A303">
        <v>325</v>
      </c>
      <c r="B303">
        <v>1</v>
      </c>
      <c r="C303" t="s">
        <v>1366</v>
      </c>
      <c r="D303" t="s">
        <v>1367</v>
      </c>
      <c r="E303" t="s">
        <v>1368</v>
      </c>
      <c r="H303" t="s">
        <v>67</v>
      </c>
      <c r="I303" t="s">
        <v>67</v>
      </c>
      <c r="J303" t="s">
        <v>34</v>
      </c>
      <c r="K303" t="s">
        <v>56</v>
      </c>
      <c r="L303" s="5">
        <v>0</v>
      </c>
      <c r="M303" s="5">
        <v>0</v>
      </c>
      <c r="N303" s="5">
        <v>0.34301724467928468</v>
      </c>
      <c r="O303" s="5">
        <v>0.65698275532093453</v>
      </c>
      <c r="P303" s="5">
        <v>0</v>
      </c>
      <c r="Q303" s="4">
        <f>ROUND((L303*100*1)+(N303*100*2)+(O303*100*3),2)</f>
        <v>265.7</v>
      </c>
      <c r="R303" s="5">
        <v>3.7841594413080798E-2</v>
      </c>
      <c r="S303" s="5">
        <v>0</v>
      </c>
      <c r="T303" s="5">
        <v>0.20341617773339901</v>
      </c>
      <c r="U303" s="5">
        <v>0.44555498147400169</v>
      </c>
      <c r="V303" s="5">
        <v>0.31318724637951839</v>
      </c>
      <c r="W303" s="4">
        <f>ROUND((R303*100*1)+(T303*100*2)+(U303*100*3),2)</f>
        <v>178.13</v>
      </c>
      <c r="X303" s="5">
        <v>0.106706321000316</v>
      </c>
      <c r="Y303" s="5">
        <v>0</v>
      </c>
      <c r="Z303" s="5">
        <v>0.16702582542580599</v>
      </c>
      <c r="AA303" s="5">
        <v>0.3040536093719039</v>
      </c>
      <c r="AB303" s="5">
        <v>0.42221424420197412</v>
      </c>
      <c r="AC303" s="4">
        <f>ROUND((X303*100*1)+(Z303*100*2)+(AA303*100*3),2)</f>
        <v>135.29</v>
      </c>
      <c r="AD303">
        <f>ROUND(AVERAGE(Q303,W303,AC303),2)</f>
        <v>193.04</v>
      </c>
    </row>
    <row r="304" spans="1:30" x14ac:dyDescent="0.2">
      <c r="A304">
        <v>326</v>
      </c>
      <c r="B304">
        <v>1</v>
      </c>
      <c r="C304" t="s">
        <v>1369</v>
      </c>
      <c r="D304" t="s">
        <v>1370</v>
      </c>
      <c r="E304" t="s">
        <v>1371</v>
      </c>
      <c r="H304" t="s">
        <v>67</v>
      </c>
      <c r="I304" t="s">
        <v>67</v>
      </c>
      <c r="J304" t="s">
        <v>34</v>
      </c>
      <c r="K304" t="s">
        <v>1372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4">
        <f>ROUND((L304*100*1)+(N304*100*2)+(O304*100*3),2)</f>
        <v>100</v>
      </c>
      <c r="R304" s="5">
        <v>0.98177302622628526</v>
      </c>
      <c r="S304" s="5">
        <v>0</v>
      </c>
      <c r="T304" s="5">
        <v>1.822697377372345E-2</v>
      </c>
      <c r="U304" s="5">
        <v>0</v>
      </c>
      <c r="V304" s="5">
        <v>0</v>
      </c>
      <c r="W304" s="4">
        <f>ROUND((R304*100*1)+(T304*100*2)+(U304*100*3),2)</f>
        <v>101.82</v>
      </c>
      <c r="X304" s="5">
        <v>0.95608481280374502</v>
      </c>
      <c r="Y304" s="5">
        <v>0</v>
      </c>
      <c r="Z304" s="5">
        <v>2.358306588718833E-2</v>
      </c>
      <c r="AA304" s="5">
        <v>0</v>
      </c>
      <c r="AB304" s="5">
        <v>2.033212130906659E-2</v>
      </c>
      <c r="AC304" s="4">
        <f>ROUND((X304*100*1)+(Z304*100*2)+(AA304*100*3),2)</f>
        <v>100.33</v>
      </c>
      <c r="AD304">
        <f>ROUND(AVERAGE(Q304,W304,AC304),2)</f>
        <v>100.72</v>
      </c>
    </row>
    <row r="305" spans="1:30" x14ac:dyDescent="0.2">
      <c r="A305">
        <v>327</v>
      </c>
      <c r="B305">
        <v>1</v>
      </c>
      <c r="C305" t="s">
        <v>1373</v>
      </c>
      <c r="D305" t="s">
        <v>1374</v>
      </c>
      <c r="E305" t="s">
        <v>1375</v>
      </c>
      <c r="H305" t="s">
        <v>336</v>
      </c>
      <c r="I305" t="s">
        <v>336</v>
      </c>
      <c r="J305" t="s">
        <v>34</v>
      </c>
      <c r="K305" t="s">
        <v>155</v>
      </c>
      <c r="L305" s="5">
        <v>0</v>
      </c>
      <c r="M305" s="5">
        <v>0</v>
      </c>
      <c r="N305" s="5">
        <v>0.41351962747509469</v>
      </c>
      <c r="O305" s="5">
        <v>0.58648037252508423</v>
      </c>
      <c r="P305" s="5">
        <v>0</v>
      </c>
      <c r="Q305" s="4">
        <f>ROUND((L305*100*1)+(N305*100*2)+(O305*100*3),2)</f>
        <v>258.64999999999998</v>
      </c>
      <c r="R305" s="5">
        <v>0</v>
      </c>
      <c r="S305" s="5">
        <v>0</v>
      </c>
      <c r="T305" s="5">
        <v>0.34995289234440358</v>
      </c>
      <c r="U305" s="5">
        <v>0.58377798195873198</v>
      </c>
      <c r="V305" s="5">
        <v>6.6269125696864384E-2</v>
      </c>
      <c r="W305" s="4">
        <f>ROUND((R305*100*1)+(T305*100*2)+(U305*100*3),2)</f>
        <v>245.12</v>
      </c>
      <c r="X305" s="5">
        <v>0</v>
      </c>
      <c r="Y305" s="5">
        <v>0</v>
      </c>
      <c r="Z305" s="5">
        <v>0.29070671464690151</v>
      </c>
      <c r="AA305" s="5">
        <v>0.47307237273407732</v>
      </c>
      <c r="AB305" s="5">
        <v>0.23622091261902109</v>
      </c>
      <c r="AC305" s="4">
        <f>ROUND((X305*100*1)+(Z305*100*2)+(AA305*100*3),2)</f>
        <v>200.06</v>
      </c>
      <c r="AD305">
        <f>ROUND(AVERAGE(Q305,W305,AC305),2)</f>
        <v>234.61</v>
      </c>
    </row>
    <row r="306" spans="1:30" x14ac:dyDescent="0.2">
      <c r="A306">
        <v>328</v>
      </c>
      <c r="B306">
        <v>1</v>
      </c>
      <c r="C306" t="s">
        <v>1376</v>
      </c>
      <c r="D306" t="s">
        <v>1377</v>
      </c>
      <c r="E306" t="s">
        <v>1078</v>
      </c>
      <c r="H306" t="s">
        <v>67</v>
      </c>
      <c r="I306" t="s">
        <v>67</v>
      </c>
      <c r="J306" t="s">
        <v>26</v>
      </c>
      <c r="K306" t="s">
        <v>210</v>
      </c>
      <c r="L306" s="5">
        <v>0</v>
      </c>
      <c r="M306" s="5">
        <v>0</v>
      </c>
      <c r="N306" s="5">
        <v>0.27727470895966738</v>
      </c>
      <c r="O306" s="5">
        <v>0.72272529104041616</v>
      </c>
      <c r="P306" s="5">
        <v>0</v>
      </c>
      <c r="Q306" s="4">
        <f>ROUND((L306*100*1)+(N306*100*2)+(O306*100*3),2)</f>
        <v>272.27</v>
      </c>
      <c r="R306" s="5">
        <v>0</v>
      </c>
      <c r="S306" s="5">
        <v>0</v>
      </c>
      <c r="T306" s="5">
        <v>0.2375884425120425</v>
      </c>
      <c r="U306" s="5">
        <v>0.67194925587956711</v>
      </c>
      <c r="V306" s="5">
        <v>9.0462301608390319E-2</v>
      </c>
      <c r="W306" s="4">
        <f>ROUND((R306*100*1)+(T306*100*2)+(U306*100*3),2)</f>
        <v>249.1</v>
      </c>
      <c r="X306" s="5">
        <v>8.5317608925428515E-2</v>
      </c>
      <c r="Y306" s="5">
        <v>0</v>
      </c>
      <c r="Z306" s="5">
        <v>0.20222962076156031</v>
      </c>
      <c r="AA306" s="5">
        <v>0.39730305348750489</v>
      </c>
      <c r="AB306" s="5">
        <v>0.31514971682550619</v>
      </c>
      <c r="AC306" s="4">
        <f>ROUND((X306*100*1)+(Z306*100*2)+(AA306*100*3),2)</f>
        <v>168.17</v>
      </c>
      <c r="AD306">
        <f>ROUND(AVERAGE(Q306,W306,AC306),2)</f>
        <v>229.85</v>
      </c>
    </row>
    <row r="307" spans="1:30" x14ac:dyDescent="0.2">
      <c r="A307">
        <v>329</v>
      </c>
      <c r="B307">
        <v>2</v>
      </c>
      <c r="C307" t="s">
        <v>1378</v>
      </c>
      <c r="D307" t="s">
        <v>1379</v>
      </c>
      <c r="E307" t="s">
        <v>1380</v>
      </c>
      <c r="H307" t="s">
        <v>67</v>
      </c>
      <c r="I307" t="s">
        <v>67</v>
      </c>
      <c r="J307" t="s">
        <v>26</v>
      </c>
      <c r="K307" t="s">
        <v>56</v>
      </c>
      <c r="L307" s="5">
        <v>0.63702299671568585</v>
      </c>
      <c r="M307" s="5">
        <v>0</v>
      </c>
      <c r="N307" s="5">
        <v>9.8968147924227354E-2</v>
      </c>
      <c r="O307" s="5">
        <v>0</v>
      </c>
      <c r="P307" s="5">
        <v>0.26400885536008678</v>
      </c>
      <c r="Q307" s="4">
        <f>ROUND((L307*100*1)+(N307*100*2)+(O307*100*3),2)</f>
        <v>83.5</v>
      </c>
      <c r="R307" s="5">
        <v>0.49010921417755282</v>
      </c>
      <c r="S307" s="5">
        <v>0</v>
      </c>
      <c r="T307" s="5">
        <v>9.6963185299012739E-2</v>
      </c>
      <c r="U307" s="5">
        <v>0</v>
      </c>
      <c r="V307" s="5">
        <v>0.41292760052343452</v>
      </c>
      <c r="W307" s="4">
        <f>ROUND((R307*100*1)+(T307*100*2)+(U307*100*3),2)</f>
        <v>68.400000000000006</v>
      </c>
      <c r="X307" s="5">
        <v>0.50949687733978566</v>
      </c>
      <c r="Y307" s="5">
        <v>0</v>
      </c>
      <c r="Z307" s="5">
        <v>7.6928539990538114E-2</v>
      </c>
      <c r="AA307" s="5">
        <v>1.486001536470411E-2</v>
      </c>
      <c r="AB307" s="5">
        <v>0.39871456730497201</v>
      </c>
      <c r="AC307" s="4">
        <f>ROUND((X307*100*1)+(Z307*100*2)+(AA307*100*3),2)</f>
        <v>70.790000000000006</v>
      </c>
      <c r="AD307">
        <f>ROUND(AVERAGE(Q307,W307,AC307),2)</f>
        <v>74.23</v>
      </c>
    </row>
    <row r="308" spans="1:30" x14ac:dyDescent="0.2">
      <c r="A308">
        <v>330</v>
      </c>
      <c r="B308">
        <v>1</v>
      </c>
      <c r="C308" t="s">
        <v>1381</v>
      </c>
      <c r="D308" t="s">
        <v>1382</v>
      </c>
      <c r="E308" t="s">
        <v>1383</v>
      </c>
      <c r="H308" t="s">
        <v>67</v>
      </c>
      <c r="I308" t="s">
        <v>67</v>
      </c>
      <c r="J308" t="s">
        <v>26</v>
      </c>
      <c r="K308" t="s">
        <v>155</v>
      </c>
      <c r="L308" s="5">
        <v>0</v>
      </c>
      <c r="M308" s="5">
        <v>0</v>
      </c>
      <c r="N308" s="5">
        <v>0.36368896384787208</v>
      </c>
      <c r="O308" s="5">
        <v>0.6363110361522839</v>
      </c>
      <c r="P308" s="5">
        <v>0</v>
      </c>
      <c r="Q308" s="4">
        <f>ROUND((L308*100*1)+(N308*100*2)+(O308*100*3),2)</f>
        <v>263.63</v>
      </c>
      <c r="R308" s="5">
        <v>0</v>
      </c>
      <c r="S308" s="5">
        <v>0</v>
      </c>
      <c r="T308" s="5">
        <v>0.29583915606040317</v>
      </c>
      <c r="U308" s="5">
        <v>0.63816889785750885</v>
      </c>
      <c r="V308" s="5">
        <v>6.5991946082087916E-2</v>
      </c>
      <c r="W308" s="4">
        <f>ROUND((R308*100*1)+(T308*100*2)+(U308*100*3),2)</f>
        <v>250.62</v>
      </c>
      <c r="X308" s="5">
        <v>5.6941207455014943E-2</v>
      </c>
      <c r="Y308" s="5">
        <v>0</v>
      </c>
      <c r="Z308" s="5">
        <v>0.23298092383190139</v>
      </c>
      <c r="AA308" s="5">
        <v>0.4938126005168299</v>
      </c>
      <c r="AB308" s="5">
        <v>0.2162652681962538</v>
      </c>
      <c r="AC308" s="4">
        <f>ROUND((X308*100*1)+(Z308*100*2)+(AA308*100*3),2)</f>
        <v>200.43</v>
      </c>
      <c r="AD308">
        <f>ROUND(AVERAGE(Q308,W308,AC308),2)</f>
        <v>238.23</v>
      </c>
    </row>
    <row r="309" spans="1:30" x14ac:dyDescent="0.2">
      <c r="A309">
        <v>331</v>
      </c>
      <c r="B309">
        <v>1</v>
      </c>
      <c r="C309" t="s">
        <v>1384</v>
      </c>
      <c r="D309" t="s">
        <v>1385</v>
      </c>
      <c r="E309" t="s">
        <v>1386</v>
      </c>
      <c r="F309" t="s">
        <v>1387</v>
      </c>
      <c r="H309" t="s">
        <v>260</v>
      </c>
      <c r="I309" t="s">
        <v>260</v>
      </c>
      <c r="J309" t="s">
        <v>34</v>
      </c>
      <c r="K309" t="s">
        <v>35</v>
      </c>
      <c r="L309" s="5">
        <v>0</v>
      </c>
      <c r="M309" s="5">
        <v>0</v>
      </c>
      <c r="N309" s="5">
        <v>0.35174819022757942</v>
      </c>
      <c r="O309" s="5">
        <v>0.64825180977229602</v>
      </c>
      <c r="P309" s="5">
        <v>1.2456702336294259E-13</v>
      </c>
      <c r="Q309" s="4">
        <f>ROUND((L309*100*1)+(N309*100*2)+(O309*100*3),2)</f>
        <v>264.83</v>
      </c>
      <c r="R309" s="5">
        <v>2.3308138270959861E-2</v>
      </c>
      <c r="S309" s="5">
        <v>0</v>
      </c>
      <c r="T309" s="5">
        <v>0.24711394726129621</v>
      </c>
      <c r="U309" s="5">
        <v>0.52056546698173323</v>
      </c>
      <c r="V309" s="5">
        <v>0.20901244748601069</v>
      </c>
      <c r="W309" s="4">
        <f>ROUND((R309*100*1)+(T309*100*2)+(U309*100*3),2)</f>
        <v>207.92</v>
      </c>
      <c r="X309" s="5">
        <v>0.1865792914798132</v>
      </c>
      <c r="Y309" s="5">
        <v>0</v>
      </c>
      <c r="Z309" s="5">
        <v>0.1310053988229036</v>
      </c>
      <c r="AA309" s="5">
        <v>0.28442961565221297</v>
      </c>
      <c r="AB309" s="5">
        <v>0.39798569404507023</v>
      </c>
      <c r="AC309" s="4">
        <f>ROUND((X309*100*1)+(Z309*100*2)+(AA309*100*3),2)</f>
        <v>130.19</v>
      </c>
      <c r="AD309">
        <f>ROUND(AVERAGE(Q309,W309,AC309),2)</f>
        <v>200.98</v>
      </c>
    </row>
    <row r="310" spans="1:30" x14ac:dyDescent="0.2">
      <c r="A310">
        <v>332</v>
      </c>
      <c r="B310">
        <v>1</v>
      </c>
      <c r="C310" t="s">
        <v>1388</v>
      </c>
      <c r="D310" t="s">
        <v>1389</v>
      </c>
      <c r="E310" t="s">
        <v>1390</v>
      </c>
      <c r="F310" t="s">
        <v>1391</v>
      </c>
      <c r="G310" t="s">
        <v>1392</v>
      </c>
      <c r="H310" t="s">
        <v>25</v>
      </c>
      <c r="I310" t="s">
        <v>25</v>
      </c>
      <c r="J310" t="s">
        <v>92</v>
      </c>
      <c r="K310" t="s">
        <v>363</v>
      </c>
      <c r="L310" s="5">
        <v>0</v>
      </c>
      <c r="M310" s="5">
        <v>0</v>
      </c>
      <c r="N310" s="5">
        <v>0.26428328714921773</v>
      </c>
      <c r="O310" s="5">
        <v>0.73571671285094908</v>
      </c>
      <c r="P310" s="5">
        <v>0</v>
      </c>
      <c r="Q310" s="4">
        <f>ROUND((L310*100*1)+(N310*100*2)+(O310*100*3),2)</f>
        <v>273.57</v>
      </c>
      <c r="R310" s="5">
        <v>1.3504236620254481E-2</v>
      </c>
      <c r="S310" s="5">
        <v>0</v>
      </c>
      <c r="T310" s="5">
        <v>0.2303265715384569</v>
      </c>
      <c r="U310" s="5">
        <v>0.66898677639871051</v>
      </c>
      <c r="V310" s="5">
        <v>8.7182415442578085E-2</v>
      </c>
      <c r="W310" s="4">
        <f>ROUND((R310*100*1)+(T310*100*2)+(U310*100*3),2)</f>
        <v>248.11</v>
      </c>
      <c r="X310" s="5">
        <v>0.1519955618675097</v>
      </c>
      <c r="Y310" s="5">
        <v>0</v>
      </c>
      <c r="Z310" s="5">
        <v>0.14194471386356361</v>
      </c>
      <c r="AA310" s="5">
        <v>0.37798331217996428</v>
      </c>
      <c r="AB310" s="5">
        <v>0.32807641208896238</v>
      </c>
      <c r="AC310" s="4">
        <f>ROUND((X310*100*1)+(Z310*100*2)+(AA310*100*3),2)</f>
        <v>156.97999999999999</v>
      </c>
      <c r="AD310">
        <f>ROUND(AVERAGE(Q310,W310,AC310),2)</f>
        <v>226.22</v>
      </c>
    </row>
    <row r="311" spans="1:30" x14ac:dyDescent="0.2">
      <c r="A311">
        <v>333</v>
      </c>
      <c r="B311">
        <v>1</v>
      </c>
      <c r="C311" t="s">
        <v>1393</v>
      </c>
      <c r="D311" t="s">
        <v>1394</v>
      </c>
      <c r="E311" t="s">
        <v>1395</v>
      </c>
      <c r="F311" t="s">
        <v>1396</v>
      </c>
      <c r="G311" t="s">
        <v>1397</v>
      </c>
      <c r="H311" t="s">
        <v>25</v>
      </c>
      <c r="I311" t="s">
        <v>25</v>
      </c>
      <c r="J311" t="s">
        <v>34</v>
      </c>
      <c r="K311" t="s">
        <v>27</v>
      </c>
      <c r="L311" s="5">
        <v>0</v>
      </c>
      <c r="M311" s="5">
        <v>0</v>
      </c>
      <c r="N311" s="5">
        <v>0.24138349030055131</v>
      </c>
      <c r="O311" s="5">
        <v>0.35553668953625711</v>
      </c>
      <c r="P311" s="5">
        <v>0.40307982016319172</v>
      </c>
      <c r="Q311" s="4">
        <f>ROUND((L311*100*1)+(N311*100*2)+(O311*100*3),2)</f>
        <v>154.94</v>
      </c>
      <c r="R311" s="5">
        <v>5.5312261843440541E-2</v>
      </c>
      <c r="S311" s="5">
        <v>0</v>
      </c>
      <c r="T311" s="5">
        <v>0.17890809618574291</v>
      </c>
      <c r="U311" s="5">
        <v>0.1160733882948415</v>
      </c>
      <c r="V311" s="5">
        <v>0.64970625367597512</v>
      </c>
      <c r="W311" s="4">
        <f>ROUND((R311*100*1)+(T311*100*2)+(U311*100*3),2)</f>
        <v>76.13</v>
      </c>
      <c r="X311" s="5">
        <v>0.35130292279171682</v>
      </c>
      <c r="Y311" s="5">
        <v>0</v>
      </c>
      <c r="Z311" s="5">
        <v>8.7874286084834663E-2</v>
      </c>
      <c r="AA311" s="5">
        <v>4.0427603125539668E-2</v>
      </c>
      <c r="AB311" s="5">
        <v>0.52039518799790896</v>
      </c>
      <c r="AC311" s="4">
        <f>ROUND((X311*100*1)+(Z311*100*2)+(AA311*100*3),2)</f>
        <v>64.83</v>
      </c>
      <c r="AD311">
        <f>ROUND(AVERAGE(Q311,W311,AC311),2)</f>
        <v>98.63</v>
      </c>
    </row>
    <row r="312" spans="1:30" x14ac:dyDescent="0.2">
      <c r="A312">
        <v>334</v>
      </c>
      <c r="B312">
        <v>1</v>
      </c>
      <c r="C312" t="s">
        <v>1398</v>
      </c>
      <c r="D312" t="s">
        <v>1399</v>
      </c>
      <c r="E312" t="s">
        <v>1400</v>
      </c>
      <c r="H312" t="s">
        <v>25</v>
      </c>
      <c r="I312" t="s">
        <v>25</v>
      </c>
      <c r="J312" t="s">
        <v>34</v>
      </c>
      <c r="K312" t="s">
        <v>112</v>
      </c>
      <c r="L312" s="5">
        <v>0.1760338461444414</v>
      </c>
      <c r="M312" s="5">
        <v>0</v>
      </c>
      <c r="N312" s="5">
        <v>0.32040850623448619</v>
      </c>
      <c r="O312" s="5">
        <v>0</v>
      </c>
      <c r="P312" s="5">
        <v>0.50355764762107236</v>
      </c>
      <c r="Q312" s="4">
        <f>ROUND((L312*100*1)+(N312*100*2)+(O312*100*3),2)</f>
        <v>81.69</v>
      </c>
      <c r="R312" s="5">
        <v>6.7759814069749208E-2</v>
      </c>
      <c r="S312" s="5">
        <v>0</v>
      </c>
      <c r="T312" s="5">
        <v>0.1162533347501841</v>
      </c>
      <c r="U312" s="5">
        <v>6.561568106437337E-5</v>
      </c>
      <c r="V312" s="5">
        <v>0.81592123549900242</v>
      </c>
      <c r="W312" s="4">
        <f>ROUND((R312*100*1)+(T312*100*2)+(U312*100*3),2)</f>
        <v>30.05</v>
      </c>
      <c r="X312" s="5">
        <v>5.5321304388170407E-2</v>
      </c>
      <c r="Y312" s="5">
        <v>0</v>
      </c>
      <c r="Z312" s="5">
        <v>0.1173641344523266</v>
      </c>
      <c r="AA312" s="5">
        <v>2.06842546906588E-2</v>
      </c>
      <c r="AB312" s="5">
        <v>0.80663030646884426</v>
      </c>
      <c r="AC312" s="4">
        <f>ROUND((X312*100*1)+(Z312*100*2)+(AA312*100*3),2)</f>
        <v>35.21</v>
      </c>
      <c r="AD312">
        <f>ROUND(AVERAGE(Q312,W312,AC312),2)</f>
        <v>48.98</v>
      </c>
    </row>
    <row r="313" spans="1:30" x14ac:dyDescent="0.2">
      <c r="A313">
        <v>335</v>
      </c>
      <c r="B313">
        <v>2</v>
      </c>
      <c r="C313" t="s">
        <v>1401</v>
      </c>
      <c r="D313" t="s">
        <v>1402</v>
      </c>
      <c r="E313" t="s">
        <v>1019</v>
      </c>
      <c r="H313" t="s">
        <v>67</v>
      </c>
      <c r="I313" t="s">
        <v>67</v>
      </c>
      <c r="J313" t="s">
        <v>34</v>
      </c>
      <c r="K313" t="s">
        <v>161</v>
      </c>
      <c r="L313" s="5">
        <v>0</v>
      </c>
      <c r="M313" s="5">
        <v>0</v>
      </c>
      <c r="N313" s="5">
        <v>0.37998776020923919</v>
      </c>
      <c r="O313" s="5">
        <v>0.62001223979099795</v>
      </c>
      <c r="P313" s="5">
        <v>0</v>
      </c>
      <c r="Q313" s="4">
        <f>ROUND((L313*100*1)+(N313*100*2)+(O313*100*3),2)</f>
        <v>262</v>
      </c>
      <c r="R313" s="5">
        <v>9.6996645375729378E-3</v>
      </c>
      <c r="S313" s="5">
        <v>0</v>
      </c>
      <c r="T313" s="5">
        <v>0.37850769527624589</v>
      </c>
      <c r="U313" s="5">
        <v>0.61179264018620316</v>
      </c>
      <c r="V313" s="5">
        <v>0</v>
      </c>
      <c r="W313" s="4">
        <f>ROUND((R313*100*1)+(T313*100*2)+(U313*100*3),2)</f>
        <v>260.20999999999998</v>
      </c>
      <c r="X313" s="5">
        <v>9.9538456729865582E-2</v>
      </c>
      <c r="Y313" s="5">
        <v>0</v>
      </c>
      <c r="Z313" s="5">
        <v>0.24969107246448821</v>
      </c>
      <c r="AA313" s="5">
        <v>0.47396705663322652</v>
      </c>
      <c r="AB313" s="5">
        <v>0.17680341417241949</v>
      </c>
      <c r="AC313" s="4">
        <f>ROUND((X313*100*1)+(Z313*100*2)+(AA313*100*3),2)</f>
        <v>202.08</v>
      </c>
      <c r="AD313">
        <f>ROUND(AVERAGE(Q313,W313,AC313),2)</f>
        <v>241.43</v>
      </c>
    </row>
    <row r="314" spans="1:30" x14ac:dyDescent="0.2">
      <c r="A314">
        <v>336</v>
      </c>
      <c r="B314">
        <v>1</v>
      </c>
      <c r="C314" t="s">
        <v>1403</v>
      </c>
      <c r="D314" t="s">
        <v>1404</v>
      </c>
      <c r="E314" t="s">
        <v>1087</v>
      </c>
      <c r="F314" t="s">
        <v>1405</v>
      </c>
      <c r="G314" t="s">
        <v>1406</v>
      </c>
      <c r="H314" t="s">
        <v>67</v>
      </c>
      <c r="I314" t="s">
        <v>67</v>
      </c>
      <c r="J314" t="s">
        <v>26</v>
      </c>
      <c r="K314" t="s">
        <v>540</v>
      </c>
      <c r="L314" s="5">
        <v>0</v>
      </c>
      <c r="M314" s="5">
        <v>0</v>
      </c>
      <c r="N314" s="5">
        <v>0.15138095533293</v>
      </c>
      <c r="O314" s="5">
        <v>0</v>
      </c>
      <c r="P314" s="5">
        <v>0.84861904466706994</v>
      </c>
      <c r="Q314" s="4">
        <f>ROUND((L314*100*1)+(N314*100*2)+(O314*100*3),2)</f>
        <v>30.28</v>
      </c>
      <c r="R314" s="5">
        <v>0</v>
      </c>
      <c r="S314" s="5">
        <v>0</v>
      </c>
      <c r="T314" s="5">
        <v>8.6271829054349755E-2</v>
      </c>
      <c r="U314" s="5">
        <v>0</v>
      </c>
      <c r="V314" s="5">
        <v>0.9137281709456504</v>
      </c>
      <c r="W314" s="4">
        <f>ROUND((R314*100*1)+(T314*100*2)+(U314*100*3),2)</f>
        <v>17.25</v>
      </c>
      <c r="X314" s="5">
        <v>0</v>
      </c>
      <c r="Y314" s="5">
        <v>0</v>
      </c>
      <c r="Z314" s="5">
        <v>7.4175986763664908E-2</v>
      </c>
      <c r="AA314" s="5">
        <v>0</v>
      </c>
      <c r="AB314" s="5">
        <v>0.92582401323633512</v>
      </c>
      <c r="AC314" s="4">
        <f>ROUND((X314*100*1)+(Z314*100*2)+(AA314*100*3),2)</f>
        <v>14.84</v>
      </c>
      <c r="AD314">
        <f>ROUND(AVERAGE(Q314,W314,AC314),2)</f>
        <v>20.79</v>
      </c>
    </row>
    <row r="315" spans="1:30" x14ac:dyDescent="0.2">
      <c r="A315">
        <v>337</v>
      </c>
      <c r="B315">
        <v>1</v>
      </c>
      <c r="C315" t="s">
        <v>1407</v>
      </c>
      <c r="D315" t="s">
        <v>1408</v>
      </c>
      <c r="E315" t="s">
        <v>1087</v>
      </c>
      <c r="F315" t="s">
        <v>991</v>
      </c>
      <c r="G315" t="s">
        <v>1409</v>
      </c>
      <c r="H315" t="s">
        <v>25</v>
      </c>
      <c r="I315" t="s">
        <v>25</v>
      </c>
      <c r="J315" t="s">
        <v>92</v>
      </c>
      <c r="K315" t="s">
        <v>210</v>
      </c>
      <c r="L315" s="5">
        <v>0</v>
      </c>
      <c r="M315" s="5">
        <v>0</v>
      </c>
      <c r="N315" s="5">
        <v>0</v>
      </c>
      <c r="O315" s="5">
        <v>0</v>
      </c>
      <c r="P315" s="5">
        <v>1</v>
      </c>
      <c r="Q315" s="4">
        <f>ROUND((L315*100*1)+(N315*100*2)+(O315*100*3),2)</f>
        <v>0</v>
      </c>
      <c r="R315" s="5">
        <v>0.18822353386772869</v>
      </c>
      <c r="S315" s="5">
        <v>0</v>
      </c>
      <c r="T315" s="5">
        <v>4.7403351722171763E-2</v>
      </c>
      <c r="U315" s="5">
        <v>0</v>
      </c>
      <c r="V315" s="5">
        <v>0.76437311441009959</v>
      </c>
      <c r="W315" s="4">
        <f>ROUND((R315*100*1)+(T315*100*2)+(U315*100*3),2)</f>
        <v>28.3</v>
      </c>
      <c r="X315" s="5">
        <v>0.33986450343005931</v>
      </c>
      <c r="Y315" s="5">
        <v>0</v>
      </c>
      <c r="Z315" s="5">
        <v>4.7263735591581438E-2</v>
      </c>
      <c r="AA315" s="5">
        <v>0</v>
      </c>
      <c r="AB315" s="5">
        <v>0.61287176097835938</v>
      </c>
      <c r="AC315" s="4">
        <f>ROUND((X315*100*1)+(Z315*100*2)+(AA315*100*3),2)</f>
        <v>43.44</v>
      </c>
      <c r="AD315">
        <f>ROUND(AVERAGE(Q315,W315,AC315),2)</f>
        <v>23.91</v>
      </c>
    </row>
    <row r="316" spans="1:30" x14ac:dyDescent="0.2">
      <c r="A316">
        <v>338</v>
      </c>
      <c r="B316">
        <v>2</v>
      </c>
      <c r="C316" t="s">
        <v>1410</v>
      </c>
      <c r="D316" t="s">
        <v>1411</v>
      </c>
      <c r="E316" t="s">
        <v>1412</v>
      </c>
      <c r="F316" t="s">
        <v>1413</v>
      </c>
      <c r="G316" t="s">
        <v>1414</v>
      </c>
      <c r="H316" t="s">
        <v>67</v>
      </c>
      <c r="I316" t="s">
        <v>67</v>
      </c>
      <c r="J316" t="s">
        <v>92</v>
      </c>
      <c r="K316" t="s">
        <v>204</v>
      </c>
      <c r="L316" s="5">
        <v>0</v>
      </c>
      <c r="M316" s="5">
        <v>0</v>
      </c>
      <c r="N316" s="5">
        <v>0.28337442682457109</v>
      </c>
      <c r="O316" s="5">
        <v>0.59622665509032913</v>
      </c>
      <c r="P316" s="5">
        <v>0.1203989180850997</v>
      </c>
      <c r="Q316" s="4">
        <f>ROUND((L316*100*1)+(N316*100*2)+(O316*100*3),2)</f>
        <v>235.54</v>
      </c>
      <c r="R316" s="5">
        <v>5.7695053790309536E-3</v>
      </c>
      <c r="S316" s="5">
        <v>0</v>
      </c>
      <c r="T316" s="5">
        <v>0.23848231393017541</v>
      </c>
      <c r="U316" s="5">
        <v>0.36395472447336991</v>
      </c>
      <c r="V316" s="5">
        <v>0.39179345621742367</v>
      </c>
      <c r="W316" s="4">
        <f>ROUND((R316*100*1)+(T316*100*2)+(U316*100*3),2)</f>
        <v>157.46</v>
      </c>
      <c r="X316" s="5">
        <v>0.2428612419753314</v>
      </c>
      <c r="Y316" s="5">
        <v>0</v>
      </c>
      <c r="Z316" s="5">
        <v>0.19549918579342551</v>
      </c>
      <c r="AA316" s="5">
        <v>0.26143430268492718</v>
      </c>
      <c r="AB316" s="5">
        <v>0.30020526954631599</v>
      </c>
      <c r="AC316" s="4">
        <f>ROUND((X316*100*1)+(Z316*100*2)+(AA316*100*3),2)</f>
        <v>141.82</v>
      </c>
      <c r="AD316">
        <f>ROUND(AVERAGE(Q316,W316,AC316),2)</f>
        <v>178.27</v>
      </c>
    </row>
    <row r="317" spans="1:30" x14ac:dyDescent="0.2">
      <c r="A317">
        <v>339</v>
      </c>
      <c r="B317">
        <v>1</v>
      </c>
      <c r="C317" t="s">
        <v>1415</v>
      </c>
      <c r="D317" t="s">
        <v>1416</v>
      </c>
      <c r="E317" t="s">
        <v>1087</v>
      </c>
      <c r="F317" t="s">
        <v>1417</v>
      </c>
      <c r="G317" t="s">
        <v>1418</v>
      </c>
      <c r="H317" t="s">
        <v>25</v>
      </c>
      <c r="I317" t="s">
        <v>25</v>
      </c>
      <c r="J317" t="s">
        <v>26</v>
      </c>
      <c r="K317" t="s">
        <v>540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4">
        <f>ROUND((L317*100*1)+(N317*100*2)+(O317*100*3),2)</f>
        <v>100</v>
      </c>
      <c r="R317" s="5">
        <v>1</v>
      </c>
      <c r="S317" s="5">
        <v>0</v>
      </c>
      <c r="T317" s="5">
        <v>0</v>
      </c>
      <c r="U317" s="5">
        <v>0</v>
      </c>
      <c r="V317" s="5">
        <v>0</v>
      </c>
      <c r="W317" s="4">
        <f>ROUND((R317*100*1)+(T317*100*2)+(U317*100*3),2)</f>
        <v>100</v>
      </c>
      <c r="X317" s="5">
        <v>0.97760746409107957</v>
      </c>
      <c r="Y317" s="5">
        <v>0</v>
      </c>
      <c r="Z317" s="5">
        <v>1.337801460462407E-2</v>
      </c>
      <c r="AA317" s="5">
        <v>9.126307782114033E-4</v>
      </c>
      <c r="AB317" s="5">
        <v>8.1018905260850094E-3</v>
      </c>
      <c r="AC317" s="4">
        <f>ROUND((X317*100*1)+(Z317*100*2)+(AA317*100*3),2)</f>
        <v>100.71</v>
      </c>
      <c r="AD317">
        <f>ROUND(AVERAGE(Q317,W317,AC317),2)</f>
        <v>100.24</v>
      </c>
    </row>
    <row r="318" spans="1:30" x14ac:dyDescent="0.2">
      <c r="A318">
        <v>340</v>
      </c>
      <c r="B318">
        <v>1</v>
      </c>
      <c r="C318" t="s">
        <v>1419</v>
      </c>
      <c r="D318" t="s">
        <v>1420</v>
      </c>
      <c r="E318" t="s">
        <v>1421</v>
      </c>
      <c r="F318" t="s">
        <v>1422</v>
      </c>
      <c r="G318" t="s">
        <v>1423</v>
      </c>
      <c r="H318" t="s">
        <v>67</v>
      </c>
      <c r="I318" t="s">
        <v>67</v>
      </c>
      <c r="J318" t="s">
        <v>34</v>
      </c>
      <c r="K318" t="s">
        <v>644</v>
      </c>
      <c r="L318" s="5">
        <v>0</v>
      </c>
      <c r="M318" s="5">
        <v>0</v>
      </c>
      <c r="N318" s="5">
        <v>8.4034060262208665E-2</v>
      </c>
      <c r="O318" s="5">
        <v>0</v>
      </c>
      <c r="P318" s="5">
        <v>0.91596593973779128</v>
      </c>
      <c r="Q318" s="4">
        <f>ROUND((L318*100*1)+(N318*100*2)+(O318*100*3),2)</f>
        <v>16.809999999999999</v>
      </c>
      <c r="R318" s="5">
        <v>0</v>
      </c>
      <c r="S318" s="5">
        <v>0</v>
      </c>
      <c r="T318" s="5">
        <v>5.8224480734590633E-2</v>
      </c>
      <c r="U318" s="5">
        <v>0</v>
      </c>
      <c r="V318" s="5">
        <v>0.94177551926540937</v>
      </c>
      <c r="W318" s="4">
        <f>ROUND((R318*100*1)+(T318*100*2)+(U318*100*3),2)</f>
        <v>11.64</v>
      </c>
      <c r="X318" s="5">
        <v>0</v>
      </c>
      <c r="Y318" s="5">
        <v>0</v>
      </c>
      <c r="Z318" s="5">
        <v>4.4832228770189719E-2</v>
      </c>
      <c r="AA318" s="5">
        <v>0</v>
      </c>
      <c r="AB318" s="5">
        <v>0.95516777122981045</v>
      </c>
      <c r="AC318" s="4">
        <f>ROUND((X318*100*1)+(Z318*100*2)+(AA318*100*3),2)</f>
        <v>8.9700000000000006</v>
      </c>
      <c r="AD318">
        <f>ROUND(AVERAGE(Q318,W318,AC318),2)</f>
        <v>12.47</v>
      </c>
    </row>
    <row r="319" spans="1:30" x14ac:dyDescent="0.2">
      <c r="A319">
        <v>342</v>
      </c>
      <c r="B319">
        <v>1</v>
      </c>
      <c r="C319" t="s">
        <v>1424</v>
      </c>
      <c r="D319" t="s">
        <v>1425</v>
      </c>
      <c r="E319" t="s">
        <v>96</v>
      </c>
      <c r="H319" t="s">
        <v>67</v>
      </c>
      <c r="I319" t="s">
        <v>67</v>
      </c>
      <c r="J319" t="s">
        <v>26</v>
      </c>
      <c r="K319" t="s">
        <v>650</v>
      </c>
      <c r="L319" s="5">
        <v>0.93753336007193089</v>
      </c>
      <c r="M319" s="5">
        <v>0</v>
      </c>
      <c r="N319" s="5">
        <v>1.202292980195288E-3</v>
      </c>
      <c r="O319" s="5">
        <v>0</v>
      </c>
      <c r="P319" s="5">
        <v>6.126434694787386E-2</v>
      </c>
      <c r="Q319" s="4">
        <f>ROUND((L319*100*1)+(N319*100*2)+(O319*100*3),2)</f>
        <v>93.99</v>
      </c>
      <c r="R319" s="5">
        <v>0.43498446753890913</v>
      </c>
      <c r="S319" s="5">
        <v>0</v>
      </c>
      <c r="T319" s="5">
        <v>7.6790376127093815E-2</v>
      </c>
      <c r="U319" s="5">
        <v>7.8212381459244196E-2</v>
      </c>
      <c r="V319" s="5">
        <v>0.41001277487475279</v>
      </c>
      <c r="W319" s="4">
        <f>ROUND((R319*100*1)+(T319*100*2)+(U319*100*3),2)</f>
        <v>82.32</v>
      </c>
      <c r="X319" s="5">
        <v>0.39363444533037201</v>
      </c>
      <c r="Y319" s="5">
        <v>0</v>
      </c>
      <c r="Z319" s="5">
        <v>8.5663931072142402E-2</v>
      </c>
      <c r="AA319" s="5">
        <v>8.2260044303441457E-2</v>
      </c>
      <c r="AB319" s="5">
        <v>0.43844157929404409</v>
      </c>
      <c r="AC319" s="4">
        <f>ROUND((X319*100*1)+(Z319*100*2)+(AA319*100*3),2)</f>
        <v>81.17</v>
      </c>
      <c r="AD319">
        <f>ROUND(AVERAGE(Q319,W319,AC319),2)</f>
        <v>85.83</v>
      </c>
    </row>
    <row r="320" spans="1:30" x14ac:dyDescent="0.2">
      <c r="A320">
        <v>343</v>
      </c>
      <c r="B320">
        <v>1</v>
      </c>
      <c r="C320" t="s">
        <v>1426</v>
      </c>
      <c r="D320" t="s">
        <v>1427</v>
      </c>
      <c r="E320" t="s">
        <v>59</v>
      </c>
      <c r="H320" t="s">
        <v>67</v>
      </c>
      <c r="I320" t="s">
        <v>67</v>
      </c>
      <c r="J320" t="s">
        <v>26</v>
      </c>
      <c r="K320" t="s">
        <v>56</v>
      </c>
      <c r="L320" s="5">
        <v>2.1094955926976491E-3</v>
      </c>
      <c r="M320" s="5">
        <v>0</v>
      </c>
      <c r="N320" s="5">
        <v>0.22889653369967711</v>
      </c>
      <c r="O320" s="5">
        <v>0.18633110012728299</v>
      </c>
      <c r="P320" s="5">
        <v>0.58266287058034227</v>
      </c>
      <c r="Q320" s="4">
        <f>ROUND((L320*100*1)+(N320*100*2)+(O320*100*3),2)</f>
        <v>101.89</v>
      </c>
      <c r="R320" s="5">
        <v>0.26910303652942041</v>
      </c>
      <c r="S320" s="5">
        <v>0</v>
      </c>
      <c r="T320" s="5">
        <v>0.2517209874792769</v>
      </c>
      <c r="U320" s="5">
        <v>0.22615542969445671</v>
      </c>
      <c r="V320" s="5">
        <v>0.25302054629684601</v>
      </c>
      <c r="W320" s="4">
        <f>ROUND((R320*100*1)+(T320*100*2)+(U320*100*3),2)</f>
        <v>145.1</v>
      </c>
      <c r="X320" s="5">
        <v>0.47882291331951482</v>
      </c>
      <c r="Y320" s="5">
        <v>0</v>
      </c>
      <c r="Z320" s="5">
        <v>0.1809542537598974</v>
      </c>
      <c r="AA320" s="5">
        <v>0.21483031114780751</v>
      </c>
      <c r="AB320" s="5">
        <v>0.1253925217727804</v>
      </c>
      <c r="AC320" s="4">
        <f>ROUND((X320*100*1)+(Z320*100*2)+(AA320*100*3),2)</f>
        <v>148.52000000000001</v>
      </c>
      <c r="AD320">
        <f>ROUND(AVERAGE(Q320,W320,AC320),2)</f>
        <v>131.84</v>
      </c>
    </row>
    <row r="321" spans="1:30" x14ac:dyDescent="0.2">
      <c r="A321">
        <v>344</v>
      </c>
      <c r="B321">
        <v>1</v>
      </c>
      <c r="C321" t="s">
        <v>1428</v>
      </c>
      <c r="D321" t="s">
        <v>1429</v>
      </c>
      <c r="E321" t="s">
        <v>1430</v>
      </c>
      <c r="F321" t="s">
        <v>410</v>
      </c>
      <c r="G321" t="s">
        <v>411</v>
      </c>
      <c r="H321" t="s">
        <v>67</v>
      </c>
      <c r="I321" t="s">
        <v>67</v>
      </c>
      <c r="J321" t="s">
        <v>92</v>
      </c>
      <c r="K321" t="s">
        <v>230</v>
      </c>
      <c r="L321" s="5">
        <v>0</v>
      </c>
      <c r="M321" s="5">
        <v>0</v>
      </c>
      <c r="N321" s="5">
        <v>0.25363106639963989</v>
      </c>
      <c r="O321" s="5">
        <v>1.278283475915456E-3</v>
      </c>
      <c r="P321" s="5">
        <v>0.74509065012444453</v>
      </c>
      <c r="Q321" s="4">
        <f>ROUND((L321*100*1)+(N321*100*2)+(O321*100*3),2)</f>
        <v>51.11</v>
      </c>
      <c r="R321" s="5">
        <v>0.25469467961082248</v>
      </c>
      <c r="S321" s="5">
        <v>0</v>
      </c>
      <c r="T321" s="5">
        <v>0.19253636022775061</v>
      </c>
      <c r="U321" s="5">
        <v>9.5208208675436959E-2</v>
      </c>
      <c r="V321" s="5">
        <v>0.45756075148598979</v>
      </c>
      <c r="W321" s="4">
        <f>ROUND((R321*100*1)+(T321*100*2)+(U321*100*3),2)</f>
        <v>92.54</v>
      </c>
      <c r="X321" s="5">
        <v>0.41180320498524098</v>
      </c>
      <c r="Y321" s="5">
        <v>0</v>
      </c>
      <c r="Z321" s="5">
        <v>0.19263856983773109</v>
      </c>
      <c r="AA321" s="5">
        <v>0.16333852948367461</v>
      </c>
      <c r="AB321" s="5">
        <v>0.2322196956933533</v>
      </c>
      <c r="AC321" s="4">
        <f>ROUND((X321*100*1)+(Z321*100*2)+(AA321*100*3),2)</f>
        <v>128.71</v>
      </c>
      <c r="AD321">
        <f>ROUND(AVERAGE(Q321,W321,AC321),2)</f>
        <v>90.79</v>
      </c>
    </row>
    <row r="322" spans="1:30" x14ac:dyDescent="0.2">
      <c r="A322">
        <v>345</v>
      </c>
      <c r="B322">
        <v>1</v>
      </c>
      <c r="C322" t="s">
        <v>1431</v>
      </c>
      <c r="D322" t="s">
        <v>1432</v>
      </c>
      <c r="E322" t="s">
        <v>1433</v>
      </c>
      <c r="F322" t="s">
        <v>171</v>
      </c>
      <c r="G322" t="s">
        <v>172</v>
      </c>
      <c r="H322" t="s">
        <v>25</v>
      </c>
      <c r="I322" t="s">
        <v>25</v>
      </c>
      <c r="J322" t="s">
        <v>26</v>
      </c>
      <c r="K322" t="s">
        <v>56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4">
        <f>ROUND((L322*100*1)+(N322*100*2)+(O322*100*3),2)</f>
        <v>0</v>
      </c>
      <c r="R322" s="5">
        <v>0.2169051110237091</v>
      </c>
      <c r="S322" s="5">
        <v>0</v>
      </c>
      <c r="T322" s="5">
        <v>3.2520817124646093E-2</v>
      </c>
      <c r="U322" s="5">
        <v>0</v>
      </c>
      <c r="V322" s="5">
        <v>0.75057407185164482</v>
      </c>
      <c r="W322" s="4">
        <f>ROUND((R322*100*1)+(T322*100*2)+(U322*100*3),2)</f>
        <v>28.19</v>
      </c>
      <c r="X322" s="5">
        <v>0.32192754689239428</v>
      </c>
      <c r="Y322" s="5">
        <v>0</v>
      </c>
      <c r="Z322" s="5">
        <v>3.0848192317850871E-2</v>
      </c>
      <c r="AA322" s="5">
        <v>0</v>
      </c>
      <c r="AB322" s="5">
        <v>0.64722426078975481</v>
      </c>
      <c r="AC322" s="4">
        <f>ROUND((X322*100*1)+(Z322*100*2)+(AA322*100*3),2)</f>
        <v>38.36</v>
      </c>
      <c r="AD322">
        <f>ROUND(AVERAGE(Q322,W322,AC322),2)</f>
        <v>22.18</v>
      </c>
    </row>
    <row r="323" spans="1:30" x14ac:dyDescent="0.2">
      <c r="A323">
        <v>346</v>
      </c>
      <c r="B323">
        <v>1</v>
      </c>
      <c r="C323" t="s">
        <v>1434</v>
      </c>
      <c r="D323" t="s">
        <v>1435</v>
      </c>
      <c r="E323" t="s">
        <v>1436</v>
      </c>
      <c r="F323" t="s">
        <v>1437</v>
      </c>
      <c r="G323" t="s">
        <v>1438</v>
      </c>
      <c r="H323" t="s">
        <v>25</v>
      </c>
      <c r="I323" t="s">
        <v>25</v>
      </c>
      <c r="J323" t="s">
        <v>34</v>
      </c>
      <c r="K323" t="s">
        <v>249</v>
      </c>
      <c r="L323" s="5">
        <v>5.1373967654580292E-2</v>
      </c>
      <c r="M323" s="5">
        <v>0</v>
      </c>
      <c r="N323" s="5">
        <v>0.29209198586523272</v>
      </c>
      <c r="O323" s="5">
        <v>8.0410634367546197E-2</v>
      </c>
      <c r="P323" s="5">
        <v>0.57612341211264084</v>
      </c>
      <c r="Q323" s="4">
        <f>ROUND((L323*100*1)+(N323*100*2)+(O323*100*3),2)</f>
        <v>87.68</v>
      </c>
      <c r="R323" s="5">
        <v>2.4622691955898841E-2</v>
      </c>
      <c r="S323" s="5">
        <v>0</v>
      </c>
      <c r="T323" s="5">
        <v>0.36754679172752641</v>
      </c>
      <c r="U323" s="5">
        <v>0.2772900915486049</v>
      </c>
      <c r="V323" s="5">
        <v>0.33054042476796991</v>
      </c>
      <c r="W323" s="4">
        <f>ROUND((R323*100*1)+(T323*100*2)+(U323*100*3),2)</f>
        <v>159.16</v>
      </c>
      <c r="X323" s="5">
        <v>9.2169700489732748E-3</v>
      </c>
      <c r="Y323" s="5">
        <v>0</v>
      </c>
      <c r="Z323" s="5">
        <v>0.36680357372845851</v>
      </c>
      <c r="AA323" s="5">
        <v>0.30448905517031699</v>
      </c>
      <c r="AB323" s="5">
        <v>0.31949040105225118</v>
      </c>
      <c r="AC323" s="4">
        <f>ROUND((X323*100*1)+(Z323*100*2)+(AA323*100*3),2)</f>
        <v>165.63</v>
      </c>
      <c r="AD323">
        <f>ROUND(AVERAGE(Q323,W323,AC323),2)</f>
        <v>137.49</v>
      </c>
    </row>
    <row r="324" spans="1:30" x14ac:dyDescent="0.2">
      <c r="A324">
        <v>347</v>
      </c>
      <c r="B324">
        <v>5</v>
      </c>
      <c r="C324" t="s">
        <v>1439</v>
      </c>
      <c r="D324" t="s">
        <v>1440</v>
      </c>
      <c r="E324" t="s">
        <v>1441</v>
      </c>
      <c r="F324" t="s">
        <v>1442</v>
      </c>
      <c r="G324" t="s">
        <v>1443</v>
      </c>
      <c r="H324" t="s">
        <v>67</v>
      </c>
      <c r="I324" t="s">
        <v>67</v>
      </c>
      <c r="J324" t="s">
        <v>92</v>
      </c>
      <c r="K324" t="s">
        <v>277</v>
      </c>
      <c r="L324" s="5">
        <v>0</v>
      </c>
      <c r="M324" s="5">
        <v>0</v>
      </c>
      <c r="N324" s="5">
        <v>0.39360052873191892</v>
      </c>
      <c r="O324" s="5">
        <v>0.19863313276424749</v>
      </c>
      <c r="P324" s="5">
        <v>0.40776633850383348</v>
      </c>
      <c r="Q324" s="4">
        <f>ROUND((L324*100*1)+(N324*100*2)+(O324*100*3),2)</f>
        <v>138.31</v>
      </c>
      <c r="R324" s="5">
        <v>6.0862708722064394E-3</v>
      </c>
      <c r="S324" s="5">
        <v>0</v>
      </c>
      <c r="T324" s="5">
        <v>0.2383404007301419</v>
      </c>
      <c r="U324" s="5">
        <v>7.1991896872101752E-2</v>
      </c>
      <c r="V324" s="5">
        <v>0.68358143152554995</v>
      </c>
      <c r="W324" s="4">
        <f>ROUND((R324*100*1)+(T324*100*2)+(U324*100*3),2)</f>
        <v>69.87</v>
      </c>
      <c r="X324" s="5">
        <v>3.5264606864675613E-2</v>
      </c>
      <c r="Y324" s="5">
        <v>0</v>
      </c>
      <c r="Z324" s="5">
        <v>0.18442573256065359</v>
      </c>
      <c r="AA324" s="5">
        <v>2.5074307537288169E-2</v>
      </c>
      <c r="AB324" s="5">
        <v>0.75523535303738254</v>
      </c>
      <c r="AC324" s="4">
        <f>ROUND((X324*100*1)+(Z324*100*2)+(AA324*100*3),2)</f>
        <v>47.93</v>
      </c>
      <c r="AD324">
        <f>ROUND(AVERAGE(Q324,W324,AC324),2)</f>
        <v>85.37</v>
      </c>
    </row>
    <row r="325" spans="1:30" x14ac:dyDescent="0.2">
      <c r="A325">
        <v>348</v>
      </c>
      <c r="B325">
        <v>1</v>
      </c>
      <c r="C325" t="s">
        <v>1444</v>
      </c>
      <c r="D325" t="s">
        <v>1445</v>
      </c>
      <c r="E325" t="s">
        <v>1446</v>
      </c>
      <c r="F325" t="s">
        <v>1447</v>
      </c>
      <c r="G325" t="s">
        <v>1448</v>
      </c>
      <c r="H325" t="s">
        <v>67</v>
      </c>
      <c r="I325" t="s">
        <v>67</v>
      </c>
      <c r="J325" t="s">
        <v>34</v>
      </c>
      <c r="K325" t="s">
        <v>230</v>
      </c>
      <c r="L325" s="5">
        <v>0</v>
      </c>
      <c r="M325" s="5">
        <v>0</v>
      </c>
      <c r="N325" s="5">
        <v>0.19258511396455691</v>
      </c>
      <c r="O325" s="5">
        <v>0</v>
      </c>
      <c r="P325" s="5">
        <v>0.80741488603544309</v>
      </c>
      <c r="Q325" s="4">
        <f>ROUND((L325*100*1)+(N325*100*2)+(O325*100*3),2)</f>
        <v>38.520000000000003</v>
      </c>
      <c r="R325" s="5">
        <v>0</v>
      </c>
      <c r="S325" s="5">
        <v>0</v>
      </c>
      <c r="T325" s="5">
        <v>0.15445971668413891</v>
      </c>
      <c r="U325" s="5">
        <v>0</v>
      </c>
      <c r="V325" s="5">
        <v>0.84554028331586106</v>
      </c>
      <c r="W325" s="4">
        <f>ROUND((R325*100*1)+(T325*100*2)+(U325*100*3),2)</f>
        <v>30.89</v>
      </c>
      <c r="X325" s="5">
        <v>0</v>
      </c>
      <c r="Y325" s="5">
        <v>0</v>
      </c>
      <c r="Z325" s="5">
        <v>0.16339288650879369</v>
      </c>
      <c r="AA325" s="5">
        <v>3.2223018085247168E-4</v>
      </c>
      <c r="AB325" s="5">
        <v>0.83628488331035378</v>
      </c>
      <c r="AC325" s="4">
        <f>ROUND((X325*100*1)+(Z325*100*2)+(AA325*100*3),2)</f>
        <v>32.78</v>
      </c>
      <c r="AD325">
        <f>ROUND(AVERAGE(Q325,W325,AC325),2)</f>
        <v>34.06</v>
      </c>
    </row>
    <row r="326" spans="1:30" x14ac:dyDescent="0.2">
      <c r="A326">
        <v>349</v>
      </c>
      <c r="B326">
        <v>1</v>
      </c>
      <c r="C326" t="s">
        <v>1449</v>
      </c>
      <c r="D326" t="s">
        <v>1450</v>
      </c>
      <c r="E326" t="s">
        <v>1451</v>
      </c>
      <c r="F326" t="s">
        <v>1452</v>
      </c>
      <c r="G326" t="s">
        <v>1453</v>
      </c>
      <c r="H326" t="s">
        <v>67</v>
      </c>
      <c r="I326" t="s">
        <v>67</v>
      </c>
      <c r="J326" t="s">
        <v>26</v>
      </c>
      <c r="K326" t="s">
        <v>626</v>
      </c>
      <c r="L326" s="5">
        <v>0</v>
      </c>
      <c r="M326" s="5">
        <v>0</v>
      </c>
      <c r="N326" s="5">
        <v>0.22339288981317951</v>
      </c>
      <c r="O326" s="5">
        <v>0</v>
      </c>
      <c r="P326" s="5">
        <v>0.77660711018682049</v>
      </c>
      <c r="Q326" s="4">
        <f>ROUND((L326*100*1)+(N326*100*2)+(O326*100*3),2)</f>
        <v>44.68</v>
      </c>
      <c r="R326" s="5">
        <v>0</v>
      </c>
      <c r="S326" s="5">
        <v>1.1733940370417891E-2</v>
      </c>
      <c r="T326" s="5">
        <v>0.1556615873590263</v>
      </c>
      <c r="U326" s="5">
        <v>9.9640456282299693E-3</v>
      </c>
      <c r="V326" s="5">
        <v>0.82264042664232584</v>
      </c>
      <c r="W326" s="4">
        <f>ROUND((R326*100*1)+(T326*100*2)+(U326*100*3),2)</f>
        <v>34.119999999999997</v>
      </c>
      <c r="X326" s="5">
        <v>0</v>
      </c>
      <c r="Y326" s="5">
        <v>4.086854802489194E-3</v>
      </c>
      <c r="Z326" s="5">
        <v>0.14109934577113481</v>
      </c>
      <c r="AA326" s="5">
        <v>5.5579514942339023E-2</v>
      </c>
      <c r="AB326" s="5">
        <v>0.79923428448403699</v>
      </c>
      <c r="AC326" s="4">
        <f>ROUND((X326*100*1)+(Z326*100*2)+(AA326*100*3),2)</f>
        <v>44.89</v>
      </c>
      <c r="AD326">
        <f>ROUND(AVERAGE(Q326,W326,AC326),2)</f>
        <v>41.23</v>
      </c>
    </row>
    <row r="327" spans="1:30" x14ac:dyDescent="0.2">
      <c r="A327">
        <v>350</v>
      </c>
      <c r="B327">
        <v>1</v>
      </c>
      <c r="C327" t="s">
        <v>1454</v>
      </c>
      <c r="D327" t="s">
        <v>1455</v>
      </c>
      <c r="E327" t="s">
        <v>682</v>
      </c>
      <c r="H327" t="s">
        <v>67</v>
      </c>
      <c r="I327" t="s">
        <v>67</v>
      </c>
      <c r="J327" t="s">
        <v>34</v>
      </c>
      <c r="K327" t="s">
        <v>904</v>
      </c>
      <c r="L327" s="5">
        <v>0</v>
      </c>
      <c r="M327" s="5">
        <v>0</v>
      </c>
      <c r="N327" s="5">
        <v>0.37273099273803623</v>
      </c>
      <c r="O327" s="5">
        <v>0.35369530233832869</v>
      </c>
      <c r="P327" s="5">
        <v>0.27357370492363509</v>
      </c>
      <c r="Q327" s="4">
        <f>ROUND((L327*100*1)+(N327*100*2)+(O327*100*3),2)</f>
        <v>180.65</v>
      </c>
      <c r="R327" s="5">
        <v>0</v>
      </c>
      <c r="S327" s="5">
        <v>0</v>
      </c>
      <c r="T327" s="5">
        <v>0.36566354844855148</v>
      </c>
      <c r="U327" s="5">
        <v>0.30066417595292</v>
      </c>
      <c r="V327" s="5">
        <v>0.33367227559852852</v>
      </c>
      <c r="W327" s="4">
        <f>ROUND((R327*100*1)+(T327*100*2)+(U327*100*3),2)</f>
        <v>163.33000000000001</v>
      </c>
      <c r="X327" s="5">
        <v>9.5622665780495527E-5</v>
      </c>
      <c r="Y327" s="5">
        <v>0</v>
      </c>
      <c r="Z327" s="5">
        <v>0.28445768421670092</v>
      </c>
      <c r="AA327" s="5">
        <v>0.1912628923250165</v>
      </c>
      <c r="AB327" s="5">
        <v>0.52418380079250215</v>
      </c>
      <c r="AC327" s="4">
        <f>ROUND((X327*100*1)+(Z327*100*2)+(AA327*100*3),2)</f>
        <v>114.28</v>
      </c>
      <c r="AD327">
        <f>ROUND(AVERAGE(Q327,W327,AC327),2)</f>
        <v>152.75</v>
      </c>
    </row>
    <row r="328" spans="1:30" x14ac:dyDescent="0.2">
      <c r="A328">
        <v>352</v>
      </c>
      <c r="B328">
        <v>1</v>
      </c>
      <c r="C328" t="s">
        <v>1456</v>
      </c>
      <c r="D328" t="s">
        <v>1457</v>
      </c>
      <c r="E328" t="s">
        <v>180</v>
      </c>
      <c r="H328" t="s">
        <v>67</v>
      </c>
      <c r="I328" t="s">
        <v>67</v>
      </c>
      <c r="J328" t="s">
        <v>34</v>
      </c>
      <c r="K328" t="s">
        <v>210</v>
      </c>
      <c r="L328" s="5">
        <v>4.6466347097062682E-2</v>
      </c>
      <c r="M328" s="5">
        <v>0</v>
      </c>
      <c r="N328" s="5">
        <v>0.48111492396520222</v>
      </c>
      <c r="O328" s="5">
        <v>0.46524720279274678</v>
      </c>
      <c r="P328" s="5">
        <v>7.1715261449880616E-3</v>
      </c>
      <c r="Q328" s="4">
        <f>ROUND((L328*100*1)+(N328*100*2)+(O328*100*3),2)</f>
        <v>240.44</v>
      </c>
      <c r="R328" s="5">
        <v>0.14529925959352979</v>
      </c>
      <c r="S328" s="5">
        <v>0</v>
      </c>
      <c r="T328" s="5">
        <v>0.2301220913437769</v>
      </c>
      <c r="U328" s="5">
        <v>0.20886027261292289</v>
      </c>
      <c r="V328" s="5">
        <v>0.41571837644977028</v>
      </c>
      <c r="W328" s="4">
        <f>ROUND((R328*100*1)+(T328*100*2)+(U328*100*3),2)</f>
        <v>123.21</v>
      </c>
      <c r="X328" s="5">
        <v>0.1352598596473647</v>
      </c>
      <c r="Y328" s="5">
        <v>0</v>
      </c>
      <c r="Z328" s="5">
        <v>0.20010179563635239</v>
      </c>
      <c r="AA328" s="5">
        <v>9.0085302610720716E-2</v>
      </c>
      <c r="AB328" s="5">
        <v>0.57455304210556224</v>
      </c>
      <c r="AC328" s="4">
        <f>ROUND((X328*100*1)+(Z328*100*2)+(AA328*100*3),2)</f>
        <v>80.569999999999993</v>
      </c>
      <c r="AD328">
        <f>ROUND(AVERAGE(Q328,W328,AC328),2)</f>
        <v>148.07</v>
      </c>
    </row>
    <row r="329" spans="1:30" x14ac:dyDescent="0.2">
      <c r="A329">
        <v>353</v>
      </c>
      <c r="B329">
        <v>9</v>
      </c>
      <c r="C329" t="s">
        <v>1458</v>
      </c>
      <c r="D329" t="s">
        <v>1459</v>
      </c>
      <c r="E329" t="s">
        <v>612</v>
      </c>
      <c r="F329" t="s">
        <v>1460</v>
      </c>
      <c r="G329" t="s">
        <v>1461</v>
      </c>
      <c r="H329" t="s">
        <v>67</v>
      </c>
      <c r="I329" t="s">
        <v>67</v>
      </c>
      <c r="J329" t="s">
        <v>26</v>
      </c>
      <c r="K329" t="s">
        <v>68</v>
      </c>
      <c r="L329" s="5">
        <v>0.41694963931629248</v>
      </c>
      <c r="M329" s="5">
        <v>0</v>
      </c>
      <c r="N329" s="5">
        <v>0.5332968446282067</v>
      </c>
      <c r="O329" s="5">
        <v>4.9753516055508692E-2</v>
      </c>
      <c r="P329" s="5">
        <v>0</v>
      </c>
      <c r="Q329" s="4">
        <f>ROUND((L329*100*1)+(N329*100*2)+(O329*100*3),2)</f>
        <v>163.28</v>
      </c>
      <c r="R329" s="5">
        <v>0.33379265256640522</v>
      </c>
      <c r="S329" s="5">
        <v>0</v>
      </c>
      <c r="T329" s="5">
        <v>0.39957600663056592</v>
      </c>
      <c r="U329" s="5">
        <v>6.7170570703778271E-2</v>
      </c>
      <c r="V329" s="5">
        <v>0.19946077009925059</v>
      </c>
      <c r="W329" s="4">
        <f>ROUND((R329*100*1)+(T329*100*2)+(U329*100*3),2)</f>
        <v>133.44999999999999</v>
      </c>
      <c r="X329" s="5">
        <v>0.17947135842987341</v>
      </c>
      <c r="Y329" s="5">
        <v>0</v>
      </c>
      <c r="Z329" s="5">
        <v>0.42266972760036092</v>
      </c>
      <c r="AA329" s="5">
        <v>0.14331146594807359</v>
      </c>
      <c r="AB329" s="5">
        <v>0.25454744802169199</v>
      </c>
      <c r="AC329" s="4">
        <f>ROUND((X329*100*1)+(Z329*100*2)+(AA329*100*3),2)</f>
        <v>145.47</v>
      </c>
      <c r="AD329">
        <f>ROUND(AVERAGE(Q329,W329,AC329),2)</f>
        <v>147.4</v>
      </c>
    </row>
    <row r="330" spans="1:30" x14ac:dyDescent="0.2">
      <c r="A330">
        <v>354</v>
      </c>
      <c r="B330">
        <v>1</v>
      </c>
      <c r="C330" t="s">
        <v>1462</v>
      </c>
      <c r="D330" t="s">
        <v>1463</v>
      </c>
      <c r="E330" t="s">
        <v>1464</v>
      </c>
      <c r="F330" t="s">
        <v>1465</v>
      </c>
      <c r="H330" t="s">
        <v>25</v>
      </c>
      <c r="I330" t="s">
        <v>42</v>
      </c>
      <c r="J330" t="s">
        <v>26</v>
      </c>
      <c r="K330" t="s">
        <v>650</v>
      </c>
      <c r="L330" s="5">
        <v>0</v>
      </c>
      <c r="M330" s="5">
        <v>0</v>
      </c>
      <c r="N330" s="5">
        <v>0</v>
      </c>
      <c r="O330" s="5">
        <v>0</v>
      </c>
      <c r="P330" s="5">
        <v>1</v>
      </c>
      <c r="Q330" s="4">
        <f>ROUND((L330*100*1)+(N330*100*2)+(O330*100*3),2)</f>
        <v>0</v>
      </c>
      <c r="R330" s="5">
        <v>0</v>
      </c>
      <c r="S330" s="5">
        <v>0</v>
      </c>
      <c r="T330" s="5">
        <v>0</v>
      </c>
      <c r="U330" s="5">
        <v>0</v>
      </c>
      <c r="V330" s="5">
        <v>1</v>
      </c>
      <c r="W330" s="4">
        <f>ROUND((R330*100*1)+(T330*100*2)+(U330*100*3),2)</f>
        <v>0</v>
      </c>
      <c r="X330" s="5">
        <v>0</v>
      </c>
      <c r="Y330" s="5">
        <v>0</v>
      </c>
      <c r="Z330" s="5">
        <v>1.2370261310266121E-2</v>
      </c>
      <c r="AA330" s="5">
        <v>1.7493151468991491E-3</v>
      </c>
      <c r="AB330" s="5">
        <v>0.98588042354283478</v>
      </c>
      <c r="AC330" s="4">
        <f>ROUND((X330*100*1)+(Z330*100*2)+(AA330*100*3),2)</f>
        <v>3</v>
      </c>
      <c r="AD330">
        <f>ROUND(AVERAGE(Q330,W330,AC330),2)</f>
        <v>1</v>
      </c>
    </row>
    <row r="331" spans="1:30" x14ac:dyDescent="0.2">
      <c r="A331">
        <v>355</v>
      </c>
      <c r="B331">
        <v>1</v>
      </c>
      <c r="C331" t="s">
        <v>1466</v>
      </c>
      <c r="D331" t="s">
        <v>1467</v>
      </c>
      <c r="E331" t="s">
        <v>1468</v>
      </c>
      <c r="F331" t="s">
        <v>543</v>
      </c>
      <c r="G331" t="s">
        <v>544</v>
      </c>
      <c r="H331" t="s">
        <v>25</v>
      </c>
      <c r="I331" t="s">
        <v>25</v>
      </c>
      <c r="J331" t="s">
        <v>34</v>
      </c>
      <c r="K331" t="s">
        <v>1108</v>
      </c>
      <c r="L331" s="5">
        <v>0.97093382160479769</v>
      </c>
      <c r="M331" s="5">
        <v>0</v>
      </c>
      <c r="N331" s="5">
        <v>2.9066178395226409E-2</v>
      </c>
      <c r="O331" s="5">
        <v>0</v>
      </c>
      <c r="P331" s="5">
        <v>0</v>
      </c>
      <c r="Q331" s="4">
        <f>ROUND((L331*100*1)+(N331*100*2)+(O331*100*3),2)</f>
        <v>102.91</v>
      </c>
      <c r="R331" s="5">
        <v>0.73280476359379865</v>
      </c>
      <c r="S331" s="5">
        <v>0</v>
      </c>
      <c r="T331" s="5">
        <v>5.6813210688277417E-2</v>
      </c>
      <c r="U331" s="5">
        <v>0</v>
      </c>
      <c r="V331" s="5">
        <v>0.210382025717924</v>
      </c>
      <c r="W331" s="4">
        <f>ROUND((R331*100*1)+(T331*100*2)+(U331*100*3),2)</f>
        <v>84.64</v>
      </c>
      <c r="X331" s="5">
        <v>0.57854402668032778</v>
      </c>
      <c r="Y331" s="5">
        <v>0</v>
      </c>
      <c r="Z331" s="5">
        <v>4.4741266233203097E-2</v>
      </c>
      <c r="AA331" s="5">
        <v>8.0582530439816166E-4</v>
      </c>
      <c r="AB331" s="5">
        <v>0.37590888178207088</v>
      </c>
      <c r="AC331" s="4">
        <f>ROUND((X331*100*1)+(Z331*100*2)+(AA331*100*3),2)</f>
        <v>67.040000000000006</v>
      </c>
      <c r="AD331">
        <f>ROUND(AVERAGE(Q331,W331,AC331),2)</f>
        <v>84.86</v>
      </c>
    </row>
    <row r="332" spans="1:30" x14ac:dyDescent="0.2">
      <c r="A332">
        <v>356</v>
      </c>
      <c r="B332">
        <v>2</v>
      </c>
      <c r="C332" t="s">
        <v>1469</v>
      </c>
      <c r="D332" t="s">
        <v>1470</v>
      </c>
      <c r="E332" t="s">
        <v>1471</v>
      </c>
      <c r="F332" t="s">
        <v>1472</v>
      </c>
      <c r="G332" t="s">
        <v>1473</v>
      </c>
      <c r="H332" t="s">
        <v>67</v>
      </c>
      <c r="I332" t="s">
        <v>67</v>
      </c>
      <c r="J332" t="s">
        <v>26</v>
      </c>
      <c r="K332" t="s">
        <v>904</v>
      </c>
      <c r="L332" s="5">
        <v>4.4320557740515796E-3</v>
      </c>
      <c r="M332" s="5">
        <v>0</v>
      </c>
      <c r="N332" s="5">
        <v>0.21239494256189689</v>
      </c>
      <c r="O332" s="5">
        <v>2.604802513547717E-2</v>
      </c>
      <c r="P332" s="5">
        <v>0.75712497652857436</v>
      </c>
      <c r="Q332" s="4">
        <f>ROUND((L332*100*1)+(N332*100*2)+(O332*100*3),2)</f>
        <v>50.74</v>
      </c>
      <c r="R332" s="5">
        <v>0.25769216493806768</v>
      </c>
      <c r="S332" s="5">
        <v>0</v>
      </c>
      <c r="T332" s="5">
        <v>0.1667180652576854</v>
      </c>
      <c r="U332" s="5">
        <v>1.5482898767457211E-2</v>
      </c>
      <c r="V332" s="5">
        <v>0.56010687103678958</v>
      </c>
      <c r="W332" s="4">
        <f>ROUND((R332*100*1)+(T332*100*2)+(U332*100*3),2)</f>
        <v>63.76</v>
      </c>
      <c r="X332" s="5">
        <v>0.34458858177044632</v>
      </c>
      <c r="Y332" s="5">
        <v>0</v>
      </c>
      <c r="Z332" s="5">
        <v>0.1542262068630405</v>
      </c>
      <c r="AA332" s="5">
        <v>2.182580307016101E-2</v>
      </c>
      <c r="AB332" s="5">
        <v>0.47935940829635232</v>
      </c>
      <c r="AC332" s="4">
        <f>ROUND((X332*100*1)+(Z332*100*2)+(AA332*100*3),2)</f>
        <v>71.849999999999994</v>
      </c>
      <c r="AD332">
        <f>ROUND(AVERAGE(Q332,W332,AC332),2)</f>
        <v>62.12</v>
      </c>
    </row>
    <row r="333" spans="1:30" x14ac:dyDescent="0.2">
      <c r="A333">
        <v>357</v>
      </c>
      <c r="B333">
        <v>1</v>
      </c>
      <c r="C333" t="s">
        <v>1474</v>
      </c>
      <c r="D333" t="s">
        <v>1475</v>
      </c>
      <c r="E333" t="s">
        <v>1476</v>
      </c>
      <c r="H333" t="s">
        <v>67</v>
      </c>
      <c r="I333" t="s">
        <v>67</v>
      </c>
      <c r="J333" t="s">
        <v>26</v>
      </c>
      <c r="K333" t="s">
        <v>775</v>
      </c>
      <c r="L333" s="5">
        <v>0</v>
      </c>
      <c r="M333" s="5">
        <v>0</v>
      </c>
      <c r="N333" s="5">
        <v>6.6262851617956683E-2</v>
      </c>
      <c r="O333" s="5">
        <v>0.1184589242623359</v>
      </c>
      <c r="P333" s="5">
        <v>0.81527822411970741</v>
      </c>
      <c r="Q333" s="4">
        <f>ROUND((L333*100*1)+(N333*100*2)+(O333*100*3),2)</f>
        <v>48.79</v>
      </c>
      <c r="R333" s="5">
        <v>7.9443894370851226E-2</v>
      </c>
      <c r="S333" s="5">
        <v>0</v>
      </c>
      <c r="T333" s="5">
        <v>0.16984557654120519</v>
      </c>
      <c r="U333" s="5">
        <v>0.19649588526089981</v>
      </c>
      <c r="V333" s="5">
        <v>0.55421464382704388</v>
      </c>
      <c r="W333" s="4">
        <f>ROUND((R333*100*1)+(T333*100*2)+(U333*100*3),2)</f>
        <v>100.86</v>
      </c>
      <c r="X333" s="5">
        <v>0.16905340166401209</v>
      </c>
      <c r="Y333" s="5">
        <v>0</v>
      </c>
      <c r="Z333" s="5">
        <v>0.14912499591150699</v>
      </c>
      <c r="AA333" s="5">
        <v>0.1531588548656308</v>
      </c>
      <c r="AB333" s="5">
        <v>0.52866274755885001</v>
      </c>
      <c r="AC333" s="4">
        <f>ROUND((X333*100*1)+(Z333*100*2)+(AA333*100*3),2)</f>
        <v>92.68</v>
      </c>
      <c r="AD333">
        <f>ROUND(AVERAGE(Q333,W333,AC333),2)</f>
        <v>80.78</v>
      </c>
    </row>
    <row r="334" spans="1:30" x14ac:dyDescent="0.2">
      <c r="A334">
        <v>358</v>
      </c>
      <c r="B334">
        <v>1</v>
      </c>
      <c r="C334" t="s">
        <v>1477</v>
      </c>
      <c r="D334" t="s">
        <v>1478</v>
      </c>
      <c r="E334" t="s">
        <v>1011</v>
      </c>
      <c r="F334" t="s">
        <v>1479</v>
      </c>
      <c r="G334" t="s">
        <v>1480</v>
      </c>
      <c r="H334" t="s">
        <v>80</v>
      </c>
      <c r="I334" t="s">
        <v>80</v>
      </c>
      <c r="J334" t="s">
        <v>26</v>
      </c>
      <c r="K334" t="s">
        <v>149</v>
      </c>
      <c r="L334" s="5">
        <v>1.214032221417363E-2</v>
      </c>
      <c r="M334" s="5">
        <v>0</v>
      </c>
      <c r="N334" s="5">
        <v>0.2051371501321802</v>
      </c>
      <c r="O334" s="5">
        <v>5.8468548361318142E-3</v>
      </c>
      <c r="P334" s="5">
        <v>0.77687567281751435</v>
      </c>
      <c r="Q334" s="4">
        <f>ROUND((L334*100*1)+(N334*100*2)+(O334*100*3),2)</f>
        <v>44</v>
      </c>
      <c r="R334" s="5">
        <v>4.2975926086833302E-2</v>
      </c>
      <c r="S334" s="5">
        <v>0</v>
      </c>
      <c r="T334" s="5">
        <v>0.17431720360281289</v>
      </c>
      <c r="U334" s="5">
        <v>3.83903600185526E-3</v>
      </c>
      <c r="V334" s="5">
        <v>0.7788678343084986</v>
      </c>
      <c r="W334" s="4">
        <f>ROUND((R334*100*1)+(T334*100*2)+(U334*100*3),2)</f>
        <v>40.31</v>
      </c>
      <c r="X334" s="5">
        <v>1.7990468500156939E-2</v>
      </c>
      <c r="Y334" s="5">
        <v>0</v>
      </c>
      <c r="Z334" s="5">
        <v>0.1228358801309304</v>
      </c>
      <c r="AA334" s="5">
        <v>2.5620903812128499E-3</v>
      </c>
      <c r="AB334" s="5">
        <v>0.85661156098769986</v>
      </c>
      <c r="AC334" s="4">
        <f>ROUND((X334*100*1)+(Z334*100*2)+(AA334*100*3),2)</f>
        <v>27.13</v>
      </c>
      <c r="AD334">
        <f>ROUND(AVERAGE(Q334,W334,AC334),2)</f>
        <v>37.15</v>
      </c>
    </row>
    <row r="335" spans="1:30" x14ac:dyDescent="0.2">
      <c r="A335">
        <v>359</v>
      </c>
      <c r="B335">
        <v>1</v>
      </c>
      <c r="C335" t="s">
        <v>1481</v>
      </c>
      <c r="D335" t="s">
        <v>1482</v>
      </c>
      <c r="E335" t="s">
        <v>1483</v>
      </c>
      <c r="F335" t="s">
        <v>1484</v>
      </c>
      <c r="G335" t="s">
        <v>1485</v>
      </c>
      <c r="H335" t="s">
        <v>67</v>
      </c>
      <c r="I335" t="s">
        <v>67</v>
      </c>
      <c r="J335" t="s">
        <v>34</v>
      </c>
      <c r="K335" t="s">
        <v>149</v>
      </c>
      <c r="L335" s="5">
        <v>0</v>
      </c>
      <c r="M335" s="5">
        <v>0</v>
      </c>
      <c r="N335" s="5">
        <v>0.307027343331155</v>
      </c>
      <c r="O335" s="5">
        <v>0.6169159768007646</v>
      </c>
      <c r="P335" s="5">
        <v>7.6056679868080401E-2</v>
      </c>
      <c r="Q335" s="4">
        <f>ROUND((L335*100*1)+(N335*100*2)+(O335*100*3),2)</f>
        <v>246.48</v>
      </c>
      <c r="R335" s="5">
        <v>8.9847085623543585E-3</v>
      </c>
      <c r="S335" s="5">
        <v>0</v>
      </c>
      <c r="T335" s="5">
        <v>0.27159875882555301</v>
      </c>
      <c r="U335" s="5">
        <v>0.40184631389947112</v>
      </c>
      <c r="V335" s="5">
        <v>0.31757021871262148</v>
      </c>
      <c r="W335" s="4">
        <f>ROUND((R335*100*1)+(T335*100*2)+(U335*100*3),2)</f>
        <v>175.77</v>
      </c>
      <c r="X335" s="5">
        <v>1.537303426309606E-2</v>
      </c>
      <c r="Y335" s="5">
        <v>0</v>
      </c>
      <c r="Z335" s="5">
        <v>0.18886856094768481</v>
      </c>
      <c r="AA335" s="5">
        <v>0.18452318864491979</v>
      </c>
      <c r="AB335" s="5">
        <v>0.61123521614429932</v>
      </c>
      <c r="AC335" s="4">
        <f>ROUND((X335*100*1)+(Z335*100*2)+(AA335*100*3),2)</f>
        <v>94.67</v>
      </c>
      <c r="AD335">
        <f>ROUND(AVERAGE(Q335,W335,AC335),2)</f>
        <v>172.31</v>
      </c>
    </row>
    <row r="336" spans="1:30" x14ac:dyDescent="0.2">
      <c r="A336">
        <v>360</v>
      </c>
      <c r="B336">
        <v>1</v>
      </c>
      <c r="C336" t="s">
        <v>1486</v>
      </c>
      <c r="D336" t="s">
        <v>1487</v>
      </c>
      <c r="E336" t="s">
        <v>1488</v>
      </c>
      <c r="F336" t="s">
        <v>410</v>
      </c>
      <c r="G336" t="s">
        <v>411</v>
      </c>
      <c r="H336" t="s">
        <v>25</v>
      </c>
      <c r="I336" t="s">
        <v>25</v>
      </c>
      <c r="J336" t="s">
        <v>26</v>
      </c>
      <c r="K336" t="s">
        <v>1108</v>
      </c>
      <c r="L336" s="5">
        <v>0.85050163719887051</v>
      </c>
      <c r="M336" s="5">
        <v>0</v>
      </c>
      <c r="N336" s="5">
        <v>0.1494983628011376</v>
      </c>
      <c r="O336" s="5">
        <v>0</v>
      </c>
      <c r="P336" s="5">
        <v>0</v>
      </c>
      <c r="Q336" s="4">
        <f>ROUND((L336*100*1)+(N336*100*2)+(O336*100*3),2)</f>
        <v>114.95</v>
      </c>
      <c r="R336" s="5">
        <v>0.90714990036274645</v>
      </c>
      <c r="S336" s="5">
        <v>0</v>
      </c>
      <c r="T336" s="5">
        <v>9.2341051584781994E-2</v>
      </c>
      <c r="U336" s="5">
        <v>5.0904805247635422E-4</v>
      </c>
      <c r="V336" s="5">
        <v>0</v>
      </c>
      <c r="W336" s="4">
        <f>ROUND((R336*100*1)+(T336*100*2)+(U336*100*3),2)</f>
        <v>109.34</v>
      </c>
      <c r="X336" s="5">
        <v>0.93686767456494013</v>
      </c>
      <c r="Y336" s="5">
        <v>0</v>
      </c>
      <c r="Z336" s="5">
        <v>6.2898961837348E-2</v>
      </c>
      <c r="AA336" s="5">
        <v>1.7729811233791609E-4</v>
      </c>
      <c r="AB336" s="5">
        <v>5.606548537395728E-5</v>
      </c>
      <c r="AC336" s="4">
        <f>ROUND((X336*100*1)+(Z336*100*2)+(AA336*100*3),2)</f>
        <v>106.32</v>
      </c>
      <c r="AD336">
        <f>ROUND(AVERAGE(Q336,W336,AC336),2)</f>
        <v>110.2</v>
      </c>
    </row>
    <row r="337" spans="1:30" x14ac:dyDescent="0.2">
      <c r="A337">
        <v>361</v>
      </c>
      <c r="B337">
        <v>1</v>
      </c>
      <c r="C337" t="s">
        <v>1489</v>
      </c>
      <c r="D337" t="s">
        <v>1490</v>
      </c>
      <c r="E337" t="s">
        <v>1488</v>
      </c>
      <c r="F337" t="s">
        <v>1491</v>
      </c>
      <c r="G337" t="s">
        <v>1492</v>
      </c>
      <c r="H337" t="s">
        <v>25</v>
      </c>
      <c r="I337" t="s">
        <v>25</v>
      </c>
      <c r="J337" t="s">
        <v>26</v>
      </c>
      <c r="K337" t="s">
        <v>1108</v>
      </c>
      <c r="L337" s="5">
        <v>7.542277718255215E-2</v>
      </c>
      <c r="M337" s="5">
        <v>0</v>
      </c>
      <c r="N337" s="5">
        <v>0</v>
      </c>
      <c r="O337" s="5">
        <v>0</v>
      </c>
      <c r="P337" s="5">
        <v>0.92457722281744781</v>
      </c>
      <c r="Q337" s="4">
        <f>ROUND((L337*100*1)+(N337*100*2)+(O337*100*3),2)</f>
        <v>7.54</v>
      </c>
      <c r="R337" s="5">
        <v>0.58100075394190598</v>
      </c>
      <c r="S337" s="5">
        <v>0</v>
      </c>
      <c r="T337" s="5">
        <v>6.4902336511023243E-2</v>
      </c>
      <c r="U337" s="5">
        <v>4.2110484185642082E-2</v>
      </c>
      <c r="V337" s="5">
        <v>0.31198642536142862</v>
      </c>
      <c r="W337" s="4">
        <f>ROUND((R337*100*1)+(T337*100*2)+(U337*100*3),2)</f>
        <v>83.71</v>
      </c>
      <c r="X337" s="5">
        <v>0.79116791355174765</v>
      </c>
      <c r="Y337" s="5">
        <v>0</v>
      </c>
      <c r="Z337" s="5">
        <v>6.4608601734366625E-2</v>
      </c>
      <c r="AA337" s="5">
        <v>1.478857547620728E-2</v>
      </c>
      <c r="AB337" s="5">
        <v>0.12943490923767839</v>
      </c>
      <c r="AC337" s="4">
        <f>ROUND((X337*100*1)+(Z337*100*2)+(AA337*100*3),2)</f>
        <v>96.48</v>
      </c>
      <c r="AD337">
        <f>ROUND(AVERAGE(Q337,W337,AC337),2)</f>
        <v>62.58</v>
      </c>
    </row>
    <row r="338" spans="1:30" x14ac:dyDescent="0.2">
      <c r="A338">
        <v>362</v>
      </c>
      <c r="B338">
        <v>1</v>
      </c>
      <c r="C338" t="s">
        <v>1493</v>
      </c>
      <c r="D338" t="s">
        <v>1494</v>
      </c>
      <c r="E338" t="s">
        <v>1488</v>
      </c>
      <c r="F338" t="s">
        <v>1495</v>
      </c>
      <c r="G338" t="s">
        <v>1496</v>
      </c>
      <c r="H338" t="s">
        <v>25</v>
      </c>
      <c r="I338" t="s">
        <v>25</v>
      </c>
      <c r="J338" t="s">
        <v>26</v>
      </c>
      <c r="K338" t="s">
        <v>1108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4">
        <f>ROUND((L338*100*1)+(N338*100*2)+(O338*100*3),2)</f>
        <v>100</v>
      </c>
      <c r="R338" s="5">
        <v>0.99491801762613952</v>
      </c>
      <c r="S338" s="5">
        <v>0</v>
      </c>
      <c r="T338" s="5">
        <v>5.081982373860967E-3</v>
      </c>
      <c r="U338" s="5">
        <v>0</v>
      </c>
      <c r="V338" s="5">
        <v>0</v>
      </c>
      <c r="W338" s="4">
        <f>ROUND((R338*100*1)+(T338*100*2)+(U338*100*3),2)</f>
        <v>100.51</v>
      </c>
      <c r="X338" s="5">
        <v>0.97958633272489759</v>
      </c>
      <c r="Y338" s="5">
        <v>0</v>
      </c>
      <c r="Z338" s="5">
        <v>2.041366727511576E-2</v>
      </c>
      <c r="AA338" s="5">
        <v>0</v>
      </c>
      <c r="AB338" s="5">
        <v>0</v>
      </c>
      <c r="AC338" s="4">
        <f>ROUND((X338*100*1)+(Z338*100*2)+(AA338*100*3),2)</f>
        <v>102.04</v>
      </c>
      <c r="AD338">
        <f>ROUND(AVERAGE(Q338,W338,AC338),2)</f>
        <v>100.85</v>
      </c>
    </row>
    <row r="339" spans="1:30" x14ac:dyDescent="0.2">
      <c r="A339">
        <v>363</v>
      </c>
      <c r="B339">
        <v>1</v>
      </c>
      <c r="C339" t="s">
        <v>1497</v>
      </c>
      <c r="D339" t="s">
        <v>1498</v>
      </c>
      <c r="E339" t="s">
        <v>1488</v>
      </c>
      <c r="H339" t="s">
        <v>67</v>
      </c>
      <c r="I339" t="s">
        <v>67</v>
      </c>
      <c r="J339" t="s">
        <v>92</v>
      </c>
      <c r="K339" t="s">
        <v>155</v>
      </c>
      <c r="L339" s="5">
        <v>0.13110687814008509</v>
      </c>
      <c r="M339" s="5">
        <v>0</v>
      </c>
      <c r="N339" s="5">
        <v>0.30600840919486177</v>
      </c>
      <c r="O339" s="5">
        <v>0.47266875866157781</v>
      </c>
      <c r="P339" s="5">
        <v>9.0215954003475263E-2</v>
      </c>
      <c r="Q339" s="4">
        <f>ROUND((L339*100*1)+(N339*100*2)+(O339*100*3),2)</f>
        <v>216.11</v>
      </c>
      <c r="R339" s="5">
        <v>0.40442937753069907</v>
      </c>
      <c r="S339" s="5">
        <v>0</v>
      </c>
      <c r="T339" s="5">
        <v>0.23382229393649559</v>
      </c>
      <c r="U339" s="5">
        <v>0.30258900491137708</v>
      </c>
      <c r="V339" s="5">
        <v>5.9159323621428062E-2</v>
      </c>
      <c r="W339" s="4">
        <f>ROUND((R339*100*1)+(T339*100*2)+(U339*100*3),2)</f>
        <v>177.98</v>
      </c>
      <c r="X339" s="5">
        <v>0.59409395456867287</v>
      </c>
      <c r="Y339" s="5">
        <v>0</v>
      </c>
      <c r="Z339" s="5">
        <v>0.20047903077607629</v>
      </c>
      <c r="AA339" s="5">
        <v>0.1700541595194015</v>
      </c>
      <c r="AB339" s="5">
        <v>3.5372855135849313E-2</v>
      </c>
      <c r="AC339" s="4">
        <f>ROUND((X339*100*1)+(Z339*100*2)+(AA339*100*3),2)</f>
        <v>150.52000000000001</v>
      </c>
      <c r="AD339">
        <f>ROUND(AVERAGE(Q339,W339,AC339),2)</f>
        <v>181.54</v>
      </c>
    </row>
    <row r="340" spans="1:30" x14ac:dyDescent="0.2">
      <c r="A340">
        <v>364</v>
      </c>
      <c r="B340">
        <v>1</v>
      </c>
      <c r="C340" t="s">
        <v>1499</v>
      </c>
      <c r="D340" t="s">
        <v>1500</v>
      </c>
      <c r="E340" t="s">
        <v>1501</v>
      </c>
      <c r="F340" t="s">
        <v>1502</v>
      </c>
      <c r="G340" t="s">
        <v>1503</v>
      </c>
      <c r="H340" t="s">
        <v>67</v>
      </c>
      <c r="I340" t="s">
        <v>67</v>
      </c>
      <c r="J340" t="s">
        <v>92</v>
      </c>
      <c r="K340" t="s">
        <v>771</v>
      </c>
      <c r="L340" s="5">
        <v>1.407582442723682E-2</v>
      </c>
      <c r="M340" s="5">
        <v>0</v>
      </c>
      <c r="N340" s="5">
        <v>0.28841361597930187</v>
      </c>
      <c r="O340" s="5">
        <v>0.69669008177906222</v>
      </c>
      <c r="P340" s="5">
        <v>8.2047781439897882E-4</v>
      </c>
      <c r="Q340" s="4">
        <f>ROUND((L340*100*1)+(N340*100*2)+(O340*100*3),2)</f>
        <v>268.10000000000002</v>
      </c>
      <c r="R340" s="5">
        <v>0.1613660340486035</v>
      </c>
      <c r="S340" s="5">
        <v>0</v>
      </c>
      <c r="T340" s="5">
        <v>0.27537436927331982</v>
      </c>
      <c r="U340" s="5">
        <v>0.52078187759040551</v>
      </c>
      <c r="V340" s="5">
        <v>4.2477719087671277E-2</v>
      </c>
      <c r="W340" s="4">
        <f>ROUND((R340*100*1)+(T340*100*2)+(U340*100*3),2)</f>
        <v>227.45</v>
      </c>
      <c r="X340" s="5">
        <v>0.23306519521303251</v>
      </c>
      <c r="Y340" s="5">
        <v>0</v>
      </c>
      <c r="Z340" s="5">
        <v>0.27234403042319599</v>
      </c>
      <c r="AA340" s="5">
        <v>0.39049634439296332</v>
      </c>
      <c r="AB340" s="5">
        <v>0.1040944299708081</v>
      </c>
      <c r="AC340" s="4">
        <f>ROUND((X340*100*1)+(Z340*100*2)+(AA340*100*3),2)</f>
        <v>194.92</v>
      </c>
      <c r="AD340">
        <f>ROUND(AVERAGE(Q340,W340,AC340),2)</f>
        <v>230.16</v>
      </c>
    </row>
    <row r="341" spans="1:30" x14ac:dyDescent="0.2">
      <c r="A341">
        <v>365</v>
      </c>
      <c r="B341">
        <v>1</v>
      </c>
      <c r="C341" t="s">
        <v>1504</v>
      </c>
      <c r="D341" t="s">
        <v>1505</v>
      </c>
      <c r="E341" t="s">
        <v>1506</v>
      </c>
      <c r="F341" t="s">
        <v>1507</v>
      </c>
      <c r="G341" t="s">
        <v>1508</v>
      </c>
      <c r="H341" t="s">
        <v>25</v>
      </c>
      <c r="I341" t="s">
        <v>25</v>
      </c>
      <c r="J341" t="s">
        <v>26</v>
      </c>
      <c r="K341" t="s">
        <v>50</v>
      </c>
      <c r="L341" s="5">
        <v>0</v>
      </c>
      <c r="M341" s="5">
        <v>0</v>
      </c>
      <c r="N341" s="5">
        <v>0</v>
      </c>
      <c r="O341" s="5">
        <v>0</v>
      </c>
      <c r="P341" s="5">
        <v>1</v>
      </c>
      <c r="Q341" s="4">
        <f>ROUND((L341*100*1)+(N341*100*2)+(O341*100*3),2)</f>
        <v>0</v>
      </c>
      <c r="R341" s="5">
        <v>0</v>
      </c>
      <c r="S341" s="5">
        <v>0</v>
      </c>
      <c r="T341" s="5">
        <v>5.0440269769095457E-2</v>
      </c>
      <c r="U341" s="5">
        <v>0</v>
      </c>
      <c r="V341" s="5">
        <v>0.94955973023090456</v>
      </c>
      <c r="W341" s="4">
        <f>ROUND((R341*100*1)+(T341*100*2)+(U341*100*3),2)</f>
        <v>10.09</v>
      </c>
      <c r="X341" s="5">
        <v>0</v>
      </c>
      <c r="Y341" s="5">
        <v>0</v>
      </c>
      <c r="Z341" s="5">
        <v>7.805339193601675E-2</v>
      </c>
      <c r="AA341" s="5">
        <v>3.684435459322395E-3</v>
      </c>
      <c r="AB341" s="5">
        <v>0.91826217260466081</v>
      </c>
      <c r="AC341" s="4">
        <f>ROUND((X341*100*1)+(Z341*100*2)+(AA341*100*3),2)</f>
        <v>16.72</v>
      </c>
      <c r="AD341">
        <f>ROUND(AVERAGE(Q341,W341,AC341),2)</f>
        <v>8.94</v>
      </c>
    </row>
    <row r="342" spans="1:30" x14ac:dyDescent="0.2">
      <c r="A342">
        <v>366</v>
      </c>
      <c r="B342">
        <v>1</v>
      </c>
      <c r="C342" t="s">
        <v>1509</v>
      </c>
      <c r="D342" t="s">
        <v>1510</v>
      </c>
      <c r="E342" t="s">
        <v>1221</v>
      </c>
      <c r="F342" t="s">
        <v>1511</v>
      </c>
      <c r="G342" t="s">
        <v>1512</v>
      </c>
      <c r="H342" t="s">
        <v>25</v>
      </c>
      <c r="I342" t="s">
        <v>25</v>
      </c>
      <c r="J342" t="s">
        <v>26</v>
      </c>
      <c r="K342" t="s">
        <v>50</v>
      </c>
      <c r="L342" s="5">
        <v>0.3721553590227652</v>
      </c>
      <c r="M342" s="5">
        <v>0</v>
      </c>
      <c r="N342" s="5">
        <v>0.2190496135409461</v>
      </c>
      <c r="O342" s="5">
        <v>0.1974463972582472</v>
      </c>
      <c r="P342" s="5">
        <v>0.21134863017804151</v>
      </c>
      <c r="Q342" s="4">
        <f>ROUND((L342*100*1)+(N342*100*2)+(O342*100*3),2)</f>
        <v>140.26</v>
      </c>
      <c r="R342" s="5">
        <v>0.16792701326331819</v>
      </c>
      <c r="S342" s="5">
        <v>0</v>
      </c>
      <c r="T342" s="5">
        <v>0.16579608682193989</v>
      </c>
      <c r="U342" s="5">
        <v>6.2061143004452202E-2</v>
      </c>
      <c r="V342" s="5">
        <v>0.60421575691028973</v>
      </c>
      <c r="W342" s="4">
        <f>ROUND((R342*100*1)+(T342*100*2)+(U342*100*3),2)</f>
        <v>68.569999999999993</v>
      </c>
      <c r="X342" s="5">
        <v>9.9681834205325129E-2</v>
      </c>
      <c r="Y342" s="5">
        <v>0</v>
      </c>
      <c r="Z342" s="5">
        <v>9.3982788279310239E-2</v>
      </c>
      <c r="AA342" s="5">
        <v>2.161549081799817E-2</v>
      </c>
      <c r="AB342" s="5">
        <v>0.78471988669736648</v>
      </c>
      <c r="AC342" s="4">
        <f>ROUND((X342*100*1)+(Z342*100*2)+(AA342*100*3),2)</f>
        <v>35.25</v>
      </c>
      <c r="AD342">
        <f>ROUND(AVERAGE(Q342,W342,AC342),2)</f>
        <v>81.36</v>
      </c>
    </row>
    <row r="343" spans="1:30" x14ac:dyDescent="0.2">
      <c r="A343">
        <v>367</v>
      </c>
      <c r="B343">
        <v>1</v>
      </c>
      <c r="C343" t="s">
        <v>1513</v>
      </c>
      <c r="D343" t="s">
        <v>1514</v>
      </c>
      <c r="E343" t="s">
        <v>1515</v>
      </c>
      <c r="H343" t="s">
        <v>67</v>
      </c>
      <c r="I343" t="s">
        <v>67</v>
      </c>
      <c r="J343" t="s">
        <v>26</v>
      </c>
      <c r="K343" t="s">
        <v>679</v>
      </c>
      <c r="L343" s="5">
        <v>0</v>
      </c>
      <c r="M343" s="5">
        <v>0</v>
      </c>
      <c r="N343" s="5">
        <v>0.33344944194955828</v>
      </c>
      <c r="O343" s="5">
        <v>0.60334344808745244</v>
      </c>
      <c r="P343" s="5">
        <v>6.3207109962989172E-2</v>
      </c>
      <c r="Q343" s="4">
        <f>ROUND((L343*100*1)+(N343*100*2)+(O343*100*3),2)</f>
        <v>247.69</v>
      </c>
      <c r="R343" s="5">
        <v>2.3185852720763948E-2</v>
      </c>
      <c r="S343" s="5">
        <v>0</v>
      </c>
      <c r="T343" s="5">
        <v>0.24884898019900059</v>
      </c>
      <c r="U343" s="5">
        <v>0.3876312635285048</v>
      </c>
      <c r="V343" s="5">
        <v>0.34033390355173038</v>
      </c>
      <c r="W343" s="4">
        <f>ROUND((R343*100*1)+(T343*100*2)+(U343*100*3),2)</f>
        <v>168.38</v>
      </c>
      <c r="X343" s="5">
        <v>8.9265070982558786E-2</v>
      </c>
      <c r="Y343" s="5">
        <v>0</v>
      </c>
      <c r="Z343" s="5">
        <v>0.20233872870131139</v>
      </c>
      <c r="AA343" s="5">
        <v>0.22751008387554739</v>
      </c>
      <c r="AB343" s="5">
        <v>0.48088611644058238</v>
      </c>
      <c r="AC343" s="4">
        <f>ROUND((X343*100*1)+(Z343*100*2)+(AA343*100*3),2)</f>
        <v>117.65</v>
      </c>
      <c r="AD343">
        <f>ROUND(AVERAGE(Q343,W343,AC343),2)</f>
        <v>177.91</v>
      </c>
    </row>
    <row r="344" spans="1:30" x14ac:dyDescent="0.2">
      <c r="A344">
        <v>368</v>
      </c>
      <c r="B344">
        <v>2</v>
      </c>
      <c r="C344" t="s">
        <v>1516</v>
      </c>
      <c r="D344" t="s">
        <v>1517</v>
      </c>
      <c r="E344" t="s">
        <v>1518</v>
      </c>
      <c r="F344" t="s">
        <v>1519</v>
      </c>
      <c r="G344" t="s">
        <v>1093</v>
      </c>
      <c r="H344" t="s">
        <v>25</v>
      </c>
      <c r="I344" t="s">
        <v>25</v>
      </c>
      <c r="J344" t="s">
        <v>26</v>
      </c>
      <c r="K344" t="s">
        <v>155</v>
      </c>
      <c r="L344" s="5">
        <v>0.91618250387550126</v>
      </c>
      <c r="M344" s="5">
        <v>0</v>
      </c>
      <c r="N344" s="5">
        <v>7.6233942402507984E-2</v>
      </c>
      <c r="O344" s="5">
        <v>0</v>
      </c>
      <c r="P344" s="5">
        <v>7.5835537219907092E-3</v>
      </c>
      <c r="Q344" s="4">
        <f>ROUND((L344*100*1)+(N344*100*2)+(O344*100*3),2)</f>
        <v>106.87</v>
      </c>
      <c r="R344" s="5">
        <v>0.90045413271027885</v>
      </c>
      <c r="S344" s="5">
        <v>0</v>
      </c>
      <c r="T344" s="5">
        <v>9.7918196255622911E-2</v>
      </c>
      <c r="U344" s="5">
        <v>0</v>
      </c>
      <c r="V344" s="5">
        <v>1.627671034098221E-3</v>
      </c>
      <c r="W344" s="4">
        <f>ROUND((R344*100*1)+(T344*100*2)+(U344*100*3),2)</f>
        <v>109.63</v>
      </c>
      <c r="X344" s="5">
        <v>0.8615893499150995</v>
      </c>
      <c r="Y344" s="5">
        <v>0</v>
      </c>
      <c r="Z344" s="5">
        <v>0.1040554088347934</v>
      </c>
      <c r="AA344" s="5">
        <v>0</v>
      </c>
      <c r="AB344" s="5">
        <v>3.4355241250107138E-2</v>
      </c>
      <c r="AC344" s="4">
        <f>ROUND((X344*100*1)+(Z344*100*2)+(AA344*100*3),2)</f>
        <v>106.97</v>
      </c>
      <c r="AD344">
        <f>ROUND(AVERAGE(Q344,W344,AC344),2)</f>
        <v>107.82</v>
      </c>
    </row>
    <row r="345" spans="1:30" x14ac:dyDescent="0.2">
      <c r="A345">
        <v>369</v>
      </c>
      <c r="B345">
        <v>1</v>
      </c>
      <c r="C345" t="s">
        <v>1520</v>
      </c>
      <c r="D345" t="s">
        <v>1521</v>
      </c>
      <c r="E345" t="s">
        <v>1518</v>
      </c>
      <c r="F345" t="s">
        <v>55</v>
      </c>
      <c r="H345" t="s">
        <v>25</v>
      </c>
      <c r="I345" t="s">
        <v>25</v>
      </c>
      <c r="J345" t="s">
        <v>26</v>
      </c>
      <c r="K345" t="s">
        <v>1108</v>
      </c>
      <c r="L345" s="5">
        <v>0.9773980145854495</v>
      </c>
      <c r="M345" s="5">
        <v>0</v>
      </c>
      <c r="N345" s="5">
        <v>2.2601985414526932E-2</v>
      </c>
      <c r="O345" s="5">
        <v>0</v>
      </c>
      <c r="P345" s="5">
        <v>2.3536728122053319E-14</v>
      </c>
      <c r="Q345" s="4">
        <f>ROUND((L345*100*1)+(N345*100*2)+(O345*100*3),2)</f>
        <v>102.26</v>
      </c>
      <c r="R345" s="5">
        <v>0.94669682813407363</v>
      </c>
      <c r="S345" s="5">
        <v>0</v>
      </c>
      <c r="T345" s="5">
        <v>5.2383533239598663E-2</v>
      </c>
      <c r="U345" s="5">
        <v>0</v>
      </c>
      <c r="V345" s="5">
        <v>9.1963862632771232E-4</v>
      </c>
      <c r="W345" s="4">
        <f>ROUND((R345*100*1)+(T345*100*2)+(U345*100*3),2)</f>
        <v>105.15</v>
      </c>
      <c r="X345" s="5">
        <v>0.8996080849324064</v>
      </c>
      <c r="Y345" s="5">
        <v>0</v>
      </c>
      <c r="Z345" s="5">
        <v>9.7691612928774652E-2</v>
      </c>
      <c r="AA345" s="5">
        <v>1.1780669344052281E-3</v>
      </c>
      <c r="AB345" s="5">
        <v>1.522235204413747E-3</v>
      </c>
      <c r="AC345" s="4">
        <f>ROUND((X345*100*1)+(Z345*100*2)+(AA345*100*3),2)</f>
        <v>109.85</v>
      </c>
      <c r="AD345">
        <f>ROUND(AVERAGE(Q345,W345,AC345),2)</f>
        <v>105.75</v>
      </c>
    </row>
    <row r="346" spans="1:30" x14ac:dyDescent="0.2">
      <c r="A346">
        <v>370</v>
      </c>
      <c r="B346">
        <v>1</v>
      </c>
      <c r="C346" t="s">
        <v>1522</v>
      </c>
      <c r="D346" t="s">
        <v>1523</v>
      </c>
      <c r="E346" t="s">
        <v>1518</v>
      </c>
      <c r="F346" t="s">
        <v>1524</v>
      </c>
      <c r="G346" t="s">
        <v>1525</v>
      </c>
      <c r="H346" t="s">
        <v>25</v>
      </c>
      <c r="I346" t="s">
        <v>25</v>
      </c>
      <c r="J346" t="s">
        <v>26</v>
      </c>
      <c r="K346" t="s">
        <v>1108</v>
      </c>
      <c r="L346" s="5">
        <v>1</v>
      </c>
      <c r="M346" s="5">
        <v>0</v>
      </c>
      <c r="N346" s="5">
        <v>0</v>
      </c>
      <c r="O346" s="5">
        <v>0</v>
      </c>
      <c r="P346" s="5">
        <v>0</v>
      </c>
      <c r="Q346" s="4">
        <f>ROUND((L346*100*1)+(N346*100*2)+(O346*100*3),2)</f>
        <v>100</v>
      </c>
      <c r="R346" s="5">
        <v>0.89375447392782337</v>
      </c>
      <c r="S346" s="5">
        <v>0</v>
      </c>
      <c r="T346" s="5">
        <v>9.5421538614181498E-2</v>
      </c>
      <c r="U346" s="5">
        <v>9.664389294828676E-3</v>
      </c>
      <c r="V346" s="5">
        <v>1.159598163166464E-3</v>
      </c>
      <c r="W346" s="4">
        <f>ROUND((R346*100*1)+(T346*100*2)+(U346*100*3),2)</f>
        <v>111.36</v>
      </c>
      <c r="X346" s="5">
        <v>0.80375700401241557</v>
      </c>
      <c r="Y346" s="5">
        <v>0</v>
      </c>
      <c r="Z346" s="5">
        <v>0.11567121845559319</v>
      </c>
      <c r="AA346" s="5">
        <v>1.6939453346926599E-2</v>
      </c>
      <c r="AB346" s="5">
        <v>6.3632324185064704E-2</v>
      </c>
      <c r="AC346" s="4">
        <f>ROUND((X346*100*1)+(Z346*100*2)+(AA346*100*3),2)</f>
        <v>108.59</v>
      </c>
      <c r="AD346">
        <f>ROUND(AVERAGE(Q346,W346,AC346),2)</f>
        <v>106.65</v>
      </c>
    </row>
    <row r="347" spans="1:30" x14ac:dyDescent="0.2">
      <c r="A347">
        <v>371</v>
      </c>
      <c r="B347">
        <v>1</v>
      </c>
      <c r="C347" t="s">
        <v>1526</v>
      </c>
      <c r="D347" t="s">
        <v>1527</v>
      </c>
      <c r="E347" t="s">
        <v>1518</v>
      </c>
      <c r="F347" t="s">
        <v>1528</v>
      </c>
      <c r="G347" t="s">
        <v>1529</v>
      </c>
      <c r="H347" t="s">
        <v>25</v>
      </c>
      <c r="I347" t="s">
        <v>25</v>
      </c>
      <c r="J347" t="s">
        <v>34</v>
      </c>
      <c r="K347" t="s">
        <v>1108</v>
      </c>
      <c r="L347" s="5">
        <v>0.80207426345514365</v>
      </c>
      <c r="M347" s="5">
        <v>0</v>
      </c>
      <c r="N347" s="5">
        <v>0.1967917797646323</v>
      </c>
      <c r="O347" s="5">
        <v>1.1339567802435601E-3</v>
      </c>
      <c r="P347" s="5">
        <v>0</v>
      </c>
      <c r="Q347" s="4">
        <f>ROUND((L347*100*1)+(N347*100*2)+(O347*100*3),2)</f>
        <v>119.91</v>
      </c>
      <c r="R347" s="5">
        <v>0.7976028192709127</v>
      </c>
      <c r="S347" s="5">
        <v>3.0994782529631278E-2</v>
      </c>
      <c r="T347" s="5">
        <v>0.14854873821500059</v>
      </c>
      <c r="U347" s="5">
        <v>2.9546271111247752E-3</v>
      </c>
      <c r="V347" s="5">
        <v>1.989903287333061E-2</v>
      </c>
      <c r="W347" s="4">
        <f>ROUND((R347*100*1)+(T347*100*2)+(U347*100*3),2)</f>
        <v>110.36</v>
      </c>
      <c r="X347" s="5">
        <v>0.83185698741010738</v>
      </c>
      <c r="Y347" s="5">
        <v>1.0795280343564639E-2</v>
      </c>
      <c r="Z347" s="5">
        <v>0.13027200945316161</v>
      </c>
      <c r="AA347" s="5">
        <v>3.1062782342944728E-3</v>
      </c>
      <c r="AB347" s="5">
        <v>2.396944455887207E-2</v>
      </c>
      <c r="AC347" s="4">
        <f>ROUND((X347*100*1)+(Z347*100*2)+(AA347*100*3),2)</f>
        <v>110.17</v>
      </c>
      <c r="AD347">
        <f>ROUND(AVERAGE(Q347,W347,AC347),2)</f>
        <v>113.48</v>
      </c>
    </row>
    <row r="348" spans="1:30" x14ac:dyDescent="0.2">
      <c r="A348">
        <v>372</v>
      </c>
      <c r="B348">
        <v>1</v>
      </c>
      <c r="C348" t="s">
        <v>1530</v>
      </c>
      <c r="D348" t="s">
        <v>1531</v>
      </c>
      <c r="E348" t="s">
        <v>1518</v>
      </c>
      <c r="F348" t="s">
        <v>1532</v>
      </c>
      <c r="G348" t="s">
        <v>1533</v>
      </c>
      <c r="H348" t="s">
        <v>25</v>
      </c>
      <c r="I348" t="s">
        <v>25</v>
      </c>
      <c r="J348" t="s">
        <v>26</v>
      </c>
      <c r="K348" t="s">
        <v>1108</v>
      </c>
      <c r="L348" s="5">
        <v>0.96983516838648409</v>
      </c>
      <c r="M348" s="5">
        <v>0</v>
      </c>
      <c r="N348" s="5">
        <v>2.144688320441044E-2</v>
      </c>
      <c r="O348" s="5">
        <v>3.9901343045210874E-3</v>
      </c>
      <c r="P348" s="5">
        <v>4.727814104584338E-3</v>
      </c>
      <c r="Q348" s="4">
        <f>ROUND((L348*100*1)+(N348*100*2)+(O348*100*3),2)</f>
        <v>102.47</v>
      </c>
      <c r="R348" s="5">
        <v>0.76910186292010763</v>
      </c>
      <c r="S348" s="5">
        <v>0</v>
      </c>
      <c r="T348" s="5">
        <v>0.14741837991259751</v>
      </c>
      <c r="U348" s="5">
        <v>1.7250156302145041E-2</v>
      </c>
      <c r="V348" s="5">
        <v>6.6229600865149951E-2</v>
      </c>
      <c r="W348" s="4">
        <f>ROUND((R348*100*1)+(T348*100*2)+(U348*100*3),2)</f>
        <v>111.57</v>
      </c>
      <c r="X348" s="5">
        <v>0.72224644230395429</v>
      </c>
      <c r="Y348" s="5">
        <v>0</v>
      </c>
      <c r="Z348" s="5">
        <v>0.16143171631990291</v>
      </c>
      <c r="AA348" s="5">
        <v>5.0725673399977238E-2</v>
      </c>
      <c r="AB348" s="5">
        <v>6.5596167976165631E-2</v>
      </c>
      <c r="AC348" s="4">
        <f>ROUND((X348*100*1)+(Z348*100*2)+(AA348*100*3),2)</f>
        <v>119.73</v>
      </c>
      <c r="AD348">
        <f>ROUND(AVERAGE(Q348,W348,AC348),2)</f>
        <v>111.26</v>
      </c>
    </row>
    <row r="349" spans="1:30" x14ac:dyDescent="0.2">
      <c r="A349">
        <v>373</v>
      </c>
      <c r="B349">
        <v>2</v>
      </c>
      <c r="C349" t="s">
        <v>1534</v>
      </c>
      <c r="D349" t="s">
        <v>1535</v>
      </c>
      <c r="E349" t="s">
        <v>1536</v>
      </c>
      <c r="F349" t="s">
        <v>1537</v>
      </c>
      <c r="G349" t="s">
        <v>1538</v>
      </c>
      <c r="H349" t="s">
        <v>67</v>
      </c>
      <c r="I349" t="s">
        <v>67</v>
      </c>
      <c r="J349" t="s">
        <v>34</v>
      </c>
      <c r="K349" t="s">
        <v>585</v>
      </c>
      <c r="L349" s="5">
        <v>0.37380160485317532</v>
      </c>
      <c r="M349" s="5">
        <v>0</v>
      </c>
      <c r="N349" s="5">
        <v>0.1042871880009079</v>
      </c>
      <c r="O349" s="5">
        <v>3.8469090803220793E-2</v>
      </c>
      <c r="P349" s="5">
        <v>0.48344211634269613</v>
      </c>
      <c r="Q349" s="4">
        <f>ROUND((L349*100*1)+(N349*100*2)+(O349*100*3),2)</f>
        <v>69.78</v>
      </c>
      <c r="R349" s="5">
        <v>0.26238046623739653</v>
      </c>
      <c r="S349" s="5">
        <v>0</v>
      </c>
      <c r="T349" s="5">
        <v>0.1492958545641617</v>
      </c>
      <c r="U349" s="5">
        <v>0.1734238388641916</v>
      </c>
      <c r="V349" s="5">
        <v>0.41489984033425009</v>
      </c>
      <c r="W349" s="4">
        <f>ROUND((R349*100*1)+(T349*100*2)+(U349*100*3),2)</f>
        <v>108.12</v>
      </c>
      <c r="X349" s="5">
        <v>0.2845558344494058</v>
      </c>
      <c r="Y349" s="5">
        <v>0</v>
      </c>
      <c r="Z349" s="5">
        <v>0.12828540345731609</v>
      </c>
      <c r="AA349" s="5">
        <v>0.1225485370029608</v>
      </c>
      <c r="AB349" s="5">
        <v>0.46461022509031719</v>
      </c>
      <c r="AC349" s="4">
        <f>ROUND((X349*100*1)+(Z349*100*2)+(AA349*100*3),2)</f>
        <v>90.88</v>
      </c>
      <c r="AD349">
        <f>ROUND(AVERAGE(Q349,W349,AC349),2)</f>
        <v>89.59</v>
      </c>
    </row>
    <row r="350" spans="1:30" x14ac:dyDescent="0.2">
      <c r="A350">
        <v>374</v>
      </c>
      <c r="B350">
        <v>2</v>
      </c>
      <c r="C350" t="s">
        <v>1539</v>
      </c>
      <c r="D350" t="s">
        <v>1540</v>
      </c>
      <c r="E350" t="s">
        <v>1541</v>
      </c>
      <c r="F350" t="s">
        <v>1542</v>
      </c>
      <c r="G350" t="s">
        <v>1543</v>
      </c>
      <c r="H350" t="s">
        <v>25</v>
      </c>
      <c r="I350" t="s">
        <v>25</v>
      </c>
      <c r="J350" t="s">
        <v>34</v>
      </c>
      <c r="K350" t="s">
        <v>161</v>
      </c>
      <c r="L350" s="5">
        <v>0.88850239064588921</v>
      </c>
      <c r="M350" s="5">
        <v>0</v>
      </c>
      <c r="N350" s="5">
        <v>8.8033674553841784E-2</v>
      </c>
      <c r="O350" s="5">
        <v>0</v>
      </c>
      <c r="P350" s="5">
        <v>2.3463934800268978E-2</v>
      </c>
      <c r="Q350" s="4">
        <f>ROUND((L350*100*1)+(N350*100*2)+(O350*100*3),2)</f>
        <v>106.46</v>
      </c>
      <c r="R350" s="5">
        <v>0.68450814572718699</v>
      </c>
      <c r="S350" s="5">
        <v>0</v>
      </c>
      <c r="T350" s="5">
        <v>0.19516132350561299</v>
      </c>
      <c r="U350" s="5">
        <v>3.7829240726143229E-2</v>
      </c>
      <c r="V350" s="5">
        <v>8.2501290041056774E-2</v>
      </c>
      <c r="W350" s="4">
        <f>ROUND((R350*100*1)+(T350*100*2)+(U350*100*3),2)</f>
        <v>118.83</v>
      </c>
      <c r="X350" s="5">
        <v>0.67990580043923665</v>
      </c>
      <c r="Y350" s="5">
        <v>0</v>
      </c>
      <c r="Z350" s="5">
        <v>0.19717032162743101</v>
      </c>
      <c r="AA350" s="5">
        <v>7.0914448358443474E-2</v>
      </c>
      <c r="AB350" s="5">
        <v>5.2009429574888848E-2</v>
      </c>
      <c r="AC350" s="4">
        <f>ROUND((X350*100*1)+(Z350*100*2)+(AA350*100*3),2)</f>
        <v>128.69999999999999</v>
      </c>
      <c r="AD350">
        <f>ROUND(AVERAGE(Q350,W350,AC350),2)</f>
        <v>118</v>
      </c>
    </row>
    <row r="351" spans="1:30" x14ac:dyDescent="0.2">
      <c r="A351">
        <v>375</v>
      </c>
      <c r="B351">
        <v>1</v>
      </c>
      <c r="C351" t="s">
        <v>1544</v>
      </c>
      <c r="D351" t="s">
        <v>1545</v>
      </c>
      <c r="E351" t="s">
        <v>1078</v>
      </c>
      <c r="F351" t="s">
        <v>1546</v>
      </c>
      <c r="G351" t="s">
        <v>1547</v>
      </c>
      <c r="H351" t="s">
        <v>67</v>
      </c>
      <c r="I351" t="s">
        <v>67</v>
      </c>
      <c r="J351" t="s">
        <v>34</v>
      </c>
      <c r="K351" t="s">
        <v>230</v>
      </c>
      <c r="L351" s="5">
        <v>8.6859383042789978E-2</v>
      </c>
      <c r="M351" s="5">
        <v>0</v>
      </c>
      <c r="N351" s="5">
        <v>0.1097124220341377</v>
      </c>
      <c r="O351" s="5">
        <v>3.069995898599219E-2</v>
      </c>
      <c r="P351" s="5">
        <v>0.77272823593708018</v>
      </c>
      <c r="Q351" s="4">
        <f>ROUND((L351*100*1)+(N351*100*2)+(O351*100*3),2)</f>
        <v>39.840000000000003</v>
      </c>
      <c r="R351" s="5">
        <v>0.19459854599153231</v>
      </c>
      <c r="S351" s="5">
        <v>0</v>
      </c>
      <c r="T351" s="5">
        <v>0.2468318250080577</v>
      </c>
      <c r="U351" s="5">
        <v>0.36614578989076918</v>
      </c>
      <c r="V351" s="5">
        <v>0.1924238391096407</v>
      </c>
      <c r="W351" s="4">
        <f>ROUND((R351*100*1)+(T351*100*2)+(U351*100*3),2)</f>
        <v>178.67</v>
      </c>
      <c r="X351" s="5">
        <v>0.33943238221440031</v>
      </c>
      <c r="Y351" s="5">
        <v>0</v>
      </c>
      <c r="Z351" s="5">
        <v>0.22225652004633989</v>
      </c>
      <c r="AA351" s="5">
        <v>0.27754808069463749</v>
      </c>
      <c r="AB351" s="5">
        <v>0.1607630170446224</v>
      </c>
      <c r="AC351" s="4">
        <f>ROUND((X351*100*1)+(Z351*100*2)+(AA351*100*3),2)</f>
        <v>161.66</v>
      </c>
      <c r="AD351">
        <f>ROUND(AVERAGE(Q351,W351,AC351),2)</f>
        <v>126.72</v>
      </c>
    </row>
    <row r="352" spans="1:30" x14ac:dyDescent="0.2">
      <c r="A352">
        <v>376</v>
      </c>
      <c r="B352">
        <v>1</v>
      </c>
      <c r="C352" t="s">
        <v>1548</v>
      </c>
      <c r="D352" t="s">
        <v>1549</v>
      </c>
      <c r="E352" t="s">
        <v>1550</v>
      </c>
      <c r="H352" t="s">
        <v>25</v>
      </c>
      <c r="I352" t="s">
        <v>25</v>
      </c>
      <c r="J352" t="s">
        <v>34</v>
      </c>
      <c r="K352" t="s">
        <v>1108</v>
      </c>
      <c r="L352" s="5">
        <v>0.48510649022285118</v>
      </c>
      <c r="M352" s="5">
        <v>0</v>
      </c>
      <c r="N352" s="5">
        <v>0.38752070263080363</v>
      </c>
      <c r="O352" s="5">
        <v>0</v>
      </c>
      <c r="P352" s="5">
        <v>0.12737280714634511</v>
      </c>
      <c r="Q352" s="4">
        <f>ROUND((L352*100*1)+(N352*100*2)+(O352*100*3),2)</f>
        <v>126.01</v>
      </c>
      <c r="R352" s="5">
        <v>0.55455431072919725</v>
      </c>
      <c r="S352" s="5">
        <v>0</v>
      </c>
      <c r="T352" s="5">
        <v>0.24683947151429519</v>
      </c>
      <c r="U352" s="5">
        <v>3.0982228627845221E-2</v>
      </c>
      <c r="V352" s="5">
        <v>0.1676239891286623</v>
      </c>
      <c r="W352" s="4">
        <f>ROUND((R352*100*1)+(T352*100*2)+(U352*100*3),2)</f>
        <v>114.12</v>
      </c>
      <c r="X352" s="5">
        <v>0.61486791866076662</v>
      </c>
      <c r="Y352" s="5">
        <v>0</v>
      </c>
      <c r="Z352" s="5">
        <v>0.20455573118954071</v>
      </c>
      <c r="AA352" s="5">
        <v>2.1998225191401578E-2</v>
      </c>
      <c r="AB352" s="5">
        <v>0.15857812495829099</v>
      </c>
      <c r="AC352" s="4">
        <f>ROUND((X352*100*1)+(Z352*100*2)+(AA352*100*3),2)</f>
        <v>109</v>
      </c>
      <c r="AD352">
        <f>ROUND(AVERAGE(Q352,W352,AC352),2)</f>
        <v>116.38</v>
      </c>
    </row>
    <row r="353" spans="1:30" x14ac:dyDescent="0.2">
      <c r="A353">
        <v>377</v>
      </c>
      <c r="B353">
        <v>1</v>
      </c>
      <c r="C353" t="s">
        <v>1551</v>
      </c>
      <c r="D353" t="s">
        <v>1552</v>
      </c>
      <c r="E353" t="s">
        <v>1553</v>
      </c>
      <c r="F353" t="s">
        <v>1554</v>
      </c>
      <c r="G353" t="s">
        <v>1555</v>
      </c>
      <c r="H353" t="s">
        <v>25</v>
      </c>
      <c r="I353" t="s">
        <v>25</v>
      </c>
      <c r="J353" t="s">
        <v>26</v>
      </c>
      <c r="K353" t="s">
        <v>62</v>
      </c>
      <c r="L353" s="5">
        <v>1</v>
      </c>
      <c r="M353" s="5">
        <v>0</v>
      </c>
      <c r="N353" s="5">
        <v>0</v>
      </c>
      <c r="O353" s="5">
        <v>0</v>
      </c>
      <c r="P353" s="5">
        <v>0</v>
      </c>
      <c r="Q353" s="4">
        <f>ROUND((L353*100*1)+(N353*100*2)+(O353*100*3),2)</f>
        <v>100</v>
      </c>
      <c r="R353" s="5">
        <v>0.93060299825641757</v>
      </c>
      <c r="S353" s="5">
        <v>0</v>
      </c>
      <c r="T353" s="5">
        <v>6.1298461852948731E-2</v>
      </c>
      <c r="U353" s="5">
        <v>7.4383718403046005E-4</v>
      </c>
      <c r="V353" s="5">
        <v>7.3547027066032111E-3</v>
      </c>
      <c r="W353" s="4">
        <f>ROUND((R353*100*1)+(T353*100*2)+(U353*100*3),2)</f>
        <v>105.54</v>
      </c>
      <c r="X353" s="5">
        <v>0.90595060812678596</v>
      </c>
      <c r="Y353" s="5">
        <v>0</v>
      </c>
      <c r="Z353" s="5">
        <v>8.6599419032141717E-2</v>
      </c>
      <c r="AA353" s="5">
        <v>2.5907363356719189E-4</v>
      </c>
      <c r="AB353" s="5">
        <v>7.1908992075051534E-3</v>
      </c>
      <c r="AC353" s="4">
        <f>ROUND((X353*100*1)+(Z353*100*2)+(AA353*100*3),2)</f>
        <v>107.99</v>
      </c>
      <c r="AD353">
        <f>ROUND(AVERAGE(Q353,W353,AC353),2)</f>
        <v>104.51</v>
      </c>
    </row>
    <row r="354" spans="1:30" x14ac:dyDescent="0.2">
      <c r="A354">
        <v>378</v>
      </c>
      <c r="B354">
        <v>2</v>
      </c>
      <c r="C354" t="s">
        <v>1556</v>
      </c>
      <c r="D354" t="s">
        <v>1557</v>
      </c>
      <c r="E354" t="s">
        <v>1558</v>
      </c>
      <c r="F354" t="s">
        <v>1559</v>
      </c>
      <c r="G354" t="s">
        <v>1560</v>
      </c>
      <c r="H354" t="s">
        <v>25</v>
      </c>
      <c r="I354" t="s">
        <v>25</v>
      </c>
      <c r="J354" t="s">
        <v>26</v>
      </c>
      <c r="K354" t="s">
        <v>43</v>
      </c>
      <c r="L354" s="5">
        <v>0.92950291879830793</v>
      </c>
      <c r="M354" s="5">
        <v>0</v>
      </c>
      <c r="N354" s="5">
        <v>4.8943132739908857E-2</v>
      </c>
      <c r="O354" s="5">
        <v>0</v>
      </c>
      <c r="P354" s="5">
        <v>2.155394846178316E-2</v>
      </c>
      <c r="Q354" s="4">
        <f>ROUND((L354*100*1)+(N354*100*2)+(O354*100*3),2)</f>
        <v>102.74</v>
      </c>
      <c r="R354" s="5">
        <v>0.80755611513387981</v>
      </c>
      <c r="S354" s="5">
        <v>0</v>
      </c>
      <c r="T354" s="5">
        <v>0.15613710795331481</v>
      </c>
      <c r="U354" s="5">
        <v>8.6221778620679378E-3</v>
      </c>
      <c r="V354" s="5">
        <v>2.7684599050737391E-2</v>
      </c>
      <c r="W354" s="4">
        <f>ROUND((R354*100*1)+(T354*100*2)+(U354*100*3),2)</f>
        <v>114.57</v>
      </c>
      <c r="X354" s="5">
        <v>0.84669057370277279</v>
      </c>
      <c r="Y354" s="5">
        <v>0</v>
      </c>
      <c r="Z354" s="5">
        <v>0.1127057334628624</v>
      </c>
      <c r="AA354" s="5">
        <v>8.4345402387776391E-3</v>
      </c>
      <c r="AB354" s="5">
        <v>3.2169152595587169E-2</v>
      </c>
      <c r="AC354" s="4">
        <f>ROUND((X354*100*1)+(Z354*100*2)+(AA354*100*3),2)</f>
        <v>109.74</v>
      </c>
      <c r="AD354">
        <f>ROUND(AVERAGE(Q354,W354,AC354),2)</f>
        <v>109.02</v>
      </c>
    </row>
    <row r="355" spans="1:30" x14ac:dyDescent="0.2">
      <c r="A355">
        <v>379</v>
      </c>
      <c r="B355">
        <v>1</v>
      </c>
      <c r="C355" t="s">
        <v>1561</v>
      </c>
      <c r="D355" t="s">
        <v>1562</v>
      </c>
      <c r="E355" t="s">
        <v>1563</v>
      </c>
      <c r="H355" t="s">
        <v>25</v>
      </c>
      <c r="I355" t="s">
        <v>25</v>
      </c>
      <c r="J355" t="s">
        <v>34</v>
      </c>
      <c r="K355" t="s">
        <v>705</v>
      </c>
      <c r="L355" s="5">
        <v>0</v>
      </c>
      <c r="M355" s="5">
        <v>0</v>
      </c>
      <c r="N355" s="5">
        <v>0.37571278794307289</v>
      </c>
      <c r="O355" s="5">
        <v>0.54813792840632625</v>
      </c>
      <c r="P355" s="5">
        <v>7.6149283650600808E-2</v>
      </c>
      <c r="Q355" s="4">
        <f>ROUND((L355*100*1)+(N355*100*2)+(O355*100*3),2)</f>
        <v>239.58</v>
      </c>
      <c r="R355" s="5">
        <v>0.1048629809300364</v>
      </c>
      <c r="S355" s="5">
        <v>0</v>
      </c>
      <c r="T355" s="5">
        <v>0.21833317063321611</v>
      </c>
      <c r="U355" s="5">
        <v>0.10586106701521</v>
      </c>
      <c r="V355" s="5">
        <v>0.57094278142153754</v>
      </c>
      <c r="W355" s="4">
        <f>ROUND((R355*100*1)+(T355*100*2)+(U355*100*3),2)</f>
        <v>85.91</v>
      </c>
      <c r="X355" s="5">
        <v>0.11371542920365769</v>
      </c>
      <c r="Y355" s="5">
        <v>0</v>
      </c>
      <c r="Z355" s="5">
        <v>0.17673551135544871</v>
      </c>
      <c r="AA355" s="5">
        <v>3.8356938667431117E-2</v>
      </c>
      <c r="AB355" s="5">
        <v>0.67119212077346246</v>
      </c>
      <c r="AC355" s="4">
        <f>ROUND((X355*100*1)+(Z355*100*2)+(AA355*100*3),2)</f>
        <v>58.23</v>
      </c>
      <c r="AD355">
        <f>ROUND(AVERAGE(Q355,W355,AC355),2)</f>
        <v>127.91</v>
      </c>
    </row>
    <row r="356" spans="1:30" x14ac:dyDescent="0.2">
      <c r="A356">
        <v>380</v>
      </c>
      <c r="B356">
        <v>1</v>
      </c>
      <c r="C356" t="s">
        <v>1564</v>
      </c>
      <c r="D356" t="s">
        <v>1565</v>
      </c>
      <c r="E356" t="s">
        <v>1566</v>
      </c>
      <c r="H356" t="s">
        <v>25</v>
      </c>
      <c r="I356" t="s">
        <v>25</v>
      </c>
      <c r="J356" t="s">
        <v>34</v>
      </c>
      <c r="K356" t="s">
        <v>621</v>
      </c>
      <c r="L356" s="5">
        <v>0.35572003681048692</v>
      </c>
      <c r="M356" s="5">
        <v>0</v>
      </c>
      <c r="N356" s="5">
        <v>0.142514071344161</v>
      </c>
      <c r="O356" s="5">
        <v>6.236134059938169E-3</v>
      </c>
      <c r="P356" s="5">
        <v>0.49552975778541408</v>
      </c>
      <c r="Q356" s="4">
        <f>ROUND((L356*100*1)+(N356*100*2)+(O356*100*3),2)</f>
        <v>65.95</v>
      </c>
      <c r="R356" s="5">
        <v>8.4329271921765245E-2</v>
      </c>
      <c r="S356" s="5">
        <v>0</v>
      </c>
      <c r="T356" s="5">
        <v>0.1807160602271804</v>
      </c>
      <c r="U356" s="5">
        <v>0.14225116997613241</v>
      </c>
      <c r="V356" s="5">
        <v>0.59270349787492194</v>
      </c>
      <c r="W356" s="4">
        <f>ROUND((R356*100*1)+(T356*100*2)+(U356*100*3),2)</f>
        <v>87.25</v>
      </c>
      <c r="X356" s="5">
        <v>5.0993079695552328E-2</v>
      </c>
      <c r="Y356" s="5">
        <v>0</v>
      </c>
      <c r="Z356" s="5">
        <v>0.1819603025918643</v>
      </c>
      <c r="AA356" s="5">
        <v>8.3919693585844557E-2</v>
      </c>
      <c r="AB356" s="5">
        <v>0.68312692412673881</v>
      </c>
      <c r="AC356" s="4">
        <f>ROUND((X356*100*1)+(Z356*100*2)+(AA356*100*3),2)</f>
        <v>66.67</v>
      </c>
      <c r="AD356">
        <f>ROUND(AVERAGE(Q356,W356,AC356),2)</f>
        <v>73.290000000000006</v>
      </c>
    </row>
    <row r="357" spans="1:30" x14ac:dyDescent="0.2">
      <c r="A357">
        <v>381</v>
      </c>
      <c r="B357">
        <v>1</v>
      </c>
      <c r="C357" t="s">
        <v>1567</v>
      </c>
      <c r="D357" t="s">
        <v>1568</v>
      </c>
      <c r="E357" t="s">
        <v>1569</v>
      </c>
      <c r="F357" t="s">
        <v>1570</v>
      </c>
      <c r="G357" t="s">
        <v>1571</v>
      </c>
      <c r="H357" t="s">
        <v>67</v>
      </c>
      <c r="I357" t="s">
        <v>67</v>
      </c>
      <c r="J357" t="s">
        <v>26</v>
      </c>
      <c r="K357" t="s">
        <v>187</v>
      </c>
      <c r="L357" s="5">
        <v>0</v>
      </c>
      <c r="M357" s="5">
        <v>0</v>
      </c>
      <c r="N357" s="5">
        <v>0.30074392738065558</v>
      </c>
      <c r="O357" s="5">
        <v>0.16198594656909551</v>
      </c>
      <c r="P357" s="5">
        <v>0.53727012605024882</v>
      </c>
      <c r="Q357" s="4">
        <f>ROUND((L357*100*1)+(N357*100*2)+(O357*100*3),2)</f>
        <v>108.74</v>
      </c>
      <c r="R357" s="5">
        <v>0</v>
      </c>
      <c r="S357" s="5">
        <v>0</v>
      </c>
      <c r="T357" s="5">
        <v>0.23379161021089559</v>
      </c>
      <c r="U357" s="5">
        <v>0.1213334838162806</v>
      </c>
      <c r="V357" s="5">
        <v>0.64487490597282382</v>
      </c>
      <c r="W357" s="4">
        <f>ROUND((R357*100*1)+(T357*100*2)+(U357*100*3),2)</f>
        <v>83.16</v>
      </c>
      <c r="X357" s="5">
        <v>5.4952375177274443E-2</v>
      </c>
      <c r="Y357" s="5">
        <v>0</v>
      </c>
      <c r="Z357" s="5">
        <v>0.20188170787554191</v>
      </c>
      <c r="AA357" s="5">
        <v>9.3606996783309929E-2</v>
      </c>
      <c r="AB357" s="5">
        <v>0.64955892016387384</v>
      </c>
      <c r="AC357" s="4">
        <f>ROUND((X357*100*1)+(Z357*100*2)+(AA357*100*3),2)</f>
        <v>73.95</v>
      </c>
      <c r="AD357">
        <f>ROUND(AVERAGE(Q357,W357,AC357),2)</f>
        <v>88.62</v>
      </c>
    </row>
    <row r="358" spans="1:30" x14ac:dyDescent="0.2">
      <c r="A358">
        <v>382</v>
      </c>
      <c r="B358">
        <v>6</v>
      </c>
      <c r="C358" t="s">
        <v>1572</v>
      </c>
      <c r="D358" t="s">
        <v>1573</v>
      </c>
      <c r="E358" t="s">
        <v>474</v>
      </c>
      <c r="F358" t="s">
        <v>1011</v>
      </c>
      <c r="G358" t="s">
        <v>1012</v>
      </c>
      <c r="H358" t="s">
        <v>25</v>
      </c>
      <c r="I358" t="s">
        <v>25</v>
      </c>
      <c r="J358" t="s">
        <v>92</v>
      </c>
      <c r="K358" t="s">
        <v>621</v>
      </c>
      <c r="L358" s="5">
        <v>0.63028657077572026</v>
      </c>
      <c r="M358" s="5">
        <v>0</v>
      </c>
      <c r="N358" s="5">
        <v>0.20313144369743699</v>
      </c>
      <c r="O358" s="5">
        <v>4.006259512334652E-3</v>
      </c>
      <c r="P358" s="5">
        <v>0.1625757260145082</v>
      </c>
      <c r="Q358" s="4">
        <f>ROUND((L358*100*1)+(N358*100*2)+(O358*100*3),2)</f>
        <v>104.86</v>
      </c>
      <c r="R358" s="5">
        <v>0.31125397839560848</v>
      </c>
      <c r="S358" s="5">
        <v>0</v>
      </c>
      <c r="T358" s="5">
        <v>0.18038989730510949</v>
      </c>
      <c r="U358" s="5">
        <v>7.4713377423807348E-2</v>
      </c>
      <c r="V358" s="5">
        <v>0.43364274687547438</v>
      </c>
      <c r="W358" s="4">
        <f>ROUND((R358*100*1)+(T358*100*2)+(U358*100*3),2)</f>
        <v>89.62</v>
      </c>
      <c r="X358" s="5">
        <v>0.31078530927878972</v>
      </c>
      <c r="Y358" s="5">
        <v>0</v>
      </c>
      <c r="Z358" s="5">
        <v>0.1690601206119807</v>
      </c>
      <c r="AA358" s="5">
        <v>7.1224679975078933E-2</v>
      </c>
      <c r="AB358" s="5">
        <v>0.44892989013415052</v>
      </c>
      <c r="AC358" s="4">
        <f>ROUND((X358*100*1)+(Z358*100*2)+(AA358*100*3),2)</f>
        <v>86.26</v>
      </c>
      <c r="AD358">
        <f>ROUND(AVERAGE(Q358,W358,AC358),2)</f>
        <v>93.58</v>
      </c>
    </row>
    <row r="359" spans="1:30" x14ac:dyDescent="0.2">
      <c r="A359">
        <v>383</v>
      </c>
      <c r="B359">
        <v>1</v>
      </c>
      <c r="C359" t="s">
        <v>1574</v>
      </c>
      <c r="D359" t="s">
        <v>1575</v>
      </c>
      <c r="E359" t="s">
        <v>1576</v>
      </c>
      <c r="H359" t="s">
        <v>25</v>
      </c>
      <c r="I359" t="s">
        <v>25</v>
      </c>
      <c r="J359" t="s">
        <v>34</v>
      </c>
      <c r="K359" t="s">
        <v>878</v>
      </c>
      <c r="L359" s="5">
        <v>0.31765302165168829</v>
      </c>
      <c r="M359" s="5">
        <v>0</v>
      </c>
      <c r="N359" s="5">
        <v>0.38681364666898937</v>
      </c>
      <c r="O359" s="5">
        <v>0.15299395483830611</v>
      </c>
      <c r="P359" s="5">
        <v>0.14253937684101611</v>
      </c>
      <c r="Q359" s="4">
        <f>ROUND((L359*100*1)+(N359*100*2)+(O359*100*3),2)</f>
        <v>155.03</v>
      </c>
      <c r="R359" s="5">
        <v>0.2303410697686272</v>
      </c>
      <c r="S359" s="5">
        <v>0</v>
      </c>
      <c r="T359" s="5">
        <v>0.28148067531962567</v>
      </c>
      <c r="U359" s="5">
        <v>0.2050433365725039</v>
      </c>
      <c r="V359" s="5">
        <v>0.28313491833924331</v>
      </c>
      <c r="W359" s="4">
        <f>ROUND((R359*100*1)+(T359*100*2)+(U359*100*3),2)</f>
        <v>140.84</v>
      </c>
      <c r="X359" s="5">
        <v>0.2180425957441347</v>
      </c>
      <c r="Y359" s="5">
        <v>0</v>
      </c>
      <c r="Z359" s="5">
        <v>0.22061373848071791</v>
      </c>
      <c r="AA359" s="5">
        <v>0.10289486647845621</v>
      </c>
      <c r="AB359" s="5">
        <v>0.45844879929669119</v>
      </c>
      <c r="AC359" s="4">
        <f>ROUND((X359*100*1)+(Z359*100*2)+(AA359*100*3),2)</f>
        <v>96.8</v>
      </c>
      <c r="AD359">
        <f>ROUND(AVERAGE(Q359,W359,AC359),2)</f>
        <v>130.88999999999999</v>
      </c>
    </row>
    <row r="360" spans="1:30" x14ac:dyDescent="0.2">
      <c r="A360">
        <v>384</v>
      </c>
      <c r="B360">
        <v>1</v>
      </c>
      <c r="C360" t="s">
        <v>1577</v>
      </c>
      <c r="D360" t="s">
        <v>1578</v>
      </c>
      <c r="E360" t="s">
        <v>1579</v>
      </c>
      <c r="F360" t="s">
        <v>1580</v>
      </c>
      <c r="G360" t="s">
        <v>1581</v>
      </c>
      <c r="H360" t="s">
        <v>80</v>
      </c>
      <c r="I360" t="s">
        <v>296</v>
      </c>
      <c r="J360" t="s">
        <v>1582</v>
      </c>
      <c r="K360" t="s">
        <v>118</v>
      </c>
      <c r="L360" s="5">
        <v>1</v>
      </c>
      <c r="M360" s="5">
        <v>0</v>
      </c>
      <c r="N360" s="5">
        <v>0</v>
      </c>
      <c r="O360" s="5">
        <v>0</v>
      </c>
      <c r="P360" s="5">
        <v>0</v>
      </c>
      <c r="Q360" s="4">
        <f>ROUND((L360*100*1)+(N360*100*2)+(O360*100*3),2)</f>
        <v>100</v>
      </c>
      <c r="R360" s="5">
        <v>0.99999999999999989</v>
      </c>
      <c r="S360" s="5">
        <v>0</v>
      </c>
      <c r="T360" s="5">
        <v>0</v>
      </c>
      <c r="U360" s="5">
        <v>0</v>
      </c>
      <c r="V360" s="5">
        <v>1.110223024625157E-16</v>
      </c>
      <c r="W360" s="4">
        <f>ROUND((R360*100*1)+(T360*100*2)+(U360*100*3),2)</f>
        <v>100</v>
      </c>
      <c r="X360" s="5">
        <v>0.99202638946800303</v>
      </c>
      <c r="Y360" s="5">
        <v>0</v>
      </c>
      <c r="Z360" s="5">
        <v>7.9736105319944718E-3</v>
      </c>
      <c r="AA360" s="5">
        <v>0</v>
      </c>
      <c r="AB360" s="5">
        <v>2.442490654175344E-15</v>
      </c>
      <c r="AC360" s="4">
        <f>ROUND((X360*100*1)+(Z360*100*2)+(AA360*100*3),2)</f>
        <v>100.8</v>
      </c>
      <c r="AD360">
        <f>ROUND(AVERAGE(Q360,W360,AC360),2)</f>
        <v>100.27</v>
      </c>
    </row>
    <row r="361" spans="1:30" x14ac:dyDescent="0.2">
      <c r="A361">
        <v>385</v>
      </c>
      <c r="B361">
        <v>1</v>
      </c>
      <c r="C361" t="s">
        <v>1583</v>
      </c>
      <c r="D361" t="s">
        <v>1584</v>
      </c>
      <c r="E361" t="s">
        <v>547</v>
      </c>
      <c r="F361" t="s">
        <v>1585</v>
      </c>
      <c r="G361" t="s">
        <v>1586</v>
      </c>
      <c r="H361" t="s">
        <v>25</v>
      </c>
      <c r="I361" t="s">
        <v>25</v>
      </c>
      <c r="J361" t="s">
        <v>26</v>
      </c>
      <c r="K361" t="s">
        <v>86</v>
      </c>
      <c r="L361" s="5">
        <v>7.9108325636847987E-4</v>
      </c>
      <c r="M361" s="5">
        <v>0</v>
      </c>
      <c r="N361" s="5">
        <v>0.16201131715776931</v>
      </c>
      <c r="O361" s="5">
        <v>0</v>
      </c>
      <c r="P361" s="5">
        <v>0.83719759958586226</v>
      </c>
      <c r="Q361" s="4">
        <f>ROUND((L361*100*1)+(N361*100*2)+(O361*100*3),2)</f>
        <v>32.479999999999997</v>
      </c>
      <c r="R361" s="5">
        <v>7.3242826692812055E-2</v>
      </c>
      <c r="S361" s="5">
        <v>0</v>
      </c>
      <c r="T361" s="5">
        <v>0.2456961204662596</v>
      </c>
      <c r="U361" s="5">
        <v>0.2066746721299875</v>
      </c>
      <c r="V361" s="5">
        <v>0.47438638071094091</v>
      </c>
      <c r="W361" s="4">
        <f>ROUND((R361*100*1)+(T361*100*2)+(U361*100*3),2)</f>
        <v>118.47</v>
      </c>
      <c r="X361" s="5">
        <v>6.2206132915190837E-2</v>
      </c>
      <c r="Y361" s="5">
        <v>0</v>
      </c>
      <c r="Z361" s="5">
        <v>0.26822355324596892</v>
      </c>
      <c r="AA361" s="5">
        <v>0.21212114338631441</v>
      </c>
      <c r="AB361" s="5">
        <v>0.45744917045252592</v>
      </c>
      <c r="AC361" s="4">
        <f>ROUND((X361*100*1)+(Z361*100*2)+(AA361*100*3),2)</f>
        <v>123.5</v>
      </c>
      <c r="AD361">
        <f>ROUND(AVERAGE(Q361,W361,AC361),2)</f>
        <v>91.48</v>
      </c>
    </row>
    <row r="362" spans="1:30" x14ac:dyDescent="0.2">
      <c r="A362">
        <v>386</v>
      </c>
      <c r="B362">
        <v>1</v>
      </c>
      <c r="C362" t="s">
        <v>1587</v>
      </c>
      <c r="D362" t="s">
        <v>1588</v>
      </c>
      <c r="E362" t="s">
        <v>547</v>
      </c>
      <c r="H362" t="s">
        <v>25</v>
      </c>
      <c r="I362" t="s">
        <v>25</v>
      </c>
      <c r="J362" t="s">
        <v>26</v>
      </c>
      <c r="K362" t="s">
        <v>86</v>
      </c>
      <c r="L362" s="5">
        <v>0</v>
      </c>
      <c r="M362" s="5">
        <v>0</v>
      </c>
      <c r="N362" s="5">
        <v>0.35286354156896921</v>
      </c>
      <c r="O362" s="5">
        <v>0.64713645843113454</v>
      </c>
      <c r="P362" s="5">
        <v>0</v>
      </c>
      <c r="Q362" s="4">
        <f>ROUND((L362*100*1)+(N362*100*2)+(O362*100*3),2)</f>
        <v>264.70999999999998</v>
      </c>
      <c r="R362" s="5">
        <v>0</v>
      </c>
      <c r="S362" s="5">
        <v>0</v>
      </c>
      <c r="T362" s="5">
        <v>0.30035491380357249</v>
      </c>
      <c r="U362" s="5">
        <v>0.65804388812320769</v>
      </c>
      <c r="V362" s="5">
        <v>4.1601198073219818E-2</v>
      </c>
      <c r="W362" s="4">
        <f>ROUND((R362*100*1)+(T362*100*2)+(U362*100*3),2)</f>
        <v>257.48</v>
      </c>
      <c r="X362" s="5">
        <v>3.9393453455591754E-3</v>
      </c>
      <c r="Y362" s="5">
        <v>0</v>
      </c>
      <c r="Z362" s="5">
        <v>0.29146855950715173</v>
      </c>
      <c r="AA362" s="5">
        <v>0.55107140205348337</v>
      </c>
      <c r="AB362" s="5">
        <v>0.15352069309380581</v>
      </c>
      <c r="AC362" s="4">
        <f>ROUND((X362*100*1)+(Z362*100*2)+(AA362*100*3),2)</f>
        <v>224.01</v>
      </c>
      <c r="AD362">
        <f>ROUND(AVERAGE(Q362,W362,AC362),2)</f>
        <v>248.73</v>
      </c>
    </row>
    <row r="363" spans="1:30" x14ac:dyDescent="0.2">
      <c r="A363">
        <v>387</v>
      </c>
      <c r="B363">
        <v>1</v>
      </c>
      <c r="C363" t="s">
        <v>1589</v>
      </c>
      <c r="D363" t="s">
        <v>1590</v>
      </c>
      <c r="E363" t="s">
        <v>1591</v>
      </c>
      <c r="H363" t="s">
        <v>67</v>
      </c>
      <c r="I363" t="s">
        <v>67</v>
      </c>
      <c r="J363" t="s">
        <v>26</v>
      </c>
      <c r="K363" t="s">
        <v>667</v>
      </c>
      <c r="L363" s="5">
        <v>0</v>
      </c>
      <c r="M363" s="5">
        <v>0</v>
      </c>
      <c r="N363" s="5">
        <v>0.15630629666334711</v>
      </c>
      <c r="O363" s="5">
        <v>1.515263976841227E-2</v>
      </c>
      <c r="P363" s="5">
        <v>0.82854106356824064</v>
      </c>
      <c r="Q363" s="4">
        <f>ROUND((L363*100*1)+(N363*100*2)+(O363*100*3),2)</f>
        <v>35.81</v>
      </c>
      <c r="R363" s="5">
        <v>0</v>
      </c>
      <c r="S363" s="5">
        <v>0</v>
      </c>
      <c r="T363" s="5">
        <v>0.23190172089601169</v>
      </c>
      <c r="U363" s="5">
        <v>2.988975219858277E-2</v>
      </c>
      <c r="V363" s="5">
        <v>0.7382085269054055</v>
      </c>
      <c r="W363" s="4">
        <f>ROUND((R363*100*1)+(T363*100*2)+(U363*100*3),2)</f>
        <v>55.35</v>
      </c>
      <c r="X363" s="5">
        <v>3.6672574166084368E-2</v>
      </c>
      <c r="Y363" s="5">
        <v>0</v>
      </c>
      <c r="Z363" s="5">
        <v>0.1657119892787495</v>
      </c>
      <c r="AA363" s="5">
        <v>2.580758009842506E-2</v>
      </c>
      <c r="AB363" s="5">
        <v>0.77180785645674099</v>
      </c>
      <c r="AC363" s="4">
        <f>ROUND((X363*100*1)+(Z363*100*2)+(AA363*100*3),2)</f>
        <v>44.55</v>
      </c>
      <c r="AD363">
        <f>ROUND(AVERAGE(Q363,W363,AC363),2)</f>
        <v>45.24</v>
      </c>
    </row>
    <row r="364" spans="1:30" x14ac:dyDescent="0.2">
      <c r="A364">
        <v>388</v>
      </c>
      <c r="B364">
        <v>1</v>
      </c>
      <c r="C364" t="s">
        <v>1592</v>
      </c>
      <c r="D364" t="s">
        <v>1593</v>
      </c>
      <c r="E364" t="s">
        <v>1265</v>
      </c>
      <c r="F364" t="s">
        <v>1594</v>
      </c>
      <c r="G364" t="s">
        <v>1595</v>
      </c>
      <c r="H364" t="s">
        <v>25</v>
      </c>
      <c r="I364" t="s">
        <v>25</v>
      </c>
      <c r="J364" t="s">
        <v>26</v>
      </c>
      <c r="K364" t="s">
        <v>43</v>
      </c>
      <c r="L364" s="5">
        <v>1</v>
      </c>
      <c r="M364" s="5">
        <v>0</v>
      </c>
      <c r="N364" s="5">
        <v>0</v>
      </c>
      <c r="O364" s="5">
        <v>0</v>
      </c>
      <c r="P364" s="5">
        <v>0</v>
      </c>
      <c r="Q364" s="4">
        <f>ROUND((L364*100*1)+(N364*100*2)+(O364*100*3),2)</f>
        <v>100</v>
      </c>
      <c r="R364" s="5">
        <v>0.9182063820512395</v>
      </c>
      <c r="S364" s="5">
        <v>0</v>
      </c>
      <c r="T364" s="5">
        <v>8.1709119627111831E-2</v>
      </c>
      <c r="U364" s="5">
        <v>8.4498321646081924E-5</v>
      </c>
      <c r="V364" s="5">
        <v>2.6645352591003761E-15</v>
      </c>
      <c r="W364" s="4">
        <f>ROUND((R364*100*1)+(T364*100*2)+(U364*100*3),2)</f>
        <v>108.19</v>
      </c>
      <c r="X364" s="5">
        <v>0.91885856077010175</v>
      </c>
      <c r="Y364" s="5">
        <v>0</v>
      </c>
      <c r="Z364" s="5">
        <v>7.9742564967308083E-2</v>
      </c>
      <c r="AA364" s="5">
        <v>1.3988742626009759E-3</v>
      </c>
      <c r="AB364" s="5">
        <v>0</v>
      </c>
      <c r="AC364" s="4">
        <f>ROUND((X364*100*1)+(Z364*100*2)+(AA364*100*3),2)</f>
        <v>108.25</v>
      </c>
      <c r="AD364">
        <f>ROUND(AVERAGE(Q364,W364,AC364),2)</f>
        <v>105.48</v>
      </c>
    </row>
    <row r="365" spans="1:30" x14ac:dyDescent="0.2">
      <c r="A365">
        <v>389</v>
      </c>
      <c r="B365">
        <v>1</v>
      </c>
      <c r="C365" t="s">
        <v>1596</v>
      </c>
      <c r="D365" t="s">
        <v>1597</v>
      </c>
      <c r="E365" t="s">
        <v>924</v>
      </c>
      <c r="H365" t="s">
        <v>260</v>
      </c>
      <c r="I365" t="s">
        <v>260</v>
      </c>
      <c r="J365" t="s">
        <v>92</v>
      </c>
      <c r="K365" t="s">
        <v>1598</v>
      </c>
      <c r="L365" s="5">
        <v>0</v>
      </c>
      <c r="M365" s="5">
        <v>0</v>
      </c>
      <c r="N365" s="5">
        <v>0</v>
      </c>
      <c r="O365" s="5">
        <v>0</v>
      </c>
      <c r="P365" s="5">
        <v>1</v>
      </c>
      <c r="Q365" s="4">
        <f>ROUND((L365*100*1)+(N365*100*2)+(O365*100*3),2)</f>
        <v>0</v>
      </c>
      <c r="R365" s="5">
        <v>0.15312235997109991</v>
      </c>
      <c r="S365" s="5">
        <v>0</v>
      </c>
      <c r="T365" s="5">
        <v>1.9077209784810711E-2</v>
      </c>
      <c r="U365" s="5">
        <v>0</v>
      </c>
      <c r="V365" s="5">
        <v>0.82780043024408945</v>
      </c>
      <c r="W365" s="4">
        <f>ROUND((R365*100*1)+(T365*100*2)+(U365*100*3),2)</f>
        <v>19.13</v>
      </c>
      <c r="X365" s="5">
        <v>0.10525835772355149</v>
      </c>
      <c r="Y365" s="5">
        <v>0</v>
      </c>
      <c r="Z365" s="5">
        <v>3.050829999394836E-2</v>
      </c>
      <c r="AA365" s="5">
        <v>0</v>
      </c>
      <c r="AB365" s="5">
        <v>0.86423334228250015</v>
      </c>
      <c r="AC365" s="4">
        <f>ROUND((X365*100*1)+(Z365*100*2)+(AA365*100*3),2)</f>
        <v>16.63</v>
      </c>
      <c r="AD365">
        <f>ROUND(AVERAGE(Q365,W365,AC365),2)</f>
        <v>11.92</v>
      </c>
    </row>
    <row r="366" spans="1:30" x14ac:dyDescent="0.2">
      <c r="A366">
        <v>390</v>
      </c>
      <c r="B366">
        <v>44</v>
      </c>
      <c r="C366" t="s">
        <v>1599</v>
      </c>
      <c r="D366" t="s">
        <v>1600</v>
      </c>
      <c r="E366" t="s">
        <v>441</v>
      </c>
      <c r="F366" t="s">
        <v>1601</v>
      </c>
      <c r="H366" t="s">
        <v>336</v>
      </c>
      <c r="I366" t="s">
        <v>336</v>
      </c>
      <c r="J366" t="s">
        <v>92</v>
      </c>
      <c r="K366" t="s">
        <v>1602</v>
      </c>
      <c r="L366" s="5">
        <v>0</v>
      </c>
      <c r="M366" s="5">
        <v>0</v>
      </c>
      <c r="N366" s="5">
        <v>0.23783492708290341</v>
      </c>
      <c r="O366" s="5">
        <v>0</v>
      </c>
      <c r="P366" s="5">
        <v>0.76216507291709656</v>
      </c>
      <c r="Q366" s="4">
        <f>ROUND((L366*100*1)+(N366*100*2)+(O366*100*3),2)</f>
        <v>47.57</v>
      </c>
      <c r="R366" s="5">
        <v>0.22785512660499679</v>
      </c>
      <c r="S366" s="5">
        <v>9.9089709704967527E-2</v>
      </c>
      <c r="T366" s="5">
        <v>0.1976154520032142</v>
      </c>
      <c r="U366" s="5">
        <v>2.664923453988847E-3</v>
      </c>
      <c r="V366" s="5">
        <v>0.4727747882328327</v>
      </c>
      <c r="W366" s="4">
        <f>ROUND((R366*100*1)+(T366*100*2)+(U366*100*3),2)</f>
        <v>63.11</v>
      </c>
      <c r="X366" s="5">
        <v>0.40970788233471861</v>
      </c>
      <c r="Y366" s="5">
        <v>0.1085462845210131</v>
      </c>
      <c r="Z366" s="5">
        <v>0.1433893626178063</v>
      </c>
      <c r="AA366" s="5">
        <v>1.1927862322091299E-3</v>
      </c>
      <c r="AB366" s="5">
        <v>0.33716368429425281</v>
      </c>
      <c r="AC366" s="4">
        <f>ROUND((X366*100*1)+(Z366*100*2)+(AA366*100*3),2)</f>
        <v>70.010000000000005</v>
      </c>
      <c r="AD366">
        <f>ROUND(AVERAGE(Q366,W366,AC366),2)</f>
        <v>60.23</v>
      </c>
    </row>
    <row r="367" spans="1:30" x14ac:dyDescent="0.2">
      <c r="A367">
        <v>392</v>
      </c>
      <c r="B367">
        <v>1</v>
      </c>
      <c r="C367" t="s">
        <v>1603</v>
      </c>
      <c r="D367" t="s">
        <v>1604</v>
      </c>
      <c r="E367" t="s">
        <v>1436</v>
      </c>
      <c r="H367" t="s">
        <v>67</v>
      </c>
      <c r="I367" t="s">
        <v>67</v>
      </c>
      <c r="J367" t="s">
        <v>34</v>
      </c>
      <c r="K367" t="s">
        <v>1605</v>
      </c>
      <c r="L367" s="5">
        <v>0</v>
      </c>
      <c r="M367" s="5">
        <v>0</v>
      </c>
      <c r="N367" s="5">
        <v>0.38664695836470031</v>
      </c>
      <c r="O367" s="5">
        <v>0.61335304163549009</v>
      </c>
      <c r="P367" s="5">
        <v>0</v>
      </c>
      <c r="Q367" s="4">
        <f>ROUND((L367*100*1)+(N367*100*2)+(O367*100*3),2)</f>
        <v>261.33999999999997</v>
      </c>
      <c r="R367" s="5">
        <v>3.1264836933896097E-2</v>
      </c>
      <c r="S367" s="5">
        <v>0</v>
      </c>
      <c r="T367" s="5">
        <v>0.42873884621195579</v>
      </c>
      <c r="U367" s="5">
        <v>0.40980591661474469</v>
      </c>
      <c r="V367" s="5">
        <v>0.1301904002394034</v>
      </c>
      <c r="W367" s="4">
        <f>ROUND((R367*100*1)+(T367*100*2)+(U367*100*3),2)</f>
        <v>211.82</v>
      </c>
      <c r="X367" s="5">
        <v>2.444788440639456E-2</v>
      </c>
      <c r="Y367" s="5">
        <v>0</v>
      </c>
      <c r="Z367" s="5">
        <v>0.36767369534115663</v>
      </c>
      <c r="AA367" s="5">
        <v>0.3329547296257277</v>
      </c>
      <c r="AB367" s="5">
        <v>0.27492369062672117</v>
      </c>
      <c r="AC367" s="4">
        <f>ROUND((X367*100*1)+(Z367*100*2)+(AA367*100*3),2)</f>
        <v>175.87</v>
      </c>
      <c r="AD367">
        <f>ROUND(AVERAGE(Q367,W367,AC367),2)</f>
        <v>216.34</v>
      </c>
    </row>
    <row r="368" spans="1:30" x14ac:dyDescent="0.2">
      <c r="A368">
        <v>393</v>
      </c>
      <c r="B368">
        <v>1</v>
      </c>
      <c r="C368" t="s">
        <v>1606</v>
      </c>
      <c r="D368" t="s">
        <v>1607</v>
      </c>
      <c r="E368" t="s">
        <v>1608</v>
      </c>
      <c r="F368" t="s">
        <v>1609</v>
      </c>
      <c r="G368" t="s">
        <v>1610</v>
      </c>
      <c r="H368" t="s">
        <v>25</v>
      </c>
      <c r="I368" t="s">
        <v>25</v>
      </c>
      <c r="J368" t="s">
        <v>92</v>
      </c>
      <c r="K368" t="s">
        <v>1108</v>
      </c>
      <c r="L368" s="5">
        <v>0.57648005961505022</v>
      </c>
      <c r="M368" s="5">
        <v>0</v>
      </c>
      <c r="N368" s="5">
        <v>0.25012007078262832</v>
      </c>
      <c r="O368" s="5">
        <v>0.15893832823434231</v>
      </c>
      <c r="P368" s="5">
        <v>1.446154136797928E-2</v>
      </c>
      <c r="Q368" s="4">
        <f>ROUND((L368*100*1)+(N368*100*2)+(O368*100*3),2)</f>
        <v>155.35</v>
      </c>
      <c r="R368" s="5">
        <v>0.66097280722173901</v>
      </c>
      <c r="S368" s="5">
        <v>0</v>
      </c>
      <c r="T368" s="5">
        <v>0.1781391563236745</v>
      </c>
      <c r="U368" s="5">
        <v>0.14771061560853219</v>
      </c>
      <c r="V368" s="5">
        <v>1.3177420846054329E-2</v>
      </c>
      <c r="W368" s="4">
        <f>ROUND((R368*100*1)+(T368*100*2)+(U368*100*3),2)</f>
        <v>146.04</v>
      </c>
      <c r="X368" s="5">
        <v>0.65394260440061636</v>
      </c>
      <c r="Y368" s="5">
        <v>0</v>
      </c>
      <c r="Z368" s="5">
        <v>0.1760922060624002</v>
      </c>
      <c r="AA368" s="5">
        <v>0.1548774492078917</v>
      </c>
      <c r="AB368" s="5">
        <v>1.508774032909177E-2</v>
      </c>
      <c r="AC368" s="4">
        <f>ROUND((X368*100*1)+(Z368*100*2)+(AA368*100*3),2)</f>
        <v>147.08000000000001</v>
      </c>
      <c r="AD368">
        <f>ROUND(AVERAGE(Q368,W368,AC368),2)</f>
        <v>149.49</v>
      </c>
    </row>
    <row r="369" spans="1:30" x14ac:dyDescent="0.2">
      <c r="A369">
        <v>394</v>
      </c>
      <c r="B369">
        <v>19</v>
      </c>
      <c r="C369" t="s">
        <v>1611</v>
      </c>
      <c r="D369" t="s">
        <v>1612</v>
      </c>
      <c r="E369" t="s">
        <v>1613</v>
      </c>
      <c r="F369" t="s">
        <v>1614</v>
      </c>
      <c r="G369" t="s">
        <v>1615</v>
      </c>
      <c r="H369" t="s">
        <v>67</v>
      </c>
      <c r="I369" t="s">
        <v>67</v>
      </c>
      <c r="J369" t="s">
        <v>92</v>
      </c>
      <c r="K369" t="s">
        <v>56</v>
      </c>
      <c r="L369" s="5">
        <v>0</v>
      </c>
      <c r="M369" s="5">
        <v>0</v>
      </c>
      <c r="N369" s="5">
        <v>0.27875842980243598</v>
      </c>
      <c r="O369" s="5">
        <v>1.4005291512356801E-2</v>
      </c>
      <c r="P369" s="5">
        <v>0.707236278685207</v>
      </c>
      <c r="Q369" s="4">
        <f>ROUND((L369*100*1)+(N369*100*2)+(O369*100*3),2)</f>
        <v>59.95</v>
      </c>
      <c r="R369" s="5">
        <v>2.4850547941896719E-3</v>
      </c>
      <c r="S369" s="5">
        <v>0</v>
      </c>
      <c r="T369" s="5">
        <v>0.1521901334522674</v>
      </c>
      <c r="U369" s="5">
        <v>0.11041443964302711</v>
      </c>
      <c r="V369" s="5">
        <v>0.73491037211051591</v>
      </c>
      <c r="W369" s="4">
        <f>ROUND((R369*100*1)+(T369*100*2)+(U369*100*3),2)</f>
        <v>63.81</v>
      </c>
      <c r="X369" s="5">
        <v>8.982669442246867E-2</v>
      </c>
      <c r="Y369" s="5">
        <v>0</v>
      </c>
      <c r="Z369" s="5">
        <v>0.15349002145624899</v>
      </c>
      <c r="AA369" s="5">
        <v>8.1839161256041904E-2</v>
      </c>
      <c r="AB369" s="5">
        <v>0.67484412286524043</v>
      </c>
      <c r="AC369" s="4">
        <f>ROUND((X369*100*1)+(Z369*100*2)+(AA369*100*3),2)</f>
        <v>64.23</v>
      </c>
      <c r="AD369">
        <f>ROUND(AVERAGE(Q369,W369,AC369),2)</f>
        <v>62.66</v>
      </c>
    </row>
    <row r="370" spans="1:30" x14ac:dyDescent="0.2">
      <c r="A370">
        <v>396</v>
      </c>
      <c r="B370">
        <v>14</v>
      </c>
      <c r="C370" t="s">
        <v>1616</v>
      </c>
      <c r="D370" t="s">
        <v>1617</v>
      </c>
      <c r="E370" t="s">
        <v>1618</v>
      </c>
      <c r="H370" t="s">
        <v>25</v>
      </c>
      <c r="I370" t="s">
        <v>25</v>
      </c>
      <c r="J370" t="s">
        <v>26</v>
      </c>
      <c r="K370" t="s">
        <v>1619</v>
      </c>
      <c r="L370" s="5">
        <v>0</v>
      </c>
      <c r="M370" s="5">
        <v>0</v>
      </c>
      <c r="N370" s="5">
        <v>0.24694898353400541</v>
      </c>
      <c r="O370" s="5">
        <v>0.49157008031082128</v>
      </c>
      <c r="P370" s="5">
        <v>0.26148093615517343</v>
      </c>
      <c r="Q370" s="4">
        <f>ROUND((L370*100*1)+(N370*100*2)+(O370*100*3),2)</f>
        <v>196.86</v>
      </c>
      <c r="R370" s="5">
        <v>5.5058188625883983E-3</v>
      </c>
      <c r="S370" s="5">
        <v>8.7219255679548427E-2</v>
      </c>
      <c r="T370" s="5">
        <v>0.25806312968082962</v>
      </c>
      <c r="U370" s="5">
        <v>0.29144146159071588</v>
      </c>
      <c r="V370" s="5">
        <v>0.35777033418631798</v>
      </c>
      <c r="W370" s="4">
        <f>ROUND((R370*100*1)+(T370*100*2)+(U370*100*3),2)</f>
        <v>139.6</v>
      </c>
      <c r="X370" s="5">
        <v>1.3001198932673061E-2</v>
      </c>
      <c r="Y370" s="5">
        <v>3.0877383492369851E-2</v>
      </c>
      <c r="Z370" s="5">
        <v>0.24251119088002659</v>
      </c>
      <c r="AA370" s="5">
        <v>0.26754160427295948</v>
      </c>
      <c r="AB370" s="5">
        <v>0.44606862242197087</v>
      </c>
      <c r="AC370" s="4">
        <f>ROUND((X370*100*1)+(Z370*100*2)+(AA370*100*3),2)</f>
        <v>130.06</v>
      </c>
      <c r="AD370">
        <f>ROUND(AVERAGE(Q370,W370,AC370),2)</f>
        <v>155.51</v>
      </c>
    </row>
    <row r="371" spans="1:30" x14ac:dyDescent="0.2">
      <c r="A371">
        <v>398</v>
      </c>
      <c r="B371">
        <v>8</v>
      </c>
      <c r="C371" t="s">
        <v>1620</v>
      </c>
      <c r="D371" t="s">
        <v>1621</v>
      </c>
      <c r="E371" t="s">
        <v>1622</v>
      </c>
      <c r="H371" t="s">
        <v>25</v>
      </c>
      <c r="I371" t="s">
        <v>25</v>
      </c>
      <c r="J371" t="s">
        <v>92</v>
      </c>
      <c r="K371" t="s">
        <v>1605</v>
      </c>
      <c r="L371" s="5">
        <v>0.11037934217483079</v>
      </c>
      <c r="M371" s="5">
        <v>0</v>
      </c>
      <c r="N371" s="5">
        <v>0.16199687233258869</v>
      </c>
      <c r="O371" s="5">
        <v>2.5035965893260591E-2</v>
      </c>
      <c r="P371" s="5">
        <v>0.70258781959931993</v>
      </c>
      <c r="Q371" s="4">
        <f>ROUND((L371*100*1)+(N371*100*2)+(O371*100*3),2)</f>
        <v>50.95</v>
      </c>
      <c r="R371" s="5">
        <v>3.6416607497994073E-2</v>
      </c>
      <c r="S371" s="5">
        <v>0</v>
      </c>
      <c r="T371" s="5">
        <v>0.21626298633601751</v>
      </c>
      <c r="U371" s="5">
        <v>0.1684622500742271</v>
      </c>
      <c r="V371" s="5">
        <v>0.57885815609176128</v>
      </c>
      <c r="W371" s="4">
        <f>ROUND((R371*100*1)+(T371*100*2)+(U371*100*3),2)</f>
        <v>97.43</v>
      </c>
      <c r="X371" s="5">
        <v>2.4062153576253392E-2</v>
      </c>
      <c r="Y371" s="5">
        <v>0</v>
      </c>
      <c r="Z371" s="5">
        <v>0.15580747333065109</v>
      </c>
      <c r="AA371" s="5">
        <v>0.1177462461996322</v>
      </c>
      <c r="AB371" s="5">
        <v>0.70238412689346319</v>
      </c>
      <c r="AC371" s="4">
        <f>ROUND((X371*100*1)+(Z371*100*2)+(AA371*100*3),2)</f>
        <v>68.89</v>
      </c>
      <c r="AD371">
        <f>ROUND(AVERAGE(Q371,W371,AC371),2)</f>
        <v>72.42</v>
      </c>
    </row>
    <row r="372" spans="1:30" x14ac:dyDescent="0.2">
      <c r="A372">
        <v>399</v>
      </c>
      <c r="B372">
        <v>1</v>
      </c>
      <c r="C372" t="s">
        <v>1623</v>
      </c>
      <c r="D372" t="s">
        <v>1624</v>
      </c>
      <c r="E372" t="s">
        <v>1625</v>
      </c>
      <c r="F372" t="s">
        <v>1626</v>
      </c>
      <c r="G372" t="s">
        <v>1627</v>
      </c>
      <c r="H372" t="s">
        <v>25</v>
      </c>
      <c r="I372" t="s">
        <v>25</v>
      </c>
      <c r="J372" t="s">
        <v>92</v>
      </c>
      <c r="K372" t="s">
        <v>750</v>
      </c>
      <c r="L372" s="5">
        <v>9.2670840011356281E-2</v>
      </c>
      <c r="M372" s="5">
        <v>0</v>
      </c>
      <c r="N372" s="5">
        <v>0.23568039488202119</v>
      </c>
      <c r="O372" s="5">
        <v>0.24884133629631411</v>
      </c>
      <c r="P372" s="5">
        <v>0.42280742881030842</v>
      </c>
      <c r="Q372" s="4">
        <f>ROUND((L372*100*1)+(N372*100*2)+(O372*100*3),2)</f>
        <v>131.06</v>
      </c>
      <c r="R372" s="5">
        <v>4.9471626160210107E-2</v>
      </c>
      <c r="S372" s="5">
        <v>0</v>
      </c>
      <c r="T372" s="5">
        <v>0.24105623257008349</v>
      </c>
      <c r="U372" s="5">
        <v>0.24882975034678639</v>
      </c>
      <c r="V372" s="5">
        <v>0.46064239092291992</v>
      </c>
      <c r="W372" s="4">
        <f>ROUND((R372*100*1)+(T372*100*2)+(U372*100*3),2)</f>
        <v>127.81</v>
      </c>
      <c r="X372" s="5">
        <v>4.4635403579602592E-2</v>
      </c>
      <c r="Y372" s="5">
        <v>0</v>
      </c>
      <c r="Z372" s="5">
        <v>0.21697503319871919</v>
      </c>
      <c r="AA372" s="5">
        <v>0.18638331877015221</v>
      </c>
      <c r="AB372" s="5">
        <v>0.55200624445152602</v>
      </c>
      <c r="AC372" s="4">
        <f>ROUND((X372*100*1)+(Z372*100*2)+(AA372*100*3),2)</f>
        <v>103.77</v>
      </c>
      <c r="AD372">
        <f>ROUND(AVERAGE(Q372,W372,AC372),2)</f>
        <v>120.88</v>
      </c>
    </row>
    <row r="373" spans="1:30" x14ac:dyDescent="0.2">
      <c r="A373">
        <v>400</v>
      </c>
      <c r="B373">
        <v>1</v>
      </c>
      <c r="C373" t="s">
        <v>1628</v>
      </c>
      <c r="D373" t="s">
        <v>1629</v>
      </c>
      <c r="E373" t="s">
        <v>1625</v>
      </c>
      <c r="F373" t="s">
        <v>1630</v>
      </c>
      <c r="G373" t="s">
        <v>1631</v>
      </c>
      <c r="H373" t="s">
        <v>25</v>
      </c>
      <c r="I373" t="s">
        <v>25</v>
      </c>
      <c r="J373" t="s">
        <v>34</v>
      </c>
      <c r="K373" t="s">
        <v>750</v>
      </c>
      <c r="L373" s="5">
        <v>0.18390830260038329</v>
      </c>
      <c r="M373" s="5">
        <v>0</v>
      </c>
      <c r="N373" s="5">
        <v>0.19605939492187069</v>
      </c>
      <c r="O373" s="5">
        <v>0</v>
      </c>
      <c r="P373" s="5">
        <v>0.62003230247774599</v>
      </c>
      <c r="Q373" s="4">
        <f>ROUND((L373*100*1)+(N373*100*2)+(O373*100*3),2)</f>
        <v>57.6</v>
      </c>
      <c r="R373" s="5">
        <v>0.13646189043114521</v>
      </c>
      <c r="S373" s="5">
        <v>0</v>
      </c>
      <c r="T373" s="5">
        <v>0.10955070826026719</v>
      </c>
      <c r="U373" s="5">
        <v>1.6148578688048229E-3</v>
      </c>
      <c r="V373" s="5">
        <v>0.75237254343978277</v>
      </c>
      <c r="W373" s="4">
        <f>ROUND((R373*100*1)+(T373*100*2)+(U373*100*3),2)</f>
        <v>36.04</v>
      </c>
      <c r="X373" s="5">
        <v>0.1100117799480721</v>
      </c>
      <c r="Y373" s="5">
        <v>0</v>
      </c>
      <c r="Z373" s="5">
        <v>8.3992204909669521E-2</v>
      </c>
      <c r="AA373" s="5">
        <v>4.7642951055094614E-3</v>
      </c>
      <c r="AB373" s="5">
        <v>0.80123172003674892</v>
      </c>
      <c r="AC373" s="4">
        <f>ROUND((X373*100*1)+(Z373*100*2)+(AA373*100*3),2)</f>
        <v>29.23</v>
      </c>
      <c r="AD373">
        <f>ROUND(AVERAGE(Q373,W373,AC373),2)</f>
        <v>40.96</v>
      </c>
    </row>
    <row r="374" spans="1:30" x14ac:dyDescent="0.2">
      <c r="A374">
        <v>401</v>
      </c>
      <c r="B374">
        <v>1</v>
      </c>
      <c r="C374" t="s">
        <v>1632</v>
      </c>
      <c r="D374" t="s">
        <v>1633</v>
      </c>
      <c r="E374" t="s">
        <v>1634</v>
      </c>
      <c r="F374" t="s">
        <v>1635</v>
      </c>
      <c r="G374" t="s">
        <v>551</v>
      </c>
      <c r="H374" t="s">
        <v>25</v>
      </c>
      <c r="I374" t="s">
        <v>25</v>
      </c>
      <c r="J374" t="s">
        <v>26</v>
      </c>
      <c r="K374" t="s">
        <v>130</v>
      </c>
      <c r="L374" s="5">
        <v>0</v>
      </c>
      <c r="M374" s="5">
        <v>0</v>
      </c>
      <c r="N374" s="5">
        <v>0</v>
      </c>
      <c r="O374" s="5">
        <v>0</v>
      </c>
      <c r="P374" s="5">
        <v>1</v>
      </c>
      <c r="Q374" s="4">
        <f>ROUND((L374*100*1)+(N374*100*2)+(O374*100*3),2)</f>
        <v>0</v>
      </c>
      <c r="R374" s="5">
        <v>0</v>
      </c>
      <c r="S374" s="5">
        <v>0</v>
      </c>
      <c r="T374" s="5">
        <v>0.1184800605577484</v>
      </c>
      <c r="U374" s="5">
        <v>0</v>
      </c>
      <c r="V374" s="5">
        <v>0.8815199394422516</v>
      </c>
      <c r="W374" s="4">
        <f>ROUND((R374*100*1)+(T374*100*2)+(U374*100*3),2)</f>
        <v>23.7</v>
      </c>
      <c r="X374" s="5">
        <v>0</v>
      </c>
      <c r="Y374" s="5">
        <v>0</v>
      </c>
      <c r="Z374" s="5">
        <v>9.6633534601267099E-2</v>
      </c>
      <c r="AA374" s="5">
        <v>0</v>
      </c>
      <c r="AB374" s="5">
        <v>0.90336646539873289</v>
      </c>
      <c r="AC374" s="4">
        <f>ROUND((X374*100*1)+(Z374*100*2)+(AA374*100*3),2)</f>
        <v>19.329999999999998</v>
      </c>
      <c r="AD374">
        <f>ROUND(AVERAGE(Q374,W374,AC374),2)</f>
        <v>14.34</v>
      </c>
    </row>
    <row r="375" spans="1:30" x14ac:dyDescent="0.2">
      <c r="A375">
        <v>402</v>
      </c>
      <c r="B375">
        <v>19</v>
      </c>
      <c r="C375" t="s">
        <v>1636</v>
      </c>
      <c r="D375" t="s">
        <v>1637</v>
      </c>
      <c r="E375" t="s">
        <v>1625</v>
      </c>
      <c r="F375" t="s">
        <v>1638</v>
      </c>
      <c r="G375" t="s">
        <v>1639</v>
      </c>
      <c r="H375" t="s">
        <v>67</v>
      </c>
      <c r="I375" t="s">
        <v>67</v>
      </c>
      <c r="J375" t="s">
        <v>92</v>
      </c>
      <c r="K375" t="s">
        <v>266</v>
      </c>
      <c r="L375" s="5">
        <v>5.0774935683333751E-2</v>
      </c>
      <c r="M375" s="5">
        <v>0</v>
      </c>
      <c r="N375" s="5">
        <v>0.11238479495817311</v>
      </c>
      <c r="O375" s="5">
        <v>0</v>
      </c>
      <c r="P375" s="5">
        <v>0.83684026935849309</v>
      </c>
      <c r="Q375" s="4">
        <f>ROUND((L375*100*1)+(N375*100*2)+(O375*100*3),2)</f>
        <v>27.55</v>
      </c>
      <c r="R375" s="5">
        <v>2.19759452345374E-2</v>
      </c>
      <c r="S375" s="5">
        <v>0</v>
      </c>
      <c r="T375" s="5">
        <v>0.12564057146810759</v>
      </c>
      <c r="U375" s="5">
        <v>1.2605232574555919E-2</v>
      </c>
      <c r="V375" s="5">
        <v>0.83977825072279921</v>
      </c>
      <c r="W375" s="4">
        <f>ROUND((R375*100*1)+(T375*100*2)+(U375*100*3),2)</f>
        <v>31.11</v>
      </c>
      <c r="X375" s="5">
        <v>0.1169497065540045</v>
      </c>
      <c r="Y375" s="5">
        <v>0</v>
      </c>
      <c r="Z375" s="5">
        <v>0.13479929637753771</v>
      </c>
      <c r="AA375" s="5">
        <v>7.0524025351323622E-3</v>
      </c>
      <c r="AB375" s="5">
        <v>0.74119859453332548</v>
      </c>
      <c r="AC375" s="4">
        <f>ROUND((X375*100*1)+(Z375*100*2)+(AA375*100*3),2)</f>
        <v>40.770000000000003</v>
      </c>
      <c r="AD375">
        <f>ROUND(AVERAGE(Q375,W375,AC375),2)</f>
        <v>33.14</v>
      </c>
    </row>
    <row r="376" spans="1:30" x14ac:dyDescent="0.2">
      <c r="A376">
        <v>405</v>
      </c>
      <c r="B376">
        <v>1</v>
      </c>
      <c r="C376" t="s">
        <v>1640</v>
      </c>
      <c r="D376" t="s">
        <v>1641</v>
      </c>
      <c r="E376" t="s">
        <v>937</v>
      </c>
      <c r="F376" t="s">
        <v>1642</v>
      </c>
      <c r="G376" t="s">
        <v>1643</v>
      </c>
      <c r="H376" t="s">
        <v>25</v>
      </c>
      <c r="I376" t="s">
        <v>25</v>
      </c>
      <c r="J376" t="s">
        <v>26</v>
      </c>
      <c r="K376" t="s">
        <v>27</v>
      </c>
      <c r="L376" s="5">
        <v>0.72641620126914397</v>
      </c>
      <c r="M376" s="5">
        <v>0</v>
      </c>
      <c r="N376" s="5">
        <v>0.24733256306447829</v>
      </c>
      <c r="O376" s="5">
        <v>0</v>
      </c>
      <c r="P376" s="5">
        <v>2.625123566637777E-2</v>
      </c>
      <c r="Q376" s="4">
        <f>ROUND((L376*100*1)+(N376*100*2)+(O376*100*3),2)</f>
        <v>122.11</v>
      </c>
      <c r="R376" s="5">
        <v>0.82697968376033082</v>
      </c>
      <c r="S376" s="5">
        <v>0</v>
      </c>
      <c r="T376" s="5">
        <v>9.5107672838602247E-2</v>
      </c>
      <c r="U376" s="5">
        <v>0</v>
      </c>
      <c r="V376" s="5">
        <v>7.7912643401066961E-2</v>
      </c>
      <c r="W376" s="4">
        <f>ROUND((R376*100*1)+(T376*100*2)+(U376*100*3),2)</f>
        <v>101.72</v>
      </c>
      <c r="X376" s="5">
        <v>0.89072578822562576</v>
      </c>
      <c r="Y376" s="5">
        <v>0</v>
      </c>
      <c r="Z376" s="5">
        <v>6.5150684344132667E-2</v>
      </c>
      <c r="AA376" s="5">
        <v>0</v>
      </c>
      <c r="AB376" s="5">
        <v>4.4123527430241623E-2</v>
      </c>
      <c r="AC376" s="4">
        <f>ROUND((X376*100*1)+(Z376*100*2)+(AA376*100*3),2)</f>
        <v>102.1</v>
      </c>
      <c r="AD376">
        <f>ROUND(AVERAGE(Q376,W376,AC376),2)</f>
        <v>108.64</v>
      </c>
    </row>
    <row r="377" spans="1:30" x14ac:dyDescent="0.2">
      <c r="A377">
        <v>406</v>
      </c>
      <c r="B377">
        <v>1</v>
      </c>
      <c r="C377" t="s">
        <v>1644</v>
      </c>
      <c r="D377" t="s">
        <v>1645</v>
      </c>
      <c r="E377" t="s">
        <v>1646</v>
      </c>
      <c r="F377" t="s">
        <v>1647</v>
      </c>
      <c r="G377" t="s">
        <v>1648</v>
      </c>
      <c r="H377" t="s">
        <v>25</v>
      </c>
      <c r="I377" t="s">
        <v>25</v>
      </c>
      <c r="J377" t="s">
        <v>34</v>
      </c>
      <c r="K377" t="s">
        <v>210</v>
      </c>
      <c r="L377" s="5">
        <v>0.9481610772617195</v>
      </c>
      <c r="M377" s="5">
        <v>0</v>
      </c>
      <c r="N377" s="5">
        <v>5.1838922738280523E-2</v>
      </c>
      <c r="O377" s="5">
        <v>0</v>
      </c>
      <c r="P377" s="5">
        <v>0</v>
      </c>
      <c r="Q377" s="4">
        <f>ROUND((L377*100*1)+(N377*100*2)+(O377*100*3),2)</f>
        <v>105.18</v>
      </c>
      <c r="R377" s="5">
        <v>0.91832165049947001</v>
      </c>
      <c r="S377" s="5">
        <v>0</v>
      </c>
      <c r="T377" s="5">
        <v>8.1678349500527547E-2</v>
      </c>
      <c r="U377" s="5">
        <v>0</v>
      </c>
      <c r="V377" s="5">
        <v>2.442490654175344E-15</v>
      </c>
      <c r="W377" s="4">
        <f>ROUND((R377*100*1)+(T377*100*2)+(U377*100*3),2)</f>
        <v>108.17</v>
      </c>
      <c r="X377" s="5">
        <v>0.91530264518747606</v>
      </c>
      <c r="Y377" s="5">
        <v>0</v>
      </c>
      <c r="Z377" s="5">
        <v>8.46973548125078E-2</v>
      </c>
      <c r="AA377" s="5">
        <v>0</v>
      </c>
      <c r="AB377" s="5">
        <v>1.609823385706477E-14</v>
      </c>
      <c r="AC377" s="4">
        <f>ROUND((X377*100*1)+(Z377*100*2)+(AA377*100*3),2)</f>
        <v>108.47</v>
      </c>
      <c r="AD377">
        <f>ROUND(AVERAGE(Q377,W377,AC377),2)</f>
        <v>107.27</v>
      </c>
    </row>
    <row r="378" spans="1:30" x14ac:dyDescent="0.2">
      <c r="A378">
        <v>407</v>
      </c>
      <c r="B378">
        <v>1</v>
      </c>
      <c r="C378" t="s">
        <v>1649</v>
      </c>
      <c r="D378" t="s">
        <v>1650</v>
      </c>
      <c r="E378" t="s">
        <v>1400</v>
      </c>
      <c r="F378" t="s">
        <v>1651</v>
      </c>
      <c r="G378" t="s">
        <v>1652</v>
      </c>
      <c r="H378" t="s">
        <v>25</v>
      </c>
      <c r="I378" t="s">
        <v>25</v>
      </c>
      <c r="J378" t="s">
        <v>92</v>
      </c>
      <c r="K378" t="s">
        <v>167</v>
      </c>
      <c r="L378" s="5">
        <v>0.5670950363826367</v>
      </c>
      <c r="M378" s="5">
        <v>0</v>
      </c>
      <c r="N378" s="5">
        <v>4.5212452494411248E-2</v>
      </c>
      <c r="O378" s="5">
        <v>0</v>
      </c>
      <c r="P378" s="5">
        <v>0.38769251112295211</v>
      </c>
      <c r="Q378" s="4">
        <f>ROUND((L378*100*1)+(N378*100*2)+(O378*100*3),2)</f>
        <v>65.75</v>
      </c>
      <c r="R378" s="5">
        <v>0.38879788140367122</v>
      </c>
      <c r="S378" s="5">
        <v>0</v>
      </c>
      <c r="T378" s="5">
        <v>8.002663386484235E-2</v>
      </c>
      <c r="U378" s="5">
        <v>0</v>
      </c>
      <c r="V378" s="5">
        <v>0.53117548473148646</v>
      </c>
      <c r="W378" s="4">
        <f>ROUND((R378*100*1)+(T378*100*2)+(U378*100*3),2)</f>
        <v>54.89</v>
      </c>
      <c r="X378" s="5">
        <v>0.44560197350448172</v>
      </c>
      <c r="Y378" s="5">
        <v>0</v>
      </c>
      <c r="Z378" s="5">
        <v>0.1127122253768424</v>
      </c>
      <c r="AA378" s="5">
        <v>2.6007712525479699E-3</v>
      </c>
      <c r="AB378" s="5">
        <v>0.43908502986612802</v>
      </c>
      <c r="AC378" s="4">
        <f>ROUND((X378*100*1)+(Z378*100*2)+(AA378*100*3),2)</f>
        <v>67.88</v>
      </c>
      <c r="AD378">
        <f>ROUND(AVERAGE(Q378,W378,AC378),2)</f>
        <v>62.84</v>
      </c>
    </row>
    <row r="379" spans="1:30" x14ac:dyDescent="0.2">
      <c r="A379">
        <v>408</v>
      </c>
      <c r="B379">
        <v>1</v>
      </c>
      <c r="C379" t="s">
        <v>1653</v>
      </c>
      <c r="D379" t="s">
        <v>1654</v>
      </c>
      <c r="E379" t="s">
        <v>953</v>
      </c>
      <c r="F379" t="s">
        <v>991</v>
      </c>
      <c r="G379" t="s">
        <v>1655</v>
      </c>
      <c r="H379" t="s">
        <v>67</v>
      </c>
      <c r="I379" t="s">
        <v>67</v>
      </c>
      <c r="J379" t="s">
        <v>34</v>
      </c>
      <c r="K379" t="s">
        <v>210</v>
      </c>
      <c r="L379" s="5">
        <v>0</v>
      </c>
      <c r="M379" s="5">
        <v>0</v>
      </c>
      <c r="N379" s="5">
        <v>0</v>
      </c>
      <c r="O379" s="5">
        <v>0</v>
      </c>
      <c r="P379" s="5">
        <v>1</v>
      </c>
      <c r="Q379" s="4">
        <f>ROUND((L379*100*1)+(N379*100*2)+(O379*100*3),2)</f>
        <v>0</v>
      </c>
      <c r="R379" s="5">
        <v>0</v>
      </c>
      <c r="S379" s="5">
        <v>0</v>
      </c>
      <c r="T379" s="5">
        <v>5.9346543155886722E-2</v>
      </c>
      <c r="U379" s="5">
        <v>2.568399559399932E-3</v>
      </c>
      <c r="V379" s="5">
        <v>0.93808505728471336</v>
      </c>
      <c r="W379" s="4">
        <f>ROUND((R379*100*1)+(T379*100*2)+(U379*100*3),2)</f>
        <v>12.64</v>
      </c>
      <c r="X379" s="5">
        <v>0</v>
      </c>
      <c r="Y379" s="5">
        <v>0</v>
      </c>
      <c r="Z379" s="5">
        <v>0.10120558905521761</v>
      </c>
      <c r="AA379" s="5">
        <v>6.7341747457980872E-3</v>
      </c>
      <c r="AB379" s="5">
        <v>0.89206023619898434</v>
      </c>
      <c r="AC379" s="4">
        <f>ROUND((X379*100*1)+(Z379*100*2)+(AA379*100*3),2)</f>
        <v>22.26</v>
      </c>
      <c r="AD379">
        <f>ROUND(AVERAGE(Q379,W379,AC379),2)</f>
        <v>11.63</v>
      </c>
    </row>
    <row r="380" spans="1:30" x14ac:dyDescent="0.2">
      <c r="A380">
        <v>409</v>
      </c>
      <c r="B380">
        <v>1</v>
      </c>
      <c r="C380" t="s">
        <v>1656</v>
      </c>
      <c r="D380" t="s">
        <v>1657</v>
      </c>
      <c r="E380" t="s">
        <v>984</v>
      </c>
      <c r="F380" t="s">
        <v>1658</v>
      </c>
      <c r="G380" t="s">
        <v>1659</v>
      </c>
      <c r="H380" t="s">
        <v>67</v>
      </c>
      <c r="I380" t="s">
        <v>67</v>
      </c>
      <c r="J380" t="s">
        <v>26</v>
      </c>
      <c r="K380" t="s">
        <v>193</v>
      </c>
      <c r="L380" s="5">
        <v>0</v>
      </c>
      <c r="M380" s="5">
        <v>0</v>
      </c>
      <c r="N380" s="5">
        <v>9.4496895730731376E-2</v>
      </c>
      <c r="O380" s="5">
        <v>0</v>
      </c>
      <c r="P380" s="5">
        <v>0.90550310426926861</v>
      </c>
      <c r="Q380" s="4">
        <f>ROUND((L380*100*1)+(N380*100*2)+(O380*100*3),2)</f>
        <v>18.899999999999999</v>
      </c>
      <c r="R380" s="5">
        <v>1.122476881997434E-2</v>
      </c>
      <c r="S380" s="5">
        <v>0</v>
      </c>
      <c r="T380" s="5">
        <v>0.1127215125873168</v>
      </c>
      <c r="U380" s="5">
        <v>4.2794667056818211E-2</v>
      </c>
      <c r="V380" s="5">
        <v>0.83325905153589075</v>
      </c>
      <c r="W380" s="4">
        <f>ROUND((R380*100*1)+(T380*100*2)+(U380*100*3),2)</f>
        <v>36.51</v>
      </c>
      <c r="X380" s="5">
        <v>0.16464621541110691</v>
      </c>
      <c r="Y380" s="5">
        <v>0</v>
      </c>
      <c r="Z380" s="5">
        <v>9.9029969495460779E-2</v>
      </c>
      <c r="AA380" s="5">
        <v>9.3666210501377786E-2</v>
      </c>
      <c r="AB380" s="5">
        <v>0.64265760459205445</v>
      </c>
      <c r="AC380" s="4">
        <f>ROUND((X380*100*1)+(Z380*100*2)+(AA380*100*3),2)</f>
        <v>64.37</v>
      </c>
      <c r="AD380">
        <f>ROUND(AVERAGE(Q380,W380,AC380),2)</f>
        <v>39.93</v>
      </c>
    </row>
    <row r="381" spans="1:30" x14ac:dyDescent="0.2">
      <c r="A381">
        <v>410</v>
      </c>
      <c r="B381">
        <v>1</v>
      </c>
      <c r="C381" t="s">
        <v>1660</v>
      </c>
      <c r="D381" t="s">
        <v>1661</v>
      </c>
      <c r="E381" t="s">
        <v>1662</v>
      </c>
      <c r="F381" t="s">
        <v>1663</v>
      </c>
      <c r="G381" t="s">
        <v>1664</v>
      </c>
      <c r="H381" t="s">
        <v>25</v>
      </c>
      <c r="I381" t="s">
        <v>25</v>
      </c>
      <c r="J381" t="s">
        <v>34</v>
      </c>
      <c r="K381" t="s">
        <v>1665</v>
      </c>
      <c r="L381" s="5">
        <v>0.47127628281835587</v>
      </c>
      <c r="M381" s="5">
        <v>0</v>
      </c>
      <c r="N381" s="5">
        <v>0.36089658857587892</v>
      </c>
      <c r="O381" s="5">
        <v>7.8703264461298411E-2</v>
      </c>
      <c r="P381" s="5">
        <v>8.9123864144466824E-2</v>
      </c>
      <c r="Q381" s="4">
        <f>ROUND((L381*100*1)+(N381*100*2)+(O381*100*3),2)</f>
        <v>142.91999999999999</v>
      </c>
      <c r="R381" s="5">
        <v>0.27118572620259762</v>
      </c>
      <c r="S381" s="5">
        <v>0</v>
      </c>
      <c r="T381" s="5">
        <v>0.33383476003834989</v>
      </c>
      <c r="U381" s="5">
        <v>0.19461411046448041</v>
      </c>
      <c r="V381" s="5">
        <v>0.20036540329457209</v>
      </c>
      <c r="W381" s="4">
        <f>ROUND((R381*100*1)+(T381*100*2)+(U381*100*3),2)</f>
        <v>152.27000000000001</v>
      </c>
      <c r="X381" s="5">
        <v>0.3119361068861955</v>
      </c>
      <c r="Y381" s="5">
        <v>0</v>
      </c>
      <c r="Z381" s="5">
        <v>0.30041072516748102</v>
      </c>
      <c r="AA381" s="5">
        <v>0.15062026476511131</v>
      </c>
      <c r="AB381" s="5">
        <v>0.23703290318121231</v>
      </c>
      <c r="AC381" s="4">
        <f>ROUND((X381*100*1)+(Z381*100*2)+(AA381*100*3),2)</f>
        <v>136.46</v>
      </c>
      <c r="AD381">
        <f>ROUND(AVERAGE(Q381,W381,AC381),2)</f>
        <v>143.88</v>
      </c>
    </row>
    <row r="382" spans="1:30" x14ac:dyDescent="0.2">
      <c r="A382">
        <v>412</v>
      </c>
      <c r="B382">
        <v>1</v>
      </c>
      <c r="C382" t="s">
        <v>1666</v>
      </c>
      <c r="D382" t="s">
        <v>1667</v>
      </c>
      <c r="E382" t="s">
        <v>1288</v>
      </c>
      <c r="F382" t="s">
        <v>1668</v>
      </c>
      <c r="G382" t="s">
        <v>1669</v>
      </c>
      <c r="H382" t="s">
        <v>25</v>
      </c>
      <c r="I382" t="s">
        <v>25</v>
      </c>
      <c r="J382" t="s">
        <v>26</v>
      </c>
      <c r="K382" t="s">
        <v>650</v>
      </c>
      <c r="L382" s="5">
        <v>0</v>
      </c>
      <c r="M382" s="5">
        <v>0</v>
      </c>
      <c r="N382" s="5">
        <v>0.16863819734145599</v>
      </c>
      <c r="O382" s="5">
        <v>0.83136180265867676</v>
      </c>
      <c r="P382" s="5">
        <v>0</v>
      </c>
      <c r="Q382" s="4">
        <f>ROUND((L382*100*1)+(N382*100*2)+(O382*100*3),2)</f>
        <v>283.14</v>
      </c>
      <c r="R382" s="5">
        <v>8.0627393981659551E-2</v>
      </c>
      <c r="S382" s="5">
        <v>0</v>
      </c>
      <c r="T382" s="5">
        <v>0.19440199223663851</v>
      </c>
      <c r="U382" s="5">
        <v>0.72497061378170036</v>
      </c>
      <c r="V382" s="5">
        <v>1.554312234475219E-15</v>
      </c>
      <c r="W382" s="4">
        <f>ROUND((R382*100*1)+(T382*100*2)+(U382*100*3),2)</f>
        <v>264.43</v>
      </c>
      <c r="X382" s="5">
        <v>0.17270476917800601</v>
      </c>
      <c r="Y382" s="5">
        <v>0</v>
      </c>
      <c r="Z382" s="5">
        <v>0.18188153531360579</v>
      </c>
      <c r="AA382" s="5">
        <v>0.64541369550838246</v>
      </c>
      <c r="AB382" s="5">
        <v>5.773159728050814E-15</v>
      </c>
      <c r="AC382" s="4">
        <f>ROUND((X382*100*1)+(Z382*100*2)+(AA382*100*3),2)</f>
        <v>247.27</v>
      </c>
      <c r="AD382">
        <f>ROUND(AVERAGE(Q382,W382,AC382),2)</f>
        <v>264.95</v>
      </c>
    </row>
    <row r="383" spans="1:30" x14ac:dyDescent="0.2">
      <c r="A383">
        <v>413</v>
      </c>
      <c r="B383">
        <v>4</v>
      </c>
      <c r="C383" t="s">
        <v>1670</v>
      </c>
      <c r="D383" t="s">
        <v>1671</v>
      </c>
      <c r="E383" t="s">
        <v>1672</v>
      </c>
      <c r="F383" t="s">
        <v>1673</v>
      </c>
      <c r="G383" t="s">
        <v>1674</v>
      </c>
      <c r="H383" t="s">
        <v>67</v>
      </c>
      <c r="I383" t="s">
        <v>67</v>
      </c>
      <c r="J383" t="s">
        <v>34</v>
      </c>
      <c r="K383" t="s">
        <v>1362</v>
      </c>
      <c r="L383" s="5">
        <v>0.5063733317149226</v>
      </c>
      <c r="M383" s="5">
        <v>0</v>
      </c>
      <c r="N383" s="5">
        <v>0.21736791721793811</v>
      </c>
      <c r="O383" s="5">
        <v>7.7472218212954538E-2</v>
      </c>
      <c r="P383" s="5">
        <v>0.19878653285418471</v>
      </c>
      <c r="Q383" s="4">
        <f>ROUND((L383*100*1)+(N383*100*2)+(O383*100*3),2)</f>
        <v>117.35</v>
      </c>
      <c r="R383" s="5">
        <v>0.31622792228798668</v>
      </c>
      <c r="S383" s="5">
        <v>0</v>
      </c>
      <c r="T383" s="5">
        <v>0.2127443348580878</v>
      </c>
      <c r="U383" s="5">
        <v>0.21658490616512849</v>
      </c>
      <c r="V383" s="5">
        <v>0.25444283668879702</v>
      </c>
      <c r="W383" s="4">
        <f>ROUND((R383*100*1)+(T383*100*2)+(U383*100*3),2)</f>
        <v>139.15</v>
      </c>
      <c r="X383" s="5">
        <v>0.37943810880435258</v>
      </c>
      <c r="Y383" s="5">
        <v>0</v>
      </c>
      <c r="Z383" s="5">
        <v>0.1894131378474761</v>
      </c>
      <c r="AA383" s="5">
        <v>0.27046178172955321</v>
      </c>
      <c r="AB383" s="5">
        <v>0.16068697161861811</v>
      </c>
      <c r="AC383" s="4">
        <f>ROUND((X383*100*1)+(Z383*100*2)+(AA383*100*3),2)</f>
        <v>156.96</v>
      </c>
      <c r="AD383">
        <f>ROUND(AVERAGE(Q383,W383,AC383),2)</f>
        <v>137.82</v>
      </c>
    </row>
    <row r="384" spans="1:30" x14ac:dyDescent="0.2">
      <c r="A384">
        <v>416</v>
      </c>
      <c r="B384">
        <v>4</v>
      </c>
      <c r="C384" t="s">
        <v>1675</v>
      </c>
      <c r="D384" t="s">
        <v>1676</v>
      </c>
      <c r="E384" t="s">
        <v>39</v>
      </c>
      <c r="F384" t="s">
        <v>1677</v>
      </c>
      <c r="G384" t="s">
        <v>1678</v>
      </c>
      <c r="H384" t="s">
        <v>67</v>
      </c>
      <c r="I384" t="s">
        <v>67</v>
      </c>
      <c r="J384" t="s">
        <v>26</v>
      </c>
      <c r="K384" t="s">
        <v>1679</v>
      </c>
      <c r="L384" s="5">
        <v>0</v>
      </c>
      <c r="M384" s="5">
        <v>0</v>
      </c>
      <c r="N384" s="5">
        <v>0.40704216438859259</v>
      </c>
      <c r="O384" s="5">
        <v>0.59295783561140769</v>
      </c>
      <c r="P384" s="5">
        <v>0</v>
      </c>
      <c r="Q384" s="4">
        <f>ROUND((L384*100*1)+(N384*100*2)+(O384*100*3),2)</f>
        <v>259.3</v>
      </c>
      <c r="R384" s="5">
        <v>0</v>
      </c>
      <c r="S384" s="5">
        <v>0</v>
      </c>
      <c r="T384" s="5">
        <v>0.3960636319436508</v>
      </c>
      <c r="U384" s="5">
        <v>0.6039363680563421</v>
      </c>
      <c r="V384" s="5">
        <v>7.1054273576010019E-15</v>
      </c>
      <c r="W384" s="4">
        <f>ROUND((R384*100*1)+(T384*100*2)+(U384*100*3),2)</f>
        <v>260.39</v>
      </c>
      <c r="X384" s="5">
        <v>3.8298501118173463E-2</v>
      </c>
      <c r="Y384" s="5">
        <v>0</v>
      </c>
      <c r="Z384" s="5">
        <v>0.427687834678046</v>
      </c>
      <c r="AA384" s="5">
        <v>0.53343777702757911</v>
      </c>
      <c r="AB384" s="5">
        <v>5.7588717620138397E-4</v>
      </c>
      <c r="AC384" s="4">
        <f>ROUND((X384*100*1)+(Z384*100*2)+(AA384*100*3),2)</f>
        <v>249.4</v>
      </c>
      <c r="AD384">
        <f>ROUND(AVERAGE(Q384,W384,AC384),2)</f>
        <v>256.36</v>
      </c>
    </row>
    <row r="385" spans="1:30" x14ac:dyDescent="0.2">
      <c r="A385">
        <v>417</v>
      </c>
      <c r="B385">
        <v>1</v>
      </c>
      <c r="C385" t="s">
        <v>1680</v>
      </c>
      <c r="D385" t="s">
        <v>1681</v>
      </c>
      <c r="E385" t="s">
        <v>39</v>
      </c>
      <c r="H385" t="s">
        <v>67</v>
      </c>
      <c r="I385" t="s">
        <v>67</v>
      </c>
      <c r="J385" t="s">
        <v>26</v>
      </c>
      <c r="K385" t="s">
        <v>363</v>
      </c>
      <c r="L385" s="5">
        <v>0.84342430806626434</v>
      </c>
      <c r="M385" s="5">
        <v>0</v>
      </c>
      <c r="N385" s="5">
        <v>8.0450191933187462E-2</v>
      </c>
      <c r="O385" s="5">
        <v>0</v>
      </c>
      <c r="P385" s="5">
        <v>7.6125500000548185E-2</v>
      </c>
      <c r="Q385" s="4">
        <f>ROUND((L385*100*1)+(N385*100*2)+(O385*100*3),2)</f>
        <v>100.43</v>
      </c>
      <c r="R385" s="5">
        <v>0.24595209675389229</v>
      </c>
      <c r="S385" s="5">
        <v>0</v>
      </c>
      <c r="T385" s="5">
        <v>0.25767631452557949</v>
      </c>
      <c r="U385" s="5">
        <v>0.35696054695254309</v>
      </c>
      <c r="V385" s="5">
        <v>0.13941104176798499</v>
      </c>
      <c r="W385" s="4">
        <f>ROUND((R385*100*1)+(T385*100*2)+(U385*100*3),2)</f>
        <v>183.22</v>
      </c>
      <c r="X385" s="5">
        <v>0.13198418747555099</v>
      </c>
      <c r="Y385" s="5">
        <v>0</v>
      </c>
      <c r="Z385" s="5">
        <v>0.3041181840085343</v>
      </c>
      <c r="AA385" s="5">
        <v>0.35941283564177451</v>
      </c>
      <c r="AB385" s="5">
        <v>0.2044847928741402</v>
      </c>
      <c r="AC385" s="4">
        <f>ROUND((X385*100*1)+(Z385*100*2)+(AA385*100*3),2)</f>
        <v>181.85</v>
      </c>
      <c r="AD385">
        <f>ROUND(AVERAGE(Q385,W385,AC385),2)</f>
        <v>155.16999999999999</v>
      </c>
    </row>
    <row r="386" spans="1:30" x14ac:dyDescent="0.2">
      <c r="A386">
        <v>418</v>
      </c>
      <c r="B386">
        <v>1</v>
      </c>
      <c r="C386" t="s">
        <v>1682</v>
      </c>
      <c r="D386" t="s">
        <v>1683</v>
      </c>
      <c r="E386" t="s">
        <v>47</v>
      </c>
      <c r="F386" t="s">
        <v>171</v>
      </c>
      <c r="G386" t="s">
        <v>172</v>
      </c>
      <c r="H386" t="s">
        <v>80</v>
      </c>
      <c r="I386" t="s">
        <v>80</v>
      </c>
      <c r="J386" t="s">
        <v>26</v>
      </c>
      <c r="K386" t="s">
        <v>155</v>
      </c>
      <c r="L386" s="5">
        <v>0</v>
      </c>
      <c r="M386" s="5">
        <v>0</v>
      </c>
      <c r="N386" s="5">
        <v>0</v>
      </c>
      <c r="O386" s="5">
        <v>2.2390271177885591E-3</v>
      </c>
      <c r="P386" s="5">
        <v>0.99776097288221144</v>
      </c>
      <c r="Q386" s="4">
        <f>ROUND((L386*100*1)+(N386*100*2)+(O386*100*3),2)</f>
        <v>0.67</v>
      </c>
      <c r="R386" s="5">
        <v>0</v>
      </c>
      <c r="S386" s="5">
        <v>0</v>
      </c>
      <c r="T386" s="5">
        <v>9.3019317329309736E-2</v>
      </c>
      <c r="U386" s="5">
        <v>4.8121787354383268E-3</v>
      </c>
      <c r="V386" s="5">
        <v>0.90216850393525205</v>
      </c>
      <c r="W386" s="4">
        <f>ROUND((R386*100*1)+(T386*100*2)+(U386*100*3),2)</f>
        <v>20.05</v>
      </c>
      <c r="X386" s="5">
        <v>8.0304894524416859E-2</v>
      </c>
      <c r="Y386" s="5">
        <v>0</v>
      </c>
      <c r="Z386" s="5">
        <v>8.6158151637020855E-2</v>
      </c>
      <c r="AA386" s="5">
        <v>6.2168714043170552E-3</v>
      </c>
      <c r="AB386" s="5">
        <v>0.82732008243424526</v>
      </c>
      <c r="AC386" s="4">
        <f>ROUND((X386*100*1)+(Z386*100*2)+(AA386*100*3),2)</f>
        <v>27.13</v>
      </c>
      <c r="AD386">
        <f>ROUND(AVERAGE(Q386,W386,AC386),2)</f>
        <v>15.95</v>
      </c>
    </row>
    <row r="387" spans="1:30" x14ac:dyDescent="0.2">
      <c r="A387">
        <v>419</v>
      </c>
      <c r="B387">
        <v>13</v>
      </c>
      <c r="C387" t="s">
        <v>1684</v>
      </c>
      <c r="D387" t="s">
        <v>1685</v>
      </c>
      <c r="E387" t="s">
        <v>1686</v>
      </c>
      <c r="H387" t="s">
        <v>67</v>
      </c>
      <c r="I387" t="s">
        <v>67</v>
      </c>
      <c r="J387" t="s">
        <v>34</v>
      </c>
      <c r="K387" t="s">
        <v>204</v>
      </c>
      <c r="L387" s="5">
        <v>0</v>
      </c>
      <c r="M387" s="5">
        <v>0</v>
      </c>
      <c r="N387" s="5">
        <v>0</v>
      </c>
      <c r="O387" s="5">
        <v>2.2390271177885591E-3</v>
      </c>
      <c r="P387" s="5">
        <v>0.99776097288221122</v>
      </c>
      <c r="Q387" s="4">
        <f>ROUND((L387*100*1)+(N387*100*2)+(O387*100*3),2)</f>
        <v>0.67</v>
      </c>
      <c r="R387" s="5">
        <v>0</v>
      </c>
      <c r="S387" s="5">
        <v>0</v>
      </c>
      <c r="T387" s="5">
        <v>9.3019317329309764E-2</v>
      </c>
      <c r="U387" s="5">
        <v>4.8121787354383268E-3</v>
      </c>
      <c r="V387" s="5">
        <v>0.90216850393525239</v>
      </c>
      <c r="W387" s="4">
        <f>ROUND((R387*100*1)+(T387*100*2)+(U387*100*3),2)</f>
        <v>20.05</v>
      </c>
      <c r="X387" s="5">
        <v>8.0304894524416831E-2</v>
      </c>
      <c r="Y387" s="5">
        <v>0</v>
      </c>
      <c r="Z387" s="5">
        <v>8.6158151637020855E-2</v>
      </c>
      <c r="AA387" s="5">
        <v>6.2168714043170543E-3</v>
      </c>
      <c r="AB387" s="5">
        <v>0.82732008243424515</v>
      </c>
      <c r="AC387" s="4">
        <f>ROUND((X387*100*1)+(Z387*100*2)+(AA387*100*3),2)</f>
        <v>27.13</v>
      </c>
      <c r="AD387">
        <f>ROUND(AVERAGE(Q387,W387,AC387),2)</f>
        <v>15.95</v>
      </c>
    </row>
    <row r="388" spans="1:30" x14ac:dyDescent="0.2">
      <c r="A388">
        <v>420</v>
      </c>
      <c r="B388">
        <v>6</v>
      </c>
      <c r="C388" t="s">
        <v>1687</v>
      </c>
      <c r="D388" t="s">
        <v>1688</v>
      </c>
      <c r="E388" t="s">
        <v>1686</v>
      </c>
      <c r="H388" t="s">
        <v>67</v>
      </c>
      <c r="I388" t="s">
        <v>67</v>
      </c>
      <c r="J388" t="s">
        <v>34</v>
      </c>
      <c r="K388" t="s">
        <v>86</v>
      </c>
      <c r="L388" s="5">
        <v>0</v>
      </c>
      <c r="M388" s="5">
        <v>0</v>
      </c>
      <c r="N388" s="5">
        <v>0.39344284159068771</v>
      </c>
      <c r="O388" s="5">
        <v>0.38833002311838749</v>
      </c>
      <c r="P388" s="5">
        <v>0.21822713529092491</v>
      </c>
      <c r="Q388" s="4">
        <f>ROUND((L388*100*1)+(N388*100*2)+(O388*100*3),2)</f>
        <v>195.19</v>
      </c>
      <c r="R388" s="5">
        <v>2.3987499460452359E-2</v>
      </c>
      <c r="S388" s="5">
        <v>0</v>
      </c>
      <c r="T388" s="5">
        <v>0.34833928104019612</v>
      </c>
      <c r="U388" s="5">
        <v>0.1773984800869898</v>
      </c>
      <c r="V388" s="5">
        <v>0.45027473941236168</v>
      </c>
      <c r="W388" s="4">
        <f>ROUND((R388*100*1)+(T388*100*2)+(U388*100*3),2)</f>
        <v>125.29</v>
      </c>
      <c r="X388" s="5">
        <v>0.13809688237778531</v>
      </c>
      <c r="Y388" s="5">
        <v>0</v>
      </c>
      <c r="Z388" s="5">
        <v>0.27253615044744223</v>
      </c>
      <c r="AA388" s="5">
        <v>8.3917498351665079E-2</v>
      </c>
      <c r="AB388" s="5">
        <v>0.50544946882310748</v>
      </c>
      <c r="AC388" s="4">
        <f>ROUND((X388*100*1)+(Z388*100*2)+(AA388*100*3),2)</f>
        <v>93.49</v>
      </c>
      <c r="AD388">
        <f>ROUND(AVERAGE(Q388,W388,AC388),2)</f>
        <v>137.99</v>
      </c>
    </row>
    <row r="389" spans="1:30" x14ac:dyDescent="0.2">
      <c r="A389">
        <v>421</v>
      </c>
      <c r="B389">
        <v>2</v>
      </c>
      <c r="C389" t="s">
        <v>1689</v>
      </c>
      <c r="D389" t="s">
        <v>1690</v>
      </c>
      <c r="E389" t="s">
        <v>1451</v>
      </c>
      <c r="F389" t="s">
        <v>186</v>
      </c>
      <c r="G389" t="s">
        <v>160</v>
      </c>
      <c r="H389" t="s">
        <v>67</v>
      </c>
      <c r="I389" t="s">
        <v>67</v>
      </c>
      <c r="J389" t="s">
        <v>26</v>
      </c>
      <c r="K389" t="s">
        <v>626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4">
        <f>ROUND((L389*100*1)+(N389*100*2)+(O389*100*3),2)</f>
        <v>100</v>
      </c>
      <c r="R389" s="5">
        <v>0.92686233320171008</v>
      </c>
      <c r="S389" s="5">
        <v>0</v>
      </c>
      <c r="T389" s="5">
        <v>1.311765258620546E-2</v>
      </c>
      <c r="U389" s="5">
        <v>0</v>
      </c>
      <c r="V389" s="5">
        <v>6.0020014212084458E-2</v>
      </c>
      <c r="W389" s="4">
        <f>ROUND((R389*100*1)+(T389*100*2)+(U389*100*3),2)</f>
        <v>95.31</v>
      </c>
      <c r="X389" s="5">
        <v>0.79778454515005048</v>
      </c>
      <c r="Y389" s="5">
        <v>0</v>
      </c>
      <c r="Z389" s="5">
        <v>2.6345073754376461E-2</v>
      </c>
      <c r="AA389" s="5">
        <v>2.215579599383702E-3</v>
      </c>
      <c r="AB389" s="5">
        <v>0.17365480149618939</v>
      </c>
      <c r="AC389" s="4">
        <f>ROUND((X389*100*1)+(Z389*100*2)+(AA389*100*3),2)</f>
        <v>85.71</v>
      </c>
      <c r="AD389">
        <f>ROUND(AVERAGE(Q389,W389,AC389),2)</f>
        <v>93.67</v>
      </c>
    </row>
    <row r="390" spans="1:30" x14ac:dyDescent="0.2">
      <c r="A390">
        <v>422</v>
      </c>
      <c r="B390">
        <v>1</v>
      </c>
      <c r="C390" t="s">
        <v>1691</v>
      </c>
      <c r="D390" t="s">
        <v>1692</v>
      </c>
      <c r="E390" t="s">
        <v>801</v>
      </c>
      <c r="F390" t="s">
        <v>1693</v>
      </c>
      <c r="G390" t="s">
        <v>1694</v>
      </c>
      <c r="H390" t="s">
        <v>25</v>
      </c>
      <c r="I390" t="s">
        <v>25</v>
      </c>
      <c r="J390" t="s">
        <v>92</v>
      </c>
      <c r="K390" t="s">
        <v>86</v>
      </c>
      <c r="L390" s="5">
        <v>0</v>
      </c>
      <c r="M390" s="5">
        <v>0</v>
      </c>
      <c r="N390" s="5">
        <v>0.2037746639609658</v>
      </c>
      <c r="O390" s="5">
        <v>0</v>
      </c>
      <c r="P390" s="5">
        <v>0.79622533603903423</v>
      </c>
      <c r="Q390" s="4">
        <f>ROUND((L390*100*1)+(N390*100*2)+(O390*100*3),2)</f>
        <v>40.75</v>
      </c>
      <c r="R390" s="5">
        <v>4.6253279465755401E-2</v>
      </c>
      <c r="S390" s="5">
        <v>0</v>
      </c>
      <c r="T390" s="5">
        <v>0.19327651031386811</v>
      </c>
      <c r="U390" s="5">
        <v>1.8236385276504019E-3</v>
      </c>
      <c r="V390" s="5">
        <v>0.7586465716927262</v>
      </c>
      <c r="W390" s="4">
        <f>ROUND((R390*100*1)+(T390*100*2)+(U390*100*3),2)</f>
        <v>43.83</v>
      </c>
      <c r="X390" s="5">
        <v>7.7644536940113418E-2</v>
      </c>
      <c r="Y390" s="5">
        <v>0</v>
      </c>
      <c r="Z390" s="5">
        <v>0.20816143596820891</v>
      </c>
      <c r="AA390" s="5">
        <v>1.5397035226340609E-2</v>
      </c>
      <c r="AB390" s="5">
        <v>0.69879699186533717</v>
      </c>
      <c r="AC390" s="4">
        <f>ROUND((X390*100*1)+(Z390*100*2)+(AA390*100*3),2)</f>
        <v>54.02</v>
      </c>
      <c r="AD390">
        <f>ROUND(AVERAGE(Q390,W390,AC390),2)</f>
        <v>46.2</v>
      </c>
    </row>
    <row r="391" spans="1:30" x14ac:dyDescent="0.2">
      <c r="A391">
        <v>423</v>
      </c>
      <c r="B391">
        <v>1</v>
      </c>
      <c r="C391" t="s">
        <v>1695</v>
      </c>
      <c r="D391" t="s">
        <v>1696</v>
      </c>
      <c r="E391" t="s">
        <v>801</v>
      </c>
      <c r="F391" t="s">
        <v>1697</v>
      </c>
      <c r="G391" t="s">
        <v>1698</v>
      </c>
      <c r="H391" t="s">
        <v>25</v>
      </c>
      <c r="I391" t="s">
        <v>25</v>
      </c>
      <c r="J391" t="s">
        <v>34</v>
      </c>
      <c r="K391" t="s">
        <v>86</v>
      </c>
      <c r="L391" s="5">
        <v>0</v>
      </c>
      <c r="M391" s="5">
        <v>0</v>
      </c>
      <c r="N391" s="5">
        <v>0.16013620587024499</v>
      </c>
      <c r="O391" s="5">
        <v>8.7021729533117459E-2</v>
      </c>
      <c r="P391" s="5">
        <v>0.75284206459663761</v>
      </c>
      <c r="Q391" s="4">
        <f>ROUND((L391*100*1)+(N391*100*2)+(O391*100*3),2)</f>
        <v>58.13</v>
      </c>
      <c r="R391" s="5">
        <v>8.1373697437921347E-2</v>
      </c>
      <c r="S391" s="5">
        <v>0</v>
      </c>
      <c r="T391" s="5">
        <v>0.23523635934311751</v>
      </c>
      <c r="U391" s="5">
        <v>0.1260510897598533</v>
      </c>
      <c r="V391" s="5">
        <v>0.55733885345910783</v>
      </c>
      <c r="W391" s="4">
        <f>ROUND((R391*100*1)+(T391*100*2)+(U391*100*3),2)</f>
        <v>93</v>
      </c>
      <c r="X391" s="5">
        <v>5.6488685816853942E-2</v>
      </c>
      <c r="Y391" s="5">
        <v>0</v>
      </c>
      <c r="Z391" s="5">
        <v>0.22396676978438651</v>
      </c>
      <c r="AA391" s="5">
        <v>0.1509258038168064</v>
      </c>
      <c r="AB391" s="5">
        <v>0.56861874058195316</v>
      </c>
      <c r="AC391" s="4">
        <f>ROUND((X391*100*1)+(Z391*100*2)+(AA391*100*3),2)</f>
        <v>95.72</v>
      </c>
      <c r="AD391">
        <f>ROUND(AVERAGE(Q391,W391,AC391),2)</f>
        <v>82.28</v>
      </c>
    </row>
    <row r="392" spans="1:30" x14ac:dyDescent="0.2">
      <c r="A392">
        <v>424</v>
      </c>
      <c r="B392">
        <v>1</v>
      </c>
      <c r="C392" t="s">
        <v>1699</v>
      </c>
      <c r="D392" t="s">
        <v>1700</v>
      </c>
      <c r="E392" t="s">
        <v>158</v>
      </c>
      <c r="F392" t="s">
        <v>1701</v>
      </c>
      <c r="G392" t="s">
        <v>1702</v>
      </c>
      <c r="H392" t="s">
        <v>25</v>
      </c>
      <c r="I392" t="s">
        <v>25</v>
      </c>
      <c r="J392" t="s">
        <v>34</v>
      </c>
      <c r="K392" t="s">
        <v>161</v>
      </c>
      <c r="L392" s="5">
        <v>0.88724587836416247</v>
      </c>
      <c r="M392" s="5">
        <v>0</v>
      </c>
      <c r="N392" s="5">
        <v>1.1028379410100439E-2</v>
      </c>
      <c r="O392" s="5">
        <v>9.2689938682230216E-2</v>
      </c>
      <c r="P392" s="5">
        <v>9.0358035435068595E-3</v>
      </c>
      <c r="Q392" s="4">
        <f>ROUND((L392*100*1)+(N392*100*2)+(O392*100*3),2)</f>
        <v>118.74</v>
      </c>
      <c r="R392" s="5">
        <v>0.68608969585761725</v>
      </c>
      <c r="S392" s="5">
        <v>0</v>
      </c>
      <c r="T392" s="5">
        <v>0.1125288897772625</v>
      </c>
      <c r="U392" s="5">
        <v>3.0431750950093209E-2</v>
      </c>
      <c r="V392" s="5">
        <v>0.17094966341502699</v>
      </c>
      <c r="W392" s="4">
        <f>ROUND((R392*100*1)+(T392*100*2)+(U392*100*3),2)</f>
        <v>100.24</v>
      </c>
      <c r="X392" s="5">
        <v>0.456769485728242</v>
      </c>
      <c r="Y392" s="5">
        <v>0</v>
      </c>
      <c r="Z392" s="5">
        <v>0.12160441228365559</v>
      </c>
      <c r="AA392" s="5">
        <v>2.5008485457681799E-2</v>
      </c>
      <c r="AB392" s="5">
        <v>0.3966176165304206</v>
      </c>
      <c r="AC392" s="4">
        <f>ROUND((X392*100*1)+(Z392*100*2)+(AA392*100*3),2)</f>
        <v>77.5</v>
      </c>
      <c r="AD392">
        <f>ROUND(AVERAGE(Q392,W392,AC392),2)</f>
        <v>98.83</v>
      </c>
    </row>
    <row r="393" spans="1:30" x14ac:dyDescent="0.2">
      <c r="A393">
        <v>425</v>
      </c>
      <c r="B393">
        <v>14</v>
      </c>
      <c r="C393" t="s">
        <v>1703</v>
      </c>
      <c r="D393" t="s">
        <v>1704</v>
      </c>
      <c r="E393" t="s">
        <v>1705</v>
      </c>
      <c r="F393" t="s">
        <v>1706</v>
      </c>
      <c r="H393" t="s">
        <v>67</v>
      </c>
      <c r="I393" t="s">
        <v>67</v>
      </c>
      <c r="J393" t="s">
        <v>26</v>
      </c>
      <c r="K393" t="s">
        <v>266</v>
      </c>
      <c r="L393" s="5">
        <v>0</v>
      </c>
      <c r="M393" s="5">
        <v>1</v>
      </c>
      <c r="N393" s="5">
        <v>0</v>
      </c>
      <c r="O393" s="5">
        <v>0</v>
      </c>
      <c r="P393" s="5">
        <v>0</v>
      </c>
      <c r="Q393" s="4">
        <f>ROUND((L393*100*1)+(N393*100*2)+(O393*100*3),2)</f>
        <v>0</v>
      </c>
      <c r="R393" s="5">
        <v>1.20346656705581E-2</v>
      </c>
      <c r="S393" s="5">
        <v>0.47520686609043278</v>
      </c>
      <c r="T393" s="5">
        <v>0.19961600779305999</v>
      </c>
      <c r="U393" s="5">
        <v>0.1331305983593831</v>
      </c>
      <c r="V393" s="5">
        <v>0.18001186208656639</v>
      </c>
      <c r="W393" s="4">
        <f>ROUND((R393*100*1)+(T393*100*2)+(U393*100*3),2)</f>
        <v>81.069999999999993</v>
      </c>
      <c r="X393" s="5">
        <v>5.776180879540029E-3</v>
      </c>
      <c r="Y393" s="5">
        <v>0.21543715422601831</v>
      </c>
      <c r="Z393" s="5">
        <v>0.21623233876598591</v>
      </c>
      <c r="AA393" s="5">
        <v>0.22398906066853469</v>
      </c>
      <c r="AB393" s="5">
        <v>0.33856526545992149</v>
      </c>
      <c r="AC393" s="4">
        <f>ROUND((X393*100*1)+(Z393*100*2)+(AA393*100*3),2)</f>
        <v>111.02</v>
      </c>
      <c r="AD393">
        <f>ROUND(AVERAGE(Q393,W393,AC393),2)</f>
        <v>64.03</v>
      </c>
    </row>
    <row r="394" spans="1:30" x14ac:dyDescent="0.2">
      <c r="A394">
        <v>426</v>
      </c>
      <c r="B394">
        <v>61</v>
      </c>
      <c r="C394" t="s">
        <v>1707</v>
      </c>
      <c r="D394" t="s">
        <v>1708</v>
      </c>
      <c r="E394" t="s">
        <v>1705</v>
      </c>
      <c r="F394" t="s">
        <v>1709</v>
      </c>
      <c r="G394" t="s">
        <v>1710</v>
      </c>
      <c r="H394" t="s">
        <v>67</v>
      </c>
      <c r="I394" t="s">
        <v>67</v>
      </c>
      <c r="J394" t="s">
        <v>92</v>
      </c>
      <c r="K394" t="s">
        <v>240</v>
      </c>
      <c r="L394" s="5">
        <v>0</v>
      </c>
      <c r="M394" s="5">
        <v>0</v>
      </c>
      <c r="N394" s="5">
        <v>0.46373007215171252</v>
      </c>
      <c r="O394" s="5">
        <v>0.188045176056648</v>
      </c>
      <c r="P394" s="5">
        <v>0.34822475179163942</v>
      </c>
      <c r="Q394" s="4">
        <f>ROUND((L394*100*1)+(N394*100*2)+(O394*100*3),2)</f>
        <v>149.16</v>
      </c>
      <c r="R394" s="5">
        <v>0</v>
      </c>
      <c r="S394" s="5">
        <v>0</v>
      </c>
      <c r="T394" s="5">
        <v>0.35078231191973758</v>
      </c>
      <c r="U394" s="5">
        <v>0.24485183304459379</v>
      </c>
      <c r="V394" s="5">
        <v>0.40436585503566852</v>
      </c>
      <c r="W394" s="4">
        <f>ROUND((R394*100*1)+(T394*100*2)+(U394*100*3),2)</f>
        <v>143.61000000000001</v>
      </c>
      <c r="X394" s="5">
        <v>2.5270222131934787E-7</v>
      </c>
      <c r="Y394" s="5">
        <v>7.0809150541100716E-3</v>
      </c>
      <c r="Z394" s="5">
        <v>0.30189186369844379</v>
      </c>
      <c r="AA394" s="5">
        <v>0.28101037499531961</v>
      </c>
      <c r="AB394" s="5">
        <v>0.41001659354990527</v>
      </c>
      <c r="AC394" s="4">
        <f>ROUND((X394*100*1)+(Z394*100*2)+(AA394*100*3),2)</f>
        <v>144.68</v>
      </c>
      <c r="AD394">
        <f>ROUND(AVERAGE(Q394,W394,AC394),2)</f>
        <v>145.82</v>
      </c>
    </row>
    <row r="395" spans="1:30" x14ac:dyDescent="0.2">
      <c r="A395">
        <v>427</v>
      </c>
      <c r="B395">
        <v>2</v>
      </c>
      <c r="C395" t="s">
        <v>1711</v>
      </c>
      <c r="D395" t="s">
        <v>1712</v>
      </c>
      <c r="E395" t="s">
        <v>612</v>
      </c>
      <c r="F395" t="s">
        <v>1713</v>
      </c>
      <c r="G395" t="s">
        <v>1714</v>
      </c>
      <c r="H395" t="s">
        <v>67</v>
      </c>
      <c r="I395" t="s">
        <v>67</v>
      </c>
      <c r="J395" t="s">
        <v>92</v>
      </c>
      <c r="K395" t="s">
        <v>56</v>
      </c>
      <c r="L395" s="5">
        <v>0</v>
      </c>
      <c r="M395" s="5">
        <v>0</v>
      </c>
      <c r="N395" s="5">
        <v>0.55435013534417343</v>
      </c>
      <c r="O395" s="5">
        <v>0.24284776236603181</v>
      </c>
      <c r="P395" s="5">
        <v>0.20280210228979481</v>
      </c>
      <c r="Q395" s="4">
        <f>ROUND((L395*100*1)+(N395*100*2)+(O395*100*3),2)</f>
        <v>183.72</v>
      </c>
      <c r="R395" s="5">
        <v>5.5267053912465983E-3</v>
      </c>
      <c r="S395" s="5">
        <v>0</v>
      </c>
      <c r="T395" s="5">
        <v>0.42739531842076373</v>
      </c>
      <c r="U395" s="5">
        <v>0.22801153987648201</v>
      </c>
      <c r="V395" s="5">
        <v>0.33906643631150779</v>
      </c>
      <c r="W395" s="4">
        <f>ROUND((R395*100*1)+(T395*100*2)+(U395*100*3),2)</f>
        <v>154.44</v>
      </c>
      <c r="X395" s="5">
        <v>4.1759581089645698E-2</v>
      </c>
      <c r="Y395" s="5">
        <v>0</v>
      </c>
      <c r="Z395" s="5">
        <v>0.42860220719527192</v>
      </c>
      <c r="AA395" s="5">
        <v>0.2247278404306178</v>
      </c>
      <c r="AB395" s="5">
        <v>0.30491037128446458</v>
      </c>
      <c r="AC395" s="4">
        <f>ROUND((X395*100*1)+(Z395*100*2)+(AA395*100*3),2)</f>
        <v>157.31</v>
      </c>
      <c r="AD395">
        <f>ROUND(AVERAGE(Q395,W395,AC395),2)</f>
        <v>165.16</v>
      </c>
    </row>
    <row r="396" spans="1:30" x14ac:dyDescent="0.2">
      <c r="A396">
        <v>428</v>
      </c>
      <c r="B396">
        <v>1</v>
      </c>
      <c r="C396" t="s">
        <v>1715</v>
      </c>
      <c r="D396" t="s">
        <v>1716</v>
      </c>
      <c r="E396" t="s">
        <v>612</v>
      </c>
      <c r="H396" t="s">
        <v>67</v>
      </c>
      <c r="I396" t="s">
        <v>67</v>
      </c>
      <c r="J396" t="s">
        <v>34</v>
      </c>
      <c r="K396" t="s">
        <v>635</v>
      </c>
      <c r="L396" s="5">
        <v>0.12858541989617769</v>
      </c>
      <c r="M396" s="5">
        <v>0</v>
      </c>
      <c r="N396" s="5">
        <v>0.35946357111425559</v>
      </c>
      <c r="O396" s="5">
        <v>0.27313385059434231</v>
      </c>
      <c r="P396" s="5">
        <v>0.23881715839522441</v>
      </c>
      <c r="Q396" s="4">
        <f>ROUND((L396*100*1)+(N396*100*2)+(O396*100*3),2)</f>
        <v>166.69</v>
      </c>
      <c r="R396" s="5">
        <v>0.1010554751904281</v>
      </c>
      <c r="S396" s="5">
        <v>0</v>
      </c>
      <c r="T396" s="5">
        <v>0.33978508657454648</v>
      </c>
      <c r="U396" s="5">
        <v>0.1623921228508671</v>
      </c>
      <c r="V396" s="5">
        <v>0.39676731538415833</v>
      </c>
      <c r="W396" s="4">
        <f>ROUND((R396*100*1)+(T396*100*2)+(U396*100*3),2)</f>
        <v>126.78</v>
      </c>
      <c r="X396" s="5">
        <v>7.5844852427030263E-2</v>
      </c>
      <c r="Y396" s="5">
        <v>0</v>
      </c>
      <c r="Z396" s="5">
        <v>0.38055519444878377</v>
      </c>
      <c r="AA396" s="5">
        <v>0.19785474511996909</v>
      </c>
      <c r="AB396" s="5">
        <v>0.34574520800421671</v>
      </c>
      <c r="AC396" s="4">
        <f>ROUND((X396*100*1)+(Z396*100*2)+(AA396*100*3),2)</f>
        <v>143.05000000000001</v>
      </c>
      <c r="AD396">
        <f>ROUND(AVERAGE(Q396,W396,AC396),2)</f>
        <v>145.51</v>
      </c>
    </row>
    <row r="397" spans="1:30" x14ac:dyDescent="0.2">
      <c r="A397">
        <v>429</v>
      </c>
      <c r="B397">
        <v>1</v>
      </c>
      <c r="C397" t="s">
        <v>1717</v>
      </c>
      <c r="D397" t="s">
        <v>1718</v>
      </c>
      <c r="E397" t="s">
        <v>291</v>
      </c>
      <c r="F397" t="s">
        <v>1719</v>
      </c>
      <c r="G397" t="s">
        <v>1720</v>
      </c>
      <c r="H397" t="s">
        <v>67</v>
      </c>
      <c r="I397" t="s">
        <v>67</v>
      </c>
      <c r="J397" t="s">
        <v>92</v>
      </c>
      <c r="K397" t="s">
        <v>187</v>
      </c>
      <c r="L397" s="5">
        <v>0</v>
      </c>
      <c r="M397" s="5">
        <v>0</v>
      </c>
      <c r="N397" s="5">
        <v>0.22420384635808849</v>
      </c>
      <c r="O397" s="5">
        <v>0.66607282896424191</v>
      </c>
      <c r="P397" s="5">
        <v>0.1097233246776695</v>
      </c>
      <c r="Q397" s="4">
        <f>ROUND((L397*100*1)+(N397*100*2)+(O397*100*3),2)</f>
        <v>244.66</v>
      </c>
      <c r="R397" s="5">
        <v>5.8034939032090643E-2</v>
      </c>
      <c r="S397" s="5">
        <v>0</v>
      </c>
      <c r="T397" s="5">
        <v>0.23483975444408581</v>
      </c>
      <c r="U397" s="5">
        <v>0.42004220149090737</v>
      </c>
      <c r="V397" s="5">
        <v>0.28708310503291612</v>
      </c>
      <c r="W397" s="4">
        <f>ROUND((R397*100*1)+(T397*100*2)+(U397*100*3),2)</f>
        <v>178.78</v>
      </c>
      <c r="X397" s="5">
        <v>0.19332787758165379</v>
      </c>
      <c r="Y397" s="5">
        <v>0</v>
      </c>
      <c r="Z397" s="5">
        <v>0.1842152260741588</v>
      </c>
      <c r="AA397" s="5">
        <v>0.3554873372525571</v>
      </c>
      <c r="AB397" s="5">
        <v>0.26696955909163028</v>
      </c>
      <c r="AC397" s="4">
        <f>ROUND((X397*100*1)+(Z397*100*2)+(AA397*100*3),2)</f>
        <v>162.82</v>
      </c>
      <c r="AD397">
        <f>ROUND(AVERAGE(Q397,W397,AC397),2)</f>
        <v>195.42</v>
      </c>
    </row>
    <row r="398" spans="1:30" x14ac:dyDescent="0.2">
      <c r="A398">
        <v>430</v>
      </c>
      <c r="B398">
        <v>2</v>
      </c>
      <c r="C398" t="s">
        <v>1721</v>
      </c>
      <c r="D398" t="s">
        <v>1722</v>
      </c>
      <c r="E398" t="s">
        <v>1723</v>
      </c>
      <c r="F398" t="s">
        <v>1724</v>
      </c>
      <c r="G398" t="s">
        <v>1725</v>
      </c>
      <c r="H398" t="s">
        <v>67</v>
      </c>
      <c r="I398" t="s">
        <v>67</v>
      </c>
      <c r="J398" t="s">
        <v>92</v>
      </c>
      <c r="K398" t="s">
        <v>130</v>
      </c>
      <c r="L398" s="5">
        <v>0.92436782924781846</v>
      </c>
      <c r="M398" s="5">
        <v>0</v>
      </c>
      <c r="N398" s="5">
        <v>0</v>
      </c>
      <c r="O398" s="5">
        <v>0</v>
      </c>
      <c r="P398" s="5">
        <v>7.5632170752181538E-2</v>
      </c>
      <c r="Q398" s="4">
        <f>ROUND((L398*100*1)+(N398*100*2)+(O398*100*3),2)</f>
        <v>92.44</v>
      </c>
      <c r="R398" s="5">
        <v>0.67428179133891541</v>
      </c>
      <c r="S398" s="5">
        <v>0</v>
      </c>
      <c r="T398" s="5">
        <v>0.1080609718202348</v>
      </c>
      <c r="U398" s="5">
        <v>6.6658547870407911E-2</v>
      </c>
      <c r="V398" s="5">
        <v>0.1509986889704418</v>
      </c>
      <c r="W398" s="4">
        <f>ROUND((R398*100*1)+(T398*100*2)+(U398*100*3),2)</f>
        <v>109.04</v>
      </c>
      <c r="X398" s="5">
        <v>0.5458895180054214</v>
      </c>
      <c r="Y398" s="5">
        <v>0</v>
      </c>
      <c r="Z398" s="5">
        <v>0.13957561428545101</v>
      </c>
      <c r="AA398" s="5">
        <v>0.11740042158767081</v>
      </c>
      <c r="AB398" s="5">
        <v>0.19713444612145681</v>
      </c>
      <c r="AC398" s="4">
        <f>ROUND((X398*100*1)+(Z398*100*2)+(AA398*100*3),2)</f>
        <v>117.72</v>
      </c>
      <c r="AD398">
        <f>ROUND(AVERAGE(Q398,W398,AC398),2)</f>
        <v>106.4</v>
      </c>
    </row>
    <row r="399" spans="1:30" x14ac:dyDescent="0.2">
      <c r="A399">
        <v>431</v>
      </c>
      <c r="B399">
        <v>2</v>
      </c>
      <c r="C399" t="s">
        <v>1726</v>
      </c>
      <c r="D399" t="s">
        <v>1727</v>
      </c>
      <c r="E399" t="s">
        <v>1728</v>
      </c>
      <c r="F399" t="s">
        <v>1729</v>
      </c>
      <c r="G399" t="s">
        <v>1730</v>
      </c>
      <c r="H399" t="s">
        <v>67</v>
      </c>
      <c r="I399" t="s">
        <v>67</v>
      </c>
      <c r="J399" t="s">
        <v>92</v>
      </c>
      <c r="K399" t="s">
        <v>1731</v>
      </c>
      <c r="L399" s="5">
        <v>0.94842104825022921</v>
      </c>
      <c r="M399" s="5">
        <v>0</v>
      </c>
      <c r="N399" s="5">
        <v>0</v>
      </c>
      <c r="O399" s="5">
        <v>0</v>
      </c>
      <c r="P399" s="5">
        <v>5.1578951749770792E-2</v>
      </c>
      <c r="Q399" s="4">
        <f>ROUND((L399*100*1)+(N399*100*2)+(O399*100*3),2)</f>
        <v>94.84</v>
      </c>
      <c r="R399" s="5">
        <v>0.83939786024534679</v>
      </c>
      <c r="S399" s="5">
        <v>0</v>
      </c>
      <c r="T399" s="5">
        <v>1.8993368936441601E-2</v>
      </c>
      <c r="U399" s="5">
        <v>0</v>
      </c>
      <c r="V399" s="5">
        <v>0.14160877081821169</v>
      </c>
      <c r="W399" s="4">
        <f>ROUND((R399*100*1)+(T399*100*2)+(U399*100*3),2)</f>
        <v>87.74</v>
      </c>
      <c r="X399" s="5">
        <v>0.89547117153793387</v>
      </c>
      <c r="Y399" s="5">
        <v>0</v>
      </c>
      <c r="Z399" s="5">
        <v>2.5420638293586741E-2</v>
      </c>
      <c r="AA399" s="5">
        <v>1.0266932178955871E-4</v>
      </c>
      <c r="AB399" s="5">
        <v>7.900552084668977E-2</v>
      </c>
      <c r="AC399" s="4">
        <f>ROUND((X399*100*1)+(Z399*100*2)+(AA399*100*3),2)</f>
        <v>94.66</v>
      </c>
      <c r="AD399">
        <f>ROUND(AVERAGE(Q399,W399,AC399),2)</f>
        <v>92.41</v>
      </c>
    </row>
    <row r="400" spans="1:30" x14ac:dyDescent="0.2">
      <c r="A400">
        <v>432</v>
      </c>
      <c r="B400">
        <v>1</v>
      </c>
      <c r="C400" t="s">
        <v>1732</v>
      </c>
      <c r="D400" t="s">
        <v>1733</v>
      </c>
      <c r="E400" t="s">
        <v>1625</v>
      </c>
      <c r="F400" t="s">
        <v>1734</v>
      </c>
      <c r="G400" t="s">
        <v>1735</v>
      </c>
      <c r="H400" t="s">
        <v>25</v>
      </c>
      <c r="I400" t="s">
        <v>25</v>
      </c>
      <c r="J400" t="s">
        <v>92</v>
      </c>
      <c r="K400" t="s">
        <v>750</v>
      </c>
      <c r="L400" s="5">
        <v>0.3030379475860317</v>
      </c>
      <c r="M400" s="5">
        <v>0</v>
      </c>
      <c r="N400" s="5">
        <v>0.42302178443622579</v>
      </c>
      <c r="O400" s="5">
        <v>2.404763944272879E-2</v>
      </c>
      <c r="P400" s="5">
        <v>0.24989262853501371</v>
      </c>
      <c r="Q400" s="4">
        <f>ROUND((L400*100*1)+(N400*100*2)+(O400*100*3),2)</f>
        <v>122.12</v>
      </c>
      <c r="R400" s="5">
        <v>0.30818237186362141</v>
      </c>
      <c r="S400" s="5">
        <v>0</v>
      </c>
      <c r="T400" s="5">
        <v>0.39983728778540129</v>
      </c>
      <c r="U400" s="5">
        <v>3.6987123229049811E-2</v>
      </c>
      <c r="V400" s="5">
        <v>0.25499321712192752</v>
      </c>
      <c r="W400" s="4">
        <f>ROUND((R400*100*1)+(T400*100*2)+(U400*100*3),2)</f>
        <v>121.88</v>
      </c>
      <c r="X400" s="5">
        <v>0.31046192675024947</v>
      </c>
      <c r="Y400" s="5">
        <v>0</v>
      </c>
      <c r="Z400" s="5">
        <v>0.31960008325956007</v>
      </c>
      <c r="AA400" s="5">
        <v>3.1244997481437289E-2</v>
      </c>
      <c r="AB400" s="5">
        <v>0.33869299250875318</v>
      </c>
      <c r="AC400" s="4">
        <f>ROUND((X400*100*1)+(Z400*100*2)+(AA400*100*3),2)</f>
        <v>104.34</v>
      </c>
      <c r="AD400">
        <f>ROUND(AVERAGE(Q400,W400,AC400),2)</f>
        <v>116.11</v>
      </c>
    </row>
    <row r="401" spans="1:30" x14ac:dyDescent="0.2">
      <c r="A401">
        <v>433</v>
      </c>
      <c r="B401">
        <v>1</v>
      </c>
      <c r="C401" t="s">
        <v>1736</v>
      </c>
      <c r="D401" t="s">
        <v>1737</v>
      </c>
      <c r="E401" t="s">
        <v>1625</v>
      </c>
      <c r="F401" t="s">
        <v>1738</v>
      </c>
      <c r="G401" t="s">
        <v>1739</v>
      </c>
      <c r="H401" t="s">
        <v>67</v>
      </c>
      <c r="I401" t="s">
        <v>67</v>
      </c>
      <c r="J401" t="s">
        <v>92</v>
      </c>
      <c r="K401" t="s">
        <v>283</v>
      </c>
      <c r="L401" s="5">
        <v>0</v>
      </c>
      <c r="M401" s="5">
        <v>0</v>
      </c>
      <c r="N401" s="5">
        <v>0.20046945191152879</v>
      </c>
      <c r="O401" s="5">
        <v>0</v>
      </c>
      <c r="P401" s="5">
        <v>0.79953054808847124</v>
      </c>
      <c r="Q401" s="4">
        <f>ROUND((L401*100*1)+(N401*100*2)+(O401*100*3),2)</f>
        <v>40.090000000000003</v>
      </c>
      <c r="R401" s="5">
        <v>2.2759222318333308E-3</v>
      </c>
      <c r="S401" s="5">
        <v>0</v>
      </c>
      <c r="T401" s="5">
        <v>0.23805713467991599</v>
      </c>
      <c r="U401" s="5">
        <v>0</v>
      </c>
      <c r="V401" s="5">
        <v>0.75966694308825056</v>
      </c>
      <c r="W401" s="4">
        <f>ROUND((R401*100*1)+(T401*100*2)+(U401*100*3),2)</f>
        <v>47.84</v>
      </c>
      <c r="X401" s="5">
        <v>2.8937050915265199E-2</v>
      </c>
      <c r="Y401" s="5">
        <v>0</v>
      </c>
      <c r="Z401" s="5">
        <v>0.21189568452081009</v>
      </c>
      <c r="AA401" s="5">
        <v>6.3802015982817664E-3</v>
      </c>
      <c r="AB401" s="5">
        <v>0.75278706296564291</v>
      </c>
      <c r="AC401" s="4">
        <f>ROUND((X401*100*1)+(Z401*100*2)+(AA401*100*3),2)</f>
        <v>47.19</v>
      </c>
      <c r="AD401">
        <f>ROUND(AVERAGE(Q401,W401,AC401),2)</f>
        <v>45.04</v>
      </c>
    </row>
    <row r="402" spans="1:30" x14ac:dyDescent="0.2">
      <c r="A402">
        <v>434</v>
      </c>
      <c r="B402">
        <v>1</v>
      </c>
      <c r="C402" t="s">
        <v>1740</v>
      </c>
      <c r="D402" t="s">
        <v>1741</v>
      </c>
      <c r="E402" t="s">
        <v>1625</v>
      </c>
      <c r="F402" t="s">
        <v>1742</v>
      </c>
      <c r="G402" t="s">
        <v>1743</v>
      </c>
      <c r="H402" t="s">
        <v>67</v>
      </c>
      <c r="I402" t="s">
        <v>67</v>
      </c>
      <c r="J402" t="s">
        <v>34</v>
      </c>
      <c r="K402" t="s">
        <v>750</v>
      </c>
      <c r="L402" s="5">
        <v>0</v>
      </c>
      <c r="M402" s="5">
        <v>0</v>
      </c>
      <c r="N402" s="5">
        <v>1.6974931829674422E-2</v>
      </c>
      <c r="O402" s="5">
        <v>0</v>
      </c>
      <c r="P402" s="5">
        <v>0.98302506817032564</v>
      </c>
      <c r="Q402" s="4">
        <f>ROUND((L402*100*1)+(N402*100*2)+(O402*100*3),2)</f>
        <v>3.39</v>
      </c>
      <c r="R402" s="5">
        <v>0</v>
      </c>
      <c r="S402" s="5">
        <v>0</v>
      </c>
      <c r="T402" s="5">
        <v>0.1782018479502791</v>
      </c>
      <c r="U402" s="5">
        <v>1.6093365937012619E-2</v>
      </c>
      <c r="V402" s="5">
        <v>0.80570478611270824</v>
      </c>
      <c r="W402" s="4">
        <f>ROUND((R402*100*1)+(T402*100*2)+(U402*100*3),2)</f>
        <v>40.47</v>
      </c>
      <c r="X402" s="5">
        <v>9.5300519842545811E-2</v>
      </c>
      <c r="Y402" s="5">
        <v>0</v>
      </c>
      <c r="Z402" s="5">
        <v>0.14544069702853429</v>
      </c>
      <c r="AA402" s="5">
        <v>3.1626784612199699E-2</v>
      </c>
      <c r="AB402" s="5">
        <v>0.72763199851672022</v>
      </c>
      <c r="AC402" s="4">
        <f>ROUND((X402*100*1)+(Z402*100*2)+(AA402*100*3),2)</f>
        <v>48.11</v>
      </c>
      <c r="AD402">
        <f>ROUND(AVERAGE(Q402,W402,AC402),2)</f>
        <v>30.66</v>
      </c>
    </row>
    <row r="403" spans="1:30" x14ac:dyDescent="0.2">
      <c r="A403">
        <v>435</v>
      </c>
      <c r="B403">
        <v>1</v>
      </c>
      <c r="C403" t="s">
        <v>1744</v>
      </c>
      <c r="D403" t="s">
        <v>1745</v>
      </c>
      <c r="E403" t="s">
        <v>928</v>
      </c>
      <c r="F403" t="s">
        <v>1746</v>
      </c>
      <c r="G403" t="s">
        <v>1747</v>
      </c>
      <c r="H403" t="s">
        <v>25</v>
      </c>
      <c r="I403" t="s">
        <v>25</v>
      </c>
      <c r="J403" t="s">
        <v>26</v>
      </c>
      <c r="K403" t="s">
        <v>904</v>
      </c>
      <c r="L403" s="5">
        <v>0</v>
      </c>
      <c r="M403" s="5">
        <v>0</v>
      </c>
      <c r="N403" s="5">
        <v>0.10514956629929501</v>
      </c>
      <c r="O403" s="5">
        <v>0</v>
      </c>
      <c r="P403" s="5">
        <v>0.89485043370070494</v>
      </c>
      <c r="Q403" s="4">
        <f>ROUND((L403*100*1)+(N403*100*2)+(O403*100*3),2)</f>
        <v>21.03</v>
      </c>
      <c r="R403" s="5">
        <v>0.12628740436776109</v>
      </c>
      <c r="S403" s="5">
        <v>0</v>
      </c>
      <c r="T403" s="5">
        <v>3.2496015496388267E-2</v>
      </c>
      <c r="U403" s="5">
        <v>0</v>
      </c>
      <c r="V403" s="5">
        <v>0.84121658013585066</v>
      </c>
      <c r="W403" s="4">
        <f>ROUND((R403*100*1)+(T403*100*2)+(U403*100*3),2)</f>
        <v>19.13</v>
      </c>
      <c r="X403" s="5">
        <v>0.26725373957470638</v>
      </c>
      <c r="Y403" s="5">
        <v>0</v>
      </c>
      <c r="Z403" s="5">
        <v>2.1158905193298182E-2</v>
      </c>
      <c r="AA403" s="5">
        <v>0</v>
      </c>
      <c r="AB403" s="5">
        <v>0.71158735523199546</v>
      </c>
      <c r="AC403" s="4">
        <f>ROUND((X403*100*1)+(Z403*100*2)+(AA403*100*3),2)</f>
        <v>30.96</v>
      </c>
      <c r="AD403">
        <f>ROUND(AVERAGE(Q403,W403,AC403),2)</f>
        <v>23.71</v>
      </c>
    </row>
    <row r="404" spans="1:30" x14ac:dyDescent="0.2">
      <c r="A404">
        <v>436</v>
      </c>
      <c r="B404">
        <v>1</v>
      </c>
      <c r="C404" t="s">
        <v>1748</v>
      </c>
      <c r="D404" t="s">
        <v>1749</v>
      </c>
      <c r="E404" t="s">
        <v>109</v>
      </c>
      <c r="F404" t="s">
        <v>1750</v>
      </c>
      <c r="G404" t="s">
        <v>1751</v>
      </c>
      <c r="H404" t="s">
        <v>25</v>
      </c>
      <c r="I404" t="s">
        <v>1752</v>
      </c>
      <c r="J404" t="s">
        <v>26</v>
      </c>
      <c r="K404" t="s">
        <v>27</v>
      </c>
      <c r="L404" s="5">
        <v>0.78182344287238137</v>
      </c>
      <c r="M404" s="5">
        <v>0</v>
      </c>
      <c r="N404" s="5">
        <v>0</v>
      </c>
      <c r="O404" s="5">
        <v>0</v>
      </c>
      <c r="P404" s="5">
        <v>0.2181765571276186</v>
      </c>
      <c r="Q404" s="4">
        <f>ROUND((L404*100*1)+(N404*100*2)+(O404*100*3),2)</f>
        <v>78.180000000000007</v>
      </c>
      <c r="R404" s="5">
        <v>0.61843568599409227</v>
      </c>
      <c r="S404" s="5">
        <v>0</v>
      </c>
      <c r="T404" s="5">
        <v>0</v>
      </c>
      <c r="U404" s="5">
        <v>0</v>
      </c>
      <c r="V404" s="5">
        <v>0.38156431400590768</v>
      </c>
      <c r="W404" s="4">
        <f>ROUND((R404*100*1)+(T404*100*2)+(U404*100*3),2)</f>
        <v>61.84</v>
      </c>
      <c r="X404" s="5">
        <v>0.5724144649617231</v>
      </c>
      <c r="Y404" s="5">
        <v>0</v>
      </c>
      <c r="Z404" s="5">
        <v>1.9115454827679189E-3</v>
      </c>
      <c r="AA404" s="5">
        <v>0</v>
      </c>
      <c r="AB404" s="5">
        <v>0.42567398955550889</v>
      </c>
      <c r="AC404" s="4">
        <f>ROUND((X404*100*1)+(Z404*100*2)+(AA404*100*3),2)</f>
        <v>57.62</v>
      </c>
      <c r="AD404">
        <f>ROUND(AVERAGE(Q404,W404,AC404),2)</f>
        <v>65.88</v>
      </c>
    </row>
    <row r="405" spans="1:30" x14ac:dyDescent="0.2">
      <c r="A405">
        <v>437</v>
      </c>
      <c r="B405">
        <v>6</v>
      </c>
      <c r="C405" t="s">
        <v>1753</v>
      </c>
      <c r="D405" t="s">
        <v>1754</v>
      </c>
      <c r="E405" t="s">
        <v>1054</v>
      </c>
      <c r="F405" t="s">
        <v>1755</v>
      </c>
      <c r="G405" t="s">
        <v>1756</v>
      </c>
      <c r="H405" t="s">
        <v>67</v>
      </c>
      <c r="I405" t="s">
        <v>67</v>
      </c>
      <c r="J405" t="s">
        <v>26</v>
      </c>
      <c r="K405" t="s">
        <v>1057</v>
      </c>
      <c r="L405" s="5">
        <v>0.85667081717926397</v>
      </c>
      <c r="M405" s="5">
        <v>0</v>
      </c>
      <c r="N405" s="5">
        <v>0.14332918282082721</v>
      </c>
      <c r="O405" s="5">
        <v>0</v>
      </c>
      <c r="P405" s="5">
        <v>0</v>
      </c>
      <c r="Q405" s="4">
        <f>ROUND((L405*100*1)+(N405*100*2)+(O405*100*3),2)</f>
        <v>114.33</v>
      </c>
      <c r="R405" s="5">
        <v>0.66898012040229715</v>
      </c>
      <c r="S405" s="5">
        <v>0</v>
      </c>
      <c r="T405" s="5">
        <v>0.11271076921228999</v>
      </c>
      <c r="U405" s="5">
        <v>4.4030187628370292E-2</v>
      </c>
      <c r="V405" s="5">
        <v>0.1742789227570426</v>
      </c>
      <c r="W405" s="4">
        <f>ROUND((R405*100*1)+(T405*100*2)+(U405*100*3),2)</f>
        <v>102.65</v>
      </c>
      <c r="X405" s="5">
        <v>0.58747092709407833</v>
      </c>
      <c r="Y405" s="5">
        <v>0</v>
      </c>
      <c r="Z405" s="5">
        <v>7.8689005351950045E-2</v>
      </c>
      <c r="AA405" s="5">
        <v>1.5335426811708479E-2</v>
      </c>
      <c r="AB405" s="5">
        <v>0.31850464074226309</v>
      </c>
      <c r="AC405" s="4">
        <f>ROUND((X405*100*1)+(Z405*100*2)+(AA405*100*3),2)</f>
        <v>79.09</v>
      </c>
      <c r="AD405">
        <f>ROUND(AVERAGE(Q405,W405,AC405),2)</f>
        <v>98.69</v>
      </c>
    </row>
    <row r="406" spans="1:30" x14ac:dyDescent="0.2">
      <c r="A406">
        <v>438</v>
      </c>
      <c r="B406">
        <v>1</v>
      </c>
      <c r="C406" t="s">
        <v>1757</v>
      </c>
      <c r="D406" t="s">
        <v>1758</v>
      </c>
      <c r="E406" t="s">
        <v>1054</v>
      </c>
      <c r="F406" t="s">
        <v>1759</v>
      </c>
      <c r="G406" t="s">
        <v>1760</v>
      </c>
      <c r="H406" t="s">
        <v>25</v>
      </c>
      <c r="I406" t="s">
        <v>25</v>
      </c>
      <c r="J406" t="s">
        <v>92</v>
      </c>
      <c r="K406" t="s">
        <v>43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4">
        <f>ROUND((L406*100*1)+(N406*100*2)+(O406*100*3),2)</f>
        <v>100</v>
      </c>
      <c r="R406" s="5">
        <v>0.9861945864944589</v>
      </c>
      <c r="S406" s="5">
        <v>0</v>
      </c>
      <c r="T406" s="5">
        <v>1.351216237368502E-2</v>
      </c>
      <c r="U406" s="5">
        <v>0</v>
      </c>
      <c r="V406" s="5">
        <v>2.9325113185607599E-4</v>
      </c>
      <c r="W406" s="4">
        <f>ROUND((R406*100*1)+(T406*100*2)+(U406*100*3),2)</f>
        <v>101.32</v>
      </c>
      <c r="X406" s="5">
        <v>0.7984947620465247</v>
      </c>
      <c r="Y406" s="5">
        <v>0</v>
      </c>
      <c r="Z406" s="5">
        <v>3.957378912539939E-2</v>
      </c>
      <c r="AA406" s="5">
        <v>0</v>
      </c>
      <c r="AB406" s="5">
        <v>0.16193144882807589</v>
      </c>
      <c r="AC406" s="4">
        <f>ROUND((X406*100*1)+(Z406*100*2)+(AA406*100*3),2)</f>
        <v>87.76</v>
      </c>
      <c r="AD406">
        <f>ROUND(AVERAGE(Q406,W406,AC406),2)</f>
        <v>96.36</v>
      </c>
    </row>
    <row r="407" spans="1:30" x14ac:dyDescent="0.2">
      <c r="A407">
        <v>439</v>
      </c>
      <c r="B407">
        <v>1</v>
      </c>
      <c r="C407" t="s">
        <v>1761</v>
      </c>
      <c r="D407" t="s">
        <v>1762</v>
      </c>
      <c r="E407" t="s">
        <v>77</v>
      </c>
      <c r="F407" t="s">
        <v>1763</v>
      </c>
      <c r="G407" t="s">
        <v>1764</v>
      </c>
      <c r="H407" t="s">
        <v>80</v>
      </c>
      <c r="I407" t="s">
        <v>1765</v>
      </c>
      <c r="J407" t="s">
        <v>92</v>
      </c>
      <c r="K407" t="s">
        <v>118</v>
      </c>
      <c r="L407" s="5">
        <v>0.85269485520557642</v>
      </c>
      <c r="M407" s="5">
        <v>0</v>
      </c>
      <c r="N407" s="5">
        <v>0.12439739065465361</v>
      </c>
      <c r="O407" s="5">
        <v>1.6099648271767301E-2</v>
      </c>
      <c r="P407" s="5">
        <v>6.808105868002734E-3</v>
      </c>
      <c r="Q407" s="4">
        <f>ROUND((L407*100*1)+(N407*100*2)+(O407*100*3),2)</f>
        <v>114.98</v>
      </c>
      <c r="R407" s="5">
        <v>0.6233106224479299</v>
      </c>
      <c r="S407" s="5">
        <v>0</v>
      </c>
      <c r="T407" s="5">
        <v>0.17050901497978069</v>
      </c>
      <c r="U407" s="5">
        <v>3.0595661736963799E-2</v>
      </c>
      <c r="V407" s="5">
        <v>0.1755847008353256</v>
      </c>
      <c r="W407" s="4">
        <f>ROUND((R407*100*1)+(T407*100*2)+(U407*100*3),2)</f>
        <v>105.61</v>
      </c>
      <c r="X407" s="5">
        <v>0.66197293034353888</v>
      </c>
      <c r="Y407" s="5">
        <v>0</v>
      </c>
      <c r="Z407" s="5">
        <v>0.16544011509551931</v>
      </c>
      <c r="AA407" s="5">
        <v>1.0656269177937289E-2</v>
      </c>
      <c r="AB407" s="5">
        <v>0.16193068538300451</v>
      </c>
      <c r="AC407" s="4">
        <f>ROUND((X407*100*1)+(Z407*100*2)+(AA407*100*3),2)</f>
        <v>102.48</v>
      </c>
      <c r="AD407">
        <f>ROUND(AVERAGE(Q407,W407,AC407),2)</f>
        <v>107.69</v>
      </c>
    </row>
    <row r="408" spans="1:30" x14ac:dyDescent="0.2">
      <c r="A408">
        <v>440</v>
      </c>
      <c r="B408">
        <v>1</v>
      </c>
      <c r="C408" t="s">
        <v>1766</v>
      </c>
      <c r="D408" t="s">
        <v>1767</v>
      </c>
      <c r="E408" t="s">
        <v>39</v>
      </c>
      <c r="H408" t="s">
        <v>67</v>
      </c>
      <c r="I408" t="s">
        <v>67</v>
      </c>
      <c r="J408" t="s">
        <v>26</v>
      </c>
      <c r="K408" t="s">
        <v>1768</v>
      </c>
      <c r="L408" s="5">
        <v>0</v>
      </c>
      <c r="M408" s="5">
        <v>0</v>
      </c>
      <c r="N408" s="5">
        <v>0.44708890118961542</v>
      </c>
      <c r="O408" s="5">
        <v>0.55291109881030442</v>
      </c>
      <c r="P408" s="5">
        <v>8.0380146982861334E-14</v>
      </c>
      <c r="Q408" s="4">
        <f>ROUND((L408*100*1)+(N408*100*2)+(O408*100*3),2)</f>
        <v>255.29</v>
      </c>
      <c r="R408" s="5">
        <v>0</v>
      </c>
      <c r="S408" s="5">
        <v>0</v>
      </c>
      <c r="T408" s="5">
        <v>0.36315496705132883</v>
      </c>
      <c r="U408" s="5">
        <v>0.63684503294871764</v>
      </c>
      <c r="V408" s="5">
        <v>0</v>
      </c>
      <c r="W408" s="4">
        <f>ROUND((R408*100*1)+(T408*100*2)+(U408*100*3),2)</f>
        <v>263.68</v>
      </c>
      <c r="X408" s="5">
        <v>0</v>
      </c>
      <c r="Y408" s="5">
        <v>7.0054217822435407E-4</v>
      </c>
      <c r="Z408" s="5">
        <v>0.39552093856121501</v>
      </c>
      <c r="AA408" s="5">
        <v>0.60377851926060455</v>
      </c>
      <c r="AB408" s="5">
        <v>0</v>
      </c>
      <c r="AC408" s="4">
        <f>ROUND((X408*100*1)+(Z408*100*2)+(AA408*100*3),2)</f>
        <v>260.24</v>
      </c>
      <c r="AD408">
        <f>ROUND(AVERAGE(Q408,W408,AC408),2)</f>
        <v>259.74</v>
      </c>
    </row>
    <row r="409" spans="1:30" x14ac:dyDescent="0.2">
      <c r="A409">
        <v>441</v>
      </c>
      <c r="B409">
        <v>1</v>
      </c>
      <c r="C409" t="s">
        <v>1769</v>
      </c>
      <c r="D409" t="s">
        <v>1770</v>
      </c>
      <c r="E409" t="s">
        <v>39</v>
      </c>
      <c r="H409" t="s">
        <v>67</v>
      </c>
      <c r="I409" t="s">
        <v>67</v>
      </c>
      <c r="J409" t="s">
        <v>34</v>
      </c>
      <c r="K409" t="s">
        <v>1108</v>
      </c>
      <c r="L409" s="5">
        <v>0</v>
      </c>
      <c r="M409" s="5">
        <v>0</v>
      </c>
      <c r="N409" s="5">
        <v>0.46055657728925942</v>
      </c>
      <c r="O409" s="5">
        <v>0.53944342271113355</v>
      </c>
      <c r="P409" s="5">
        <v>0</v>
      </c>
      <c r="Q409" s="4">
        <f>ROUND((L409*100*1)+(N409*100*2)+(O409*100*3),2)</f>
        <v>253.94</v>
      </c>
      <c r="R409" s="5">
        <v>0</v>
      </c>
      <c r="S409" s="5">
        <v>0</v>
      </c>
      <c r="T409" s="5">
        <v>0.37448666711683409</v>
      </c>
      <c r="U409" s="5">
        <v>0.62551333288313893</v>
      </c>
      <c r="V409" s="5">
        <v>2.6978419498391301E-14</v>
      </c>
      <c r="W409" s="4">
        <f>ROUND((R409*100*1)+(T409*100*2)+(U409*100*3),2)</f>
        <v>262.55</v>
      </c>
      <c r="X409" s="5">
        <v>0</v>
      </c>
      <c r="Y409" s="5">
        <v>0</v>
      </c>
      <c r="Z409" s="5">
        <v>0.40736649863901159</v>
      </c>
      <c r="AA409" s="5">
        <v>0.58969112791555556</v>
      </c>
      <c r="AB409" s="5">
        <v>2.9423734454327999E-3</v>
      </c>
      <c r="AC409" s="4">
        <f>ROUND((X409*100*1)+(Z409*100*2)+(AA409*100*3),2)</f>
        <v>258.38</v>
      </c>
      <c r="AD409">
        <f>ROUND(AVERAGE(Q409,W409,AC409),2)</f>
        <v>258.29000000000002</v>
      </c>
    </row>
    <row r="410" spans="1:30" x14ac:dyDescent="0.2">
      <c r="A410">
        <v>442</v>
      </c>
      <c r="B410">
        <v>5</v>
      </c>
      <c r="C410" t="s">
        <v>1771</v>
      </c>
      <c r="D410" t="s">
        <v>1772</v>
      </c>
      <c r="E410" t="s">
        <v>39</v>
      </c>
      <c r="H410" t="s">
        <v>67</v>
      </c>
      <c r="I410" t="s">
        <v>67</v>
      </c>
      <c r="J410" t="s">
        <v>26</v>
      </c>
      <c r="K410" t="s">
        <v>1108</v>
      </c>
      <c r="L410" s="5">
        <v>0</v>
      </c>
      <c r="M410" s="5">
        <v>0</v>
      </c>
      <c r="N410" s="5">
        <v>0.44659504968530228</v>
      </c>
      <c r="O410" s="5">
        <v>0.46770957140405051</v>
      </c>
      <c r="P410" s="5">
        <v>8.569537891064738E-2</v>
      </c>
      <c r="Q410" s="4">
        <f>ROUND((L410*100*1)+(N410*100*2)+(O410*100*3),2)</f>
        <v>229.63</v>
      </c>
      <c r="R410" s="5">
        <v>3.1683889400520221E-2</v>
      </c>
      <c r="S410" s="5">
        <v>0</v>
      </c>
      <c r="T410" s="5">
        <v>0.43695606573501178</v>
      </c>
      <c r="U410" s="5">
        <v>0.51092815068838615</v>
      </c>
      <c r="V410" s="5">
        <v>2.0431894176081811E-2</v>
      </c>
      <c r="W410" s="4">
        <f>ROUND((R410*100*1)+(T410*100*2)+(U410*100*3),2)</f>
        <v>243.84</v>
      </c>
      <c r="X410" s="5">
        <v>1.103529176647788E-2</v>
      </c>
      <c r="Y410" s="5">
        <v>0</v>
      </c>
      <c r="Z410" s="5">
        <v>0.41880791351583768</v>
      </c>
      <c r="AA410" s="5">
        <v>0.53783540819144149</v>
      </c>
      <c r="AB410" s="5">
        <v>3.2321386526242953E-2</v>
      </c>
      <c r="AC410" s="4">
        <f>ROUND((X410*100*1)+(Z410*100*2)+(AA410*100*3),2)</f>
        <v>246.22</v>
      </c>
      <c r="AD410">
        <f>ROUND(AVERAGE(Q410,W410,AC410),2)</f>
        <v>239.9</v>
      </c>
    </row>
    <row r="411" spans="1:30" x14ac:dyDescent="0.2">
      <c r="A411">
        <v>443</v>
      </c>
      <c r="B411">
        <v>4</v>
      </c>
      <c r="C411" t="s">
        <v>1773</v>
      </c>
      <c r="D411" t="s">
        <v>1774</v>
      </c>
      <c r="E411" t="s">
        <v>39</v>
      </c>
      <c r="H411" t="s">
        <v>67</v>
      </c>
      <c r="I411" t="s">
        <v>67</v>
      </c>
      <c r="J411" t="s">
        <v>26</v>
      </c>
      <c r="K411" t="s">
        <v>1775</v>
      </c>
      <c r="L411" s="5">
        <v>0</v>
      </c>
      <c r="M411" s="5">
        <v>0</v>
      </c>
      <c r="N411" s="5">
        <v>0.43539717788700499</v>
      </c>
      <c r="O411" s="5">
        <v>0.56460282211314172</v>
      </c>
      <c r="P411" s="5">
        <v>0</v>
      </c>
      <c r="Q411" s="4">
        <f>ROUND((L411*100*1)+(N411*100*2)+(O411*100*3),2)</f>
        <v>256.45999999999998</v>
      </c>
      <c r="R411" s="5">
        <v>0</v>
      </c>
      <c r="S411" s="5">
        <v>0</v>
      </c>
      <c r="T411" s="5">
        <v>0.40740330849731188</v>
      </c>
      <c r="U411" s="5">
        <v>0.59259669150262706</v>
      </c>
      <c r="V411" s="5">
        <v>6.106226635438361E-14</v>
      </c>
      <c r="W411" s="4">
        <f>ROUND((R411*100*1)+(T411*100*2)+(U411*100*3),2)</f>
        <v>259.26</v>
      </c>
      <c r="X411" s="5">
        <v>0</v>
      </c>
      <c r="Y411" s="5">
        <v>0</v>
      </c>
      <c r="Z411" s="5">
        <v>0.40091901780511391</v>
      </c>
      <c r="AA411" s="5">
        <v>0.599080982194931</v>
      </c>
      <c r="AB411" s="5">
        <v>0</v>
      </c>
      <c r="AC411" s="4">
        <f>ROUND((X411*100*1)+(Z411*100*2)+(AA411*100*3),2)</f>
        <v>259.91000000000003</v>
      </c>
      <c r="AD411">
        <f>ROUND(AVERAGE(Q411,W411,AC411),2)</f>
        <v>258.54000000000002</v>
      </c>
    </row>
    <row r="412" spans="1:30" x14ac:dyDescent="0.2">
      <c r="A412">
        <v>444</v>
      </c>
      <c r="B412">
        <v>1</v>
      </c>
      <c r="C412" t="s">
        <v>1776</v>
      </c>
      <c r="D412" t="s">
        <v>1777</v>
      </c>
      <c r="E412" t="s">
        <v>39</v>
      </c>
      <c r="H412" t="s">
        <v>80</v>
      </c>
      <c r="I412" t="s">
        <v>793</v>
      </c>
      <c r="J412" t="s">
        <v>26</v>
      </c>
      <c r="K412" t="s">
        <v>635</v>
      </c>
      <c r="L412" s="5">
        <v>0</v>
      </c>
      <c r="M412" s="5">
        <v>0</v>
      </c>
      <c r="N412" s="5">
        <v>0.42669735469995118</v>
      </c>
      <c r="O412" s="5">
        <v>0.57330264530022323</v>
      </c>
      <c r="P412" s="5">
        <v>0</v>
      </c>
      <c r="Q412" s="4">
        <f>ROUND((L412*100*1)+(N412*100*2)+(O412*100*3),2)</f>
        <v>257.33</v>
      </c>
      <c r="R412" s="5">
        <v>0</v>
      </c>
      <c r="S412" s="5">
        <v>0</v>
      </c>
      <c r="T412" s="5">
        <v>0.39545559516170697</v>
      </c>
      <c r="U412" s="5">
        <v>0.6045444048382983</v>
      </c>
      <c r="V412" s="5">
        <v>0</v>
      </c>
      <c r="W412" s="4">
        <f>ROUND((R412*100*1)+(T412*100*2)+(U412*100*3),2)</f>
        <v>260.45</v>
      </c>
      <c r="X412" s="5">
        <v>0</v>
      </c>
      <c r="Y412" s="5">
        <v>0</v>
      </c>
      <c r="Z412" s="5">
        <v>0.40304794660487292</v>
      </c>
      <c r="AA412" s="5">
        <v>0.59695205339510371</v>
      </c>
      <c r="AB412" s="5">
        <v>2.34257058195908E-14</v>
      </c>
      <c r="AC412" s="4">
        <f>ROUND((X412*100*1)+(Z412*100*2)+(AA412*100*3),2)</f>
        <v>259.7</v>
      </c>
      <c r="AD412">
        <f>ROUND(AVERAGE(Q412,W412,AC412),2)</f>
        <v>259.16000000000003</v>
      </c>
    </row>
    <row r="413" spans="1:30" x14ac:dyDescent="0.2">
      <c r="A413">
        <v>445</v>
      </c>
      <c r="B413">
        <v>6</v>
      </c>
      <c r="C413" t="s">
        <v>1778</v>
      </c>
      <c r="D413" t="s">
        <v>1779</v>
      </c>
      <c r="E413" t="s">
        <v>39</v>
      </c>
      <c r="H413" t="s">
        <v>67</v>
      </c>
      <c r="I413" t="s">
        <v>67</v>
      </c>
      <c r="J413" t="s">
        <v>26</v>
      </c>
      <c r="K413" t="s">
        <v>635</v>
      </c>
      <c r="L413" s="5">
        <v>0</v>
      </c>
      <c r="M413" s="5">
        <v>0</v>
      </c>
      <c r="N413" s="5">
        <v>0.45218757648645341</v>
      </c>
      <c r="O413" s="5">
        <v>0.54781242351340553</v>
      </c>
      <c r="P413" s="5">
        <v>1.4895492247054189E-13</v>
      </c>
      <c r="Q413" s="4">
        <f>ROUND((L413*100*1)+(N413*100*2)+(O413*100*3),2)</f>
        <v>254.78</v>
      </c>
      <c r="R413" s="5">
        <v>0</v>
      </c>
      <c r="S413" s="5">
        <v>0</v>
      </c>
      <c r="T413" s="5">
        <v>0.4521136988071337</v>
      </c>
      <c r="U413" s="5">
        <v>0.54788630119285142</v>
      </c>
      <c r="V413" s="5">
        <v>1.5006514549516701E-14</v>
      </c>
      <c r="W413" s="4">
        <f>ROUND((R413*100*1)+(T413*100*2)+(U413*100*3),2)</f>
        <v>254.79</v>
      </c>
      <c r="X413" s="5">
        <v>0</v>
      </c>
      <c r="Y413" s="5">
        <v>0</v>
      </c>
      <c r="Z413" s="5">
        <v>0.41186892841595218</v>
      </c>
      <c r="AA413" s="5">
        <v>0.5881310715840703</v>
      </c>
      <c r="AB413" s="5">
        <v>0</v>
      </c>
      <c r="AC413" s="4">
        <f>ROUND((X413*100*1)+(Z413*100*2)+(AA413*100*3),2)</f>
        <v>258.81</v>
      </c>
      <c r="AD413">
        <f>ROUND(AVERAGE(Q413,W413,AC413),2)</f>
        <v>256.13</v>
      </c>
    </row>
    <row r="414" spans="1:30" x14ac:dyDescent="0.2">
      <c r="A414">
        <v>446</v>
      </c>
      <c r="B414">
        <v>1</v>
      </c>
      <c r="C414" t="s">
        <v>1780</v>
      </c>
      <c r="D414" t="s">
        <v>1781</v>
      </c>
      <c r="E414" t="s">
        <v>39</v>
      </c>
      <c r="H414" t="s">
        <v>67</v>
      </c>
      <c r="I414" t="s">
        <v>67</v>
      </c>
      <c r="J414" t="s">
        <v>34</v>
      </c>
      <c r="K414" t="s">
        <v>187</v>
      </c>
      <c r="L414" s="5">
        <v>0</v>
      </c>
      <c r="M414" s="5">
        <v>0</v>
      </c>
      <c r="N414" s="5">
        <v>0.53498448743634841</v>
      </c>
      <c r="O414" s="5">
        <v>0.46501551256387352</v>
      </c>
      <c r="P414" s="5">
        <v>0</v>
      </c>
      <c r="Q414" s="4">
        <f>ROUND((L414*100*1)+(N414*100*2)+(O414*100*3),2)</f>
        <v>246.5</v>
      </c>
      <c r="R414" s="5">
        <v>0</v>
      </c>
      <c r="S414" s="5">
        <v>0</v>
      </c>
      <c r="T414" s="5">
        <v>0.44105231637052039</v>
      </c>
      <c r="U414" s="5">
        <v>0.55894768362943426</v>
      </c>
      <c r="V414" s="5">
        <v>4.5297099404706387E-14</v>
      </c>
      <c r="W414" s="4">
        <f>ROUND((R414*100*1)+(T414*100*2)+(U414*100*3),2)</f>
        <v>255.89</v>
      </c>
      <c r="X414" s="5">
        <v>0</v>
      </c>
      <c r="Y414" s="5">
        <v>0</v>
      </c>
      <c r="Z414" s="5">
        <v>0.42564876339607249</v>
      </c>
      <c r="AA414" s="5">
        <v>0.57435123660393705</v>
      </c>
      <c r="AB414" s="5">
        <v>0</v>
      </c>
      <c r="AC414" s="4">
        <f>ROUND((X414*100*1)+(Z414*100*2)+(AA414*100*3),2)</f>
        <v>257.44</v>
      </c>
      <c r="AD414">
        <f>ROUND(AVERAGE(Q414,W414,AC414),2)</f>
        <v>253.28</v>
      </c>
    </row>
    <row r="415" spans="1:30" x14ac:dyDescent="0.2">
      <c r="A415">
        <v>447</v>
      </c>
      <c r="B415">
        <v>1</v>
      </c>
      <c r="C415" t="s">
        <v>1782</v>
      </c>
      <c r="D415" t="s">
        <v>1783</v>
      </c>
      <c r="E415" t="s">
        <v>1686</v>
      </c>
      <c r="F415" t="s">
        <v>1784</v>
      </c>
      <c r="G415" t="s">
        <v>1785</v>
      </c>
      <c r="H415" t="s">
        <v>80</v>
      </c>
      <c r="I415" t="s">
        <v>296</v>
      </c>
      <c r="J415" t="s">
        <v>34</v>
      </c>
      <c r="K415" t="s">
        <v>27</v>
      </c>
      <c r="L415" s="5">
        <v>0.61702861620208294</v>
      </c>
      <c r="M415" s="5">
        <v>0</v>
      </c>
      <c r="N415" s="5">
        <v>0.1168538959741017</v>
      </c>
      <c r="O415" s="5">
        <v>0</v>
      </c>
      <c r="P415" s="5">
        <v>0.26611748782381539</v>
      </c>
      <c r="Q415" s="4">
        <f>ROUND((L415*100*1)+(N415*100*2)+(O415*100*3),2)</f>
        <v>85.07</v>
      </c>
      <c r="R415" s="5">
        <v>0.50342498556778137</v>
      </c>
      <c r="S415" s="5">
        <v>0</v>
      </c>
      <c r="T415" s="5">
        <v>0.1984331774536218</v>
      </c>
      <c r="U415" s="5">
        <v>4.598139728978469E-2</v>
      </c>
      <c r="V415" s="5">
        <v>0.25216043968881219</v>
      </c>
      <c r="W415" s="4">
        <f>ROUND((R415*100*1)+(T415*100*2)+(U415*100*3),2)</f>
        <v>103.82</v>
      </c>
      <c r="X415" s="5">
        <v>0.44516248969393107</v>
      </c>
      <c r="Y415" s="5">
        <v>0</v>
      </c>
      <c r="Z415" s="5">
        <v>0.19939562064631289</v>
      </c>
      <c r="AA415" s="5">
        <v>0.12533193762686889</v>
      </c>
      <c r="AB415" s="5">
        <v>0.23010995203288709</v>
      </c>
      <c r="AC415" s="4">
        <f>ROUND((X415*100*1)+(Z415*100*2)+(AA415*100*3),2)</f>
        <v>121.99</v>
      </c>
      <c r="AD415">
        <f>ROUND(AVERAGE(Q415,W415,AC415),2)</f>
        <v>103.63</v>
      </c>
    </row>
    <row r="416" spans="1:30" x14ac:dyDescent="0.2">
      <c r="A416">
        <v>448</v>
      </c>
      <c r="B416">
        <v>1</v>
      </c>
      <c r="C416" t="s">
        <v>1786</v>
      </c>
      <c r="D416" t="s">
        <v>1787</v>
      </c>
      <c r="E416" t="s">
        <v>1788</v>
      </c>
      <c r="F416" t="s">
        <v>1789</v>
      </c>
      <c r="G416" t="s">
        <v>1790</v>
      </c>
      <c r="H416" t="s">
        <v>80</v>
      </c>
      <c r="I416" t="s">
        <v>80</v>
      </c>
      <c r="J416" t="s">
        <v>34</v>
      </c>
      <c r="K416" t="s">
        <v>561</v>
      </c>
      <c r="L416" s="5">
        <v>0</v>
      </c>
      <c r="M416" s="5">
        <v>0</v>
      </c>
      <c r="N416" s="5">
        <v>0.41234521635569699</v>
      </c>
      <c r="O416" s="5">
        <v>0.58765478364449453</v>
      </c>
      <c r="P416" s="5">
        <v>0</v>
      </c>
      <c r="Q416" s="4">
        <f>ROUND((L416*100*1)+(N416*100*2)+(O416*100*3),2)</f>
        <v>258.77</v>
      </c>
      <c r="R416" s="5">
        <v>2.954965154785385E-3</v>
      </c>
      <c r="S416" s="5">
        <v>0</v>
      </c>
      <c r="T416" s="5">
        <v>0.38084853470811081</v>
      </c>
      <c r="U416" s="5">
        <v>0.60048699077351242</v>
      </c>
      <c r="V416" s="5">
        <v>1.5709509363591501E-2</v>
      </c>
      <c r="W416" s="4">
        <f>ROUND((R416*100*1)+(T416*100*2)+(U416*100*3),2)</f>
        <v>256.61</v>
      </c>
      <c r="X416" s="5">
        <v>6.342359367479429E-2</v>
      </c>
      <c r="Y416" s="5">
        <v>0</v>
      </c>
      <c r="Z416" s="5">
        <v>0.33518978382890008</v>
      </c>
      <c r="AA416" s="5">
        <v>0.52270343752899329</v>
      </c>
      <c r="AB416" s="5">
        <v>7.8683184967312303E-2</v>
      </c>
      <c r="AC416" s="4">
        <f>ROUND((X416*100*1)+(Z416*100*2)+(AA416*100*3),2)</f>
        <v>230.19</v>
      </c>
      <c r="AD416">
        <f>ROUND(AVERAGE(Q416,W416,AC416),2)</f>
        <v>248.52</v>
      </c>
    </row>
    <row r="417" spans="1:30" x14ac:dyDescent="0.2">
      <c r="A417">
        <v>449</v>
      </c>
      <c r="B417">
        <v>1</v>
      </c>
      <c r="C417" t="s">
        <v>1791</v>
      </c>
      <c r="D417" t="s">
        <v>1792</v>
      </c>
      <c r="E417" t="s">
        <v>801</v>
      </c>
      <c r="F417" t="s">
        <v>1793</v>
      </c>
      <c r="G417" t="s">
        <v>1794</v>
      </c>
      <c r="H417" t="s">
        <v>25</v>
      </c>
      <c r="I417" t="s">
        <v>25</v>
      </c>
      <c r="J417" t="s">
        <v>92</v>
      </c>
      <c r="K417" t="s">
        <v>86</v>
      </c>
      <c r="L417" s="5">
        <v>0</v>
      </c>
      <c r="M417" s="5">
        <v>0</v>
      </c>
      <c r="N417" s="5">
        <v>0.23083180125949521</v>
      </c>
      <c r="O417" s="5">
        <v>2.5639107265666389E-2</v>
      </c>
      <c r="P417" s="5">
        <v>0.74352909147483848</v>
      </c>
      <c r="Q417" s="4">
        <f>ROUND((L417*100*1)+(N417*100*2)+(O417*100*3),2)</f>
        <v>53.86</v>
      </c>
      <c r="R417" s="5">
        <v>5.6901391136304053E-4</v>
      </c>
      <c r="S417" s="5">
        <v>0</v>
      </c>
      <c r="T417" s="5">
        <v>0.22129301147909189</v>
      </c>
      <c r="U417" s="5">
        <v>3.217296261581605E-2</v>
      </c>
      <c r="V417" s="5">
        <v>0.745965011993729</v>
      </c>
      <c r="W417" s="4">
        <f>ROUND((R417*100*1)+(T417*100*2)+(U417*100*3),2)</f>
        <v>53.97</v>
      </c>
      <c r="X417" s="5">
        <v>3.1220245924821661E-2</v>
      </c>
      <c r="Y417" s="5">
        <v>0</v>
      </c>
      <c r="Z417" s="5">
        <v>0.23828340830037359</v>
      </c>
      <c r="AA417" s="5">
        <v>9.8395492822843544E-2</v>
      </c>
      <c r="AB417" s="5">
        <v>0.63210085295196117</v>
      </c>
      <c r="AC417" s="4">
        <f>ROUND((X417*100*1)+(Z417*100*2)+(AA417*100*3),2)</f>
        <v>80.3</v>
      </c>
      <c r="AD417">
        <f>ROUND(AVERAGE(Q417,W417,AC417),2)</f>
        <v>62.71</v>
      </c>
    </row>
    <row r="418" spans="1:30" x14ac:dyDescent="0.2">
      <c r="A418">
        <v>450</v>
      </c>
      <c r="B418">
        <v>1</v>
      </c>
      <c r="C418" t="s">
        <v>1795</v>
      </c>
      <c r="D418" t="s">
        <v>1796</v>
      </c>
      <c r="E418" t="s">
        <v>801</v>
      </c>
      <c r="F418" t="s">
        <v>1797</v>
      </c>
      <c r="G418" t="s">
        <v>1798</v>
      </c>
      <c r="H418" t="s">
        <v>336</v>
      </c>
      <c r="I418" t="s">
        <v>336</v>
      </c>
      <c r="J418" t="s">
        <v>92</v>
      </c>
      <c r="K418" t="s">
        <v>891</v>
      </c>
      <c r="L418" s="5">
        <v>0</v>
      </c>
      <c r="M418" s="5">
        <v>0</v>
      </c>
      <c r="N418" s="5">
        <v>0.18420747103584439</v>
      </c>
      <c r="O418" s="5">
        <v>0</v>
      </c>
      <c r="P418" s="5">
        <v>0.81579252896415555</v>
      </c>
      <c r="Q418" s="4">
        <f>ROUND((L418*100*1)+(N418*100*2)+(O418*100*3),2)</f>
        <v>36.840000000000003</v>
      </c>
      <c r="R418" s="5">
        <v>1.4954522079432171E-3</v>
      </c>
      <c r="S418" s="5">
        <v>0</v>
      </c>
      <c r="T418" s="5">
        <v>0.26614707396405568</v>
      </c>
      <c r="U418" s="5">
        <v>8.728631632313702E-2</v>
      </c>
      <c r="V418" s="5">
        <v>0.64507115750486399</v>
      </c>
      <c r="W418" s="4">
        <f>ROUND((R418*100*1)+(T418*100*2)+(U418*100*3),2)</f>
        <v>79.56</v>
      </c>
      <c r="X418" s="5">
        <v>2.0108691444407752E-2</v>
      </c>
      <c r="Y418" s="5">
        <v>0</v>
      </c>
      <c r="Z418" s="5">
        <v>0.24815658343008359</v>
      </c>
      <c r="AA418" s="5">
        <v>0.17435199798200299</v>
      </c>
      <c r="AB418" s="5">
        <v>0.55738272714350567</v>
      </c>
      <c r="AC418" s="4">
        <f>ROUND((X418*100*1)+(Z418*100*2)+(AA418*100*3),2)</f>
        <v>103.95</v>
      </c>
      <c r="AD418">
        <f>ROUND(AVERAGE(Q418,W418,AC418),2)</f>
        <v>73.45</v>
      </c>
    </row>
    <row r="419" spans="1:30" x14ac:dyDescent="0.2">
      <c r="A419">
        <v>451</v>
      </c>
      <c r="B419">
        <v>5</v>
      </c>
      <c r="C419" t="s">
        <v>1799</v>
      </c>
      <c r="D419" t="s">
        <v>1800</v>
      </c>
      <c r="E419" t="s">
        <v>830</v>
      </c>
      <c r="F419" t="s">
        <v>1801</v>
      </c>
      <c r="G419" t="s">
        <v>1802</v>
      </c>
      <c r="H419" t="s">
        <v>67</v>
      </c>
      <c r="I419" t="s">
        <v>67</v>
      </c>
      <c r="J419" t="s">
        <v>34</v>
      </c>
      <c r="K419" t="s">
        <v>43</v>
      </c>
      <c r="L419" s="5">
        <v>9.4531009526881375E-3</v>
      </c>
      <c r="M419" s="5">
        <v>0</v>
      </c>
      <c r="N419" s="5">
        <v>0.36458158344051927</v>
      </c>
      <c r="O419" s="5">
        <v>5.5416153462738343E-2</v>
      </c>
      <c r="P419" s="5">
        <v>0.57054916214405427</v>
      </c>
      <c r="Q419" s="4">
        <f>ROUND((L419*100*1)+(N419*100*2)+(O419*100*3),2)</f>
        <v>90.49</v>
      </c>
      <c r="R419" s="5">
        <v>0.23773074175996251</v>
      </c>
      <c r="S419" s="5">
        <v>0.1303644763804887</v>
      </c>
      <c r="T419" s="5">
        <v>0.20802785873087931</v>
      </c>
      <c r="U419" s="5">
        <v>0.13383213773461011</v>
      </c>
      <c r="V419" s="5">
        <v>0.29004478539405948</v>
      </c>
      <c r="W419" s="4">
        <f>ROUND((R419*100*1)+(T419*100*2)+(U419*100*3),2)</f>
        <v>105.53</v>
      </c>
      <c r="X419" s="5">
        <v>0.3324962388333193</v>
      </c>
      <c r="Y419" s="5">
        <v>5.711782173945143E-2</v>
      </c>
      <c r="Z419" s="5">
        <v>0.22564761609212419</v>
      </c>
      <c r="AA419" s="5">
        <v>0.1447312800637241</v>
      </c>
      <c r="AB419" s="5">
        <v>0.24000704327138089</v>
      </c>
      <c r="AC419" s="4">
        <f>ROUND((X419*100*1)+(Z419*100*2)+(AA419*100*3),2)</f>
        <v>121.8</v>
      </c>
      <c r="AD419">
        <f>ROUND(AVERAGE(Q419,W419,AC419),2)</f>
        <v>105.94</v>
      </c>
    </row>
    <row r="420" spans="1:30" x14ac:dyDescent="0.2">
      <c r="A420">
        <v>452</v>
      </c>
      <c r="B420">
        <v>1</v>
      </c>
      <c r="C420" t="s">
        <v>1803</v>
      </c>
      <c r="D420" t="s">
        <v>1804</v>
      </c>
      <c r="E420" t="s">
        <v>830</v>
      </c>
      <c r="F420" t="s">
        <v>1805</v>
      </c>
      <c r="G420" t="s">
        <v>1806</v>
      </c>
      <c r="H420" t="s">
        <v>67</v>
      </c>
      <c r="I420" t="s">
        <v>67</v>
      </c>
      <c r="J420" t="s">
        <v>26</v>
      </c>
      <c r="K420" t="s">
        <v>667</v>
      </c>
      <c r="L420" s="5">
        <v>6.0690291732473843E-14</v>
      </c>
      <c r="M420" s="5">
        <v>0.31050533183834361</v>
      </c>
      <c r="N420" s="5">
        <v>0.19136439475909009</v>
      </c>
      <c r="O420" s="5">
        <v>7.5114708649413345E-2</v>
      </c>
      <c r="P420" s="5">
        <v>0.42301556475309232</v>
      </c>
      <c r="Q420" s="4">
        <f>ROUND((L420*100*1)+(N420*100*2)+(O420*100*3),2)</f>
        <v>60.81</v>
      </c>
      <c r="R420" s="5">
        <v>0.1569343858125917</v>
      </c>
      <c r="S420" s="5">
        <v>0.1491999012367515</v>
      </c>
      <c r="T420" s="5">
        <v>0.22404623740530541</v>
      </c>
      <c r="U420" s="5">
        <v>3.4426347811351121E-2</v>
      </c>
      <c r="V420" s="5">
        <v>0.43539312773400018</v>
      </c>
      <c r="W420" s="4">
        <f>ROUND((R420*100*1)+(T420*100*2)+(U420*100*3),2)</f>
        <v>70.83</v>
      </c>
      <c r="X420" s="5">
        <v>0.3414039720789272</v>
      </c>
      <c r="Y420" s="5">
        <v>5.7117821739451437E-2</v>
      </c>
      <c r="Z420" s="5">
        <v>0.20551957587813971</v>
      </c>
      <c r="AA420" s="5">
        <v>0.1069614188033928</v>
      </c>
      <c r="AB420" s="5">
        <v>0.28899721150008878</v>
      </c>
      <c r="AC420" s="4">
        <f>ROUND((X420*100*1)+(Z420*100*2)+(AA420*100*3),2)</f>
        <v>107.33</v>
      </c>
      <c r="AD420">
        <f>ROUND(AVERAGE(Q420,W420,AC420),2)</f>
        <v>79.66</v>
      </c>
    </row>
    <row r="421" spans="1:30" x14ac:dyDescent="0.2">
      <c r="A421">
        <v>455</v>
      </c>
      <c r="B421">
        <v>1</v>
      </c>
      <c r="C421" t="s">
        <v>1807</v>
      </c>
      <c r="D421" t="s">
        <v>1808</v>
      </c>
      <c r="E421" t="s">
        <v>1358</v>
      </c>
      <c r="H421" t="s">
        <v>67</v>
      </c>
      <c r="I421" t="s">
        <v>67</v>
      </c>
      <c r="J421" t="s">
        <v>26</v>
      </c>
      <c r="K421" t="s">
        <v>621</v>
      </c>
      <c r="L421" s="5">
        <v>0.88155332800858832</v>
      </c>
      <c r="M421" s="5">
        <v>0</v>
      </c>
      <c r="N421" s="5">
        <v>0</v>
      </c>
      <c r="O421" s="5">
        <v>0</v>
      </c>
      <c r="P421" s="5">
        <v>0.11844667199141171</v>
      </c>
      <c r="Q421" s="4">
        <f>ROUND((L421*100*1)+(N421*100*2)+(O421*100*3),2)</f>
        <v>88.16</v>
      </c>
      <c r="R421" s="5">
        <v>0.85218501567119165</v>
      </c>
      <c r="S421" s="5">
        <v>0</v>
      </c>
      <c r="T421" s="5">
        <v>7.6088948394023567E-2</v>
      </c>
      <c r="U421" s="5">
        <v>1.7396660231752251E-2</v>
      </c>
      <c r="V421" s="5">
        <v>5.4329375703032527E-2</v>
      </c>
      <c r="W421" s="4">
        <f>ROUND((R421*100*1)+(T421*100*2)+(U421*100*3),2)</f>
        <v>105.66</v>
      </c>
      <c r="X421" s="5">
        <v>0.7317875676879515</v>
      </c>
      <c r="Y421" s="5">
        <v>0</v>
      </c>
      <c r="Z421" s="5">
        <v>0.12478185408936129</v>
      </c>
      <c r="AA421" s="5">
        <v>0.1233040335095402</v>
      </c>
      <c r="AB421" s="5">
        <v>2.0126544713147121E-2</v>
      </c>
      <c r="AC421" s="4">
        <f>ROUND((X421*100*1)+(Z421*100*2)+(AA421*100*3),2)</f>
        <v>135.13</v>
      </c>
      <c r="AD421">
        <f>ROUND(AVERAGE(Q421,W421,AC421),2)</f>
        <v>109.65</v>
      </c>
    </row>
    <row r="422" spans="1:30" x14ac:dyDescent="0.2">
      <c r="A422">
        <v>456</v>
      </c>
      <c r="B422">
        <v>1</v>
      </c>
      <c r="C422" t="s">
        <v>1809</v>
      </c>
      <c r="D422" t="s">
        <v>1810</v>
      </c>
      <c r="E422" t="s">
        <v>109</v>
      </c>
      <c r="F422" t="s">
        <v>1811</v>
      </c>
      <c r="G422" t="s">
        <v>1812</v>
      </c>
      <c r="H422" t="s">
        <v>25</v>
      </c>
      <c r="I422" t="s">
        <v>25</v>
      </c>
      <c r="J422" t="s">
        <v>26</v>
      </c>
      <c r="K422" t="s">
        <v>187</v>
      </c>
      <c r="L422" s="5">
        <v>0.49124380663595141</v>
      </c>
      <c r="M422" s="5">
        <v>0</v>
      </c>
      <c r="N422" s="5">
        <v>0</v>
      </c>
      <c r="O422" s="5">
        <v>0</v>
      </c>
      <c r="P422" s="5">
        <v>0.50875619336404865</v>
      </c>
      <c r="Q422" s="4">
        <f>ROUND((L422*100*1)+(N422*100*2)+(O422*100*3),2)</f>
        <v>49.12</v>
      </c>
      <c r="R422" s="5">
        <v>0.52596740041950463</v>
      </c>
      <c r="S422" s="5">
        <v>0</v>
      </c>
      <c r="T422" s="5">
        <v>0</v>
      </c>
      <c r="U422" s="5">
        <v>0</v>
      </c>
      <c r="V422" s="5">
        <v>0.47403259958049537</v>
      </c>
      <c r="W422" s="4">
        <f>ROUND((R422*100*1)+(T422*100*2)+(U422*100*3),2)</f>
        <v>52.6</v>
      </c>
      <c r="X422" s="5">
        <v>0.52661272829075267</v>
      </c>
      <c r="Y422" s="5">
        <v>0</v>
      </c>
      <c r="Z422" s="5">
        <v>0</v>
      </c>
      <c r="AA422" s="5">
        <v>0</v>
      </c>
      <c r="AB422" s="5">
        <v>0.47338727170924738</v>
      </c>
      <c r="AC422" s="4">
        <f>ROUND((X422*100*1)+(Z422*100*2)+(AA422*100*3),2)</f>
        <v>52.66</v>
      </c>
      <c r="AD422">
        <f>ROUND(AVERAGE(Q422,W422,AC422),2)</f>
        <v>51.46</v>
      </c>
    </row>
    <row r="423" spans="1:30" x14ac:dyDescent="0.2">
      <c r="A423">
        <v>457</v>
      </c>
      <c r="B423">
        <v>15</v>
      </c>
      <c r="C423" t="s">
        <v>1813</v>
      </c>
      <c r="D423" t="s">
        <v>1814</v>
      </c>
      <c r="E423" t="s">
        <v>1365</v>
      </c>
      <c r="F423" t="s">
        <v>1815</v>
      </c>
      <c r="G423" t="s">
        <v>1816</v>
      </c>
      <c r="H423" t="s">
        <v>67</v>
      </c>
      <c r="I423" t="s">
        <v>67</v>
      </c>
      <c r="J423" t="s">
        <v>26</v>
      </c>
      <c r="K423" t="s">
        <v>1817</v>
      </c>
      <c r="L423" s="5">
        <v>0.87143674301353202</v>
      </c>
      <c r="M423" s="5">
        <v>0</v>
      </c>
      <c r="N423" s="5">
        <v>0.1285632569864881</v>
      </c>
      <c r="O423" s="5">
        <v>0</v>
      </c>
      <c r="P423" s="5">
        <v>0</v>
      </c>
      <c r="Q423" s="4">
        <f>ROUND((L423*100*1)+(N423*100*2)+(O423*100*3),2)</f>
        <v>112.86</v>
      </c>
      <c r="R423" s="5">
        <v>0.90469393776439277</v>
      </c>
      <c r="S423" s="5">
        <v>0</v>
      </c>
      <c r="T423" s="5">
        <v>6.2584372046214087E-2</v>
      </c>
      <c r="U423" s="5">
        <v>0</v>
      </c>
      <c r="V423" s="5">
        <v>3.2721690189393443E-2</v>
      </c>
      <c r="W423" s="4">
        <f>ROUND((R423*100*1)+(T423*100*2)+(U423*100*3),2)</f>
        <v>102.99</v>
      </c>
      <c r="X423" s="5">
        <v>0.76816300058183673</v>
      </c>
      <c r="Y423" s="5">
        <v>0</v>
      </c>
      <c r="Z423" s="5">
        <v>4.0276163950820149E-2</v>
      </c>
      <c r="AA423" s="5">
        <v>0</v>
      </c>
      <c r="AB423" s="5">
        <v>0.19156083546734301</v>
      </c>
      <c r="AC423" s="4">
        <f>ROUND((X423*100*1)+(Z423*100*2)+(AA423*100*3),2)</f>
        <v>84.87</v>
      </c>
      <c r="AD423">
        <f>ROUND(AVERAGE(Q423,W423,AC423),2)</f>
        <v>100.24</v>
      </c>
    </row>
    <row r="424" spans="1:30" x14ac:dyDescent="0.2">
      <c r="A424">
        <v>458</v>
      </c>
      <c r="B424">
        <v>1</v>
      </c>
      <c r="C424" t="s">
        <v>1818</v>
      </c>
      <c r="D424" t="s">
        <v>1819</v>
      </c>
      <c r="E424" t="s">
        <v>1820</v>
      </c>
      <c r="H424" t="s">
        <v>25</v>
      </c>
      <c r="I424" t="s">
        <v>25</v>
      </c>
      <c r="J424" t="s">
        <v>92</v>
      </c>
      <c r="K424" t="s">
        <v>561</v>
      </c>
      <c r="L424" s="5">
        <v>0</v>
      </c>
      <c r="M424" s="5">
        <v>0</v>
      </c>
      <c r="N424" s="5">
        <v>0.35579175095589582</v>
      </c>
      <c r="O424" s="5">
        <v>0.50983652093323328</v>
      </c>
      <c r="P424" s="5">
        <v>0.13437172811087089</v>
      </c>
      <c r="Q424" s="4">
        <f>ROUND((L424*100*1)+(N424*100*2)+(O424*100*3),2)</f>
        <v>224.11</v>
      </c>
      <c r="R424" s="5">
        <v>0</v>
      </c>
      <c r="S424" s="5">
        <v>0</v>
      </c>
      <c r="T424" s="5">
        <v>0.22744460151617149</v>
      </c>
      <c r="U424" s="5">
        <v>0.22381021902064319</v>
      </c>
      <c r="V424" s="5">
        <v>0.54874517946318535</v>
      </c>
      <c r="W424" s="4">
        <f>ROUND((R424*100*1)+(T424*100*2)+(U424*100*3),2)</f>
        <v>112.63</v>
      </c>
      <c r="X424" s="5">
        <v>8.7711078513179249E-5</v>
      </c>
      <c r="Y424" s="5">
        <v>0</v>
      </c>
      <c r="Z424" s="5">
        <v>0.20758281884228211</v>
      </c>
      <c r="AA424" s="5">
        <v>0.18226514656582229</v>
      </c>
      <c r="AB424" s="5">
        <v>0.61006432351338247</v>
      </c>
      <c r="AC424" s="4">
        <f>ROUND((X424*100*1)+(Z424*100*2)+(AA424*100*3),2)</f>
        <v>96.2</v>
      </c>
      <c r="AD424">
        <f>ROUND(AVERAGE(Q424,W424,AC424),2)</f>
        <v>144.31</v>
      </c>
    </row>
    <row r="425" spans="1:30" x14ac:dyDescent="0.2">
      <c r="A425">
        <v>459</v>
      </c>
      <c r="B425">
        <v>1</v>
      </c>
      <c r="C425" t="s">
        <v>1821</v>
      </c>
      <c r="D425" t="s">
        <v>1822</v>
      </c>
      <c r="E425" t="s">
        <v>22</v>
      </c>
      <c r="H425" t="s">
        <v>67</v>
      </c>
      <c r="I425" t="s">
        <v>67</v>
      </c>
      <c r="J425" t="s">
        <v>26</v>
      </c>
      <c r="K425" t="s">
        <v>771</v>
      </c>
      <c r="L425" s="5">
        <v>0</v>
      </c>
      <c r="M425" s="5">
        <v>0</v>
      </c>
      <c r="N425" s="5">
        <v>0.1968607823393218</v>
      </c>
      <c r="O425" s="5">
        <v>0.63254214411273735</v>
      </c>
      <c r="P425" s="5">
        <v>0.17059707354794079</v>
      </c>
      <c r="Q425" s="4">
        <f>ROUND((L425*100*1)+(N425*100*2)+(O425*100*3),2)</f>
        <v>229.13</v>
      </c>
      <c r="R425" s="5">
        <v>4.2884277418901787E-2</v>
      </c>
      <c r="S425" s="5">
        <v>0</v>
      </c>
      <c r="T425" s="5">
        <v>0.22402403186093231</v>
      </c>
      <c r="U425" s="5">
        <v>0.40545789012879352</v>
      </c>
      <c r="V425" s="5">
        <v>0.32763380059137243</v>
      </c>
      <c r="W425" s="4">
        <f>ROUND((R425*100*1)+(T425*100*2)+(U425*100*3),2)</f>
        <v>170.73</v>
      </c>
      <c r="X425" s="5">
        <v>1.732851161753024E-2</v>
      </c>
      <c r="Y425" s="5">
        <v>0</v>
      </c>
      <c r="Z425" s="5">
        <v>0.20759131145798371</v>
      </c>
      <c r="AA425" s="5">
        <v>0.29746013454372822</v>
      </c>
      <c r="AB425" s="5">
        <v>0.47762004238075778</v>
      </c>
      <c r="AC425" s="4">
        <f>ROUND((X425*100*1)+(Z425*100*2)+(AA425*100*3),2)</f>
        <v>132.49</v>
      </c>
      <c r="AD425">
        <f>ROUND(AVERAGE(Q425,W425,AC425),2)</f>
        <v>177.45</v>
      </c>
    </row>
    <row r="426" spans="1:30" x14ac:dyDescent="0.2">
      <c r="A426">
        <v>460</v>
      </c>
      <c r="B426">
        <v>1</v>
      </c>
      <c r="C426" t="s">
        <v>1823</v>
      </c>
      <c r="D426" t="s">
        <v>1824</v>
      </c>
      <c r="E426" t="s">
        <v>1019</v>
      </c>
      <c r="F426" t="s">
        <v>1825</v>
      </c>
      <c r="G426" t="s">
        <v>1826</v>
      </c>
      <c r="H426" t="s">
        <v>25</v>
      </c>
      <c r="I426" t="s">
        <v>25</v>
      </c>
      <c r="J426" t="s">
        <v>92</v>
      </c>
      <c r="K426" t="s">
        <v>210</v>
      </c>
      <c r="L426" s="5">
        <v>0.84815355143539417</v>
      </c>
      <c r="M426" s="5">
        <v>0</v>
      </c>
      <c r="N426" s="5">
        <v>0.1518464485647151</v>
      </c>
      <c r="O426" s="5">
        <v>0</v>
      </c>
      <c r="P426" s="5">
        <v>0</v>
      </c>
      <c r="Q426" s="4">
        <f>ROUND((L426*100*1)+(N426*100*2)+(O426*100*3),2)</f>
        <v>115.18</v>
      </c>
      <c r="R426" s="5">
        <v>0.95269320523316225</v>
      </c>
      <c r="S426" s="5">
        <v>0</v>
      </c>
      <c r="T426" s="5">
        <v>4.7306794766847189E-2</v>
      </c>
      <c r="U426" s="5">
        <v>0</v>
      </c>
      <c r="V426" s="5">
        <v>0</v>
      </c>
      <c r="W426" s="4">
        <f>ROUND((R426*100*1)+(T426*100*2)+(U426*100*3),2)</f>
        <v>104.73</v>
      </c>
      <c r="X426" s="5">
        <v>0.9654788956417979</v>
      </c>
      <c r="Y426" s="5">
        <v>0</v>
      </c>
      <c r="Z426" s="5">
        <v>3.4290647552839761E-2</v>
      </c>
      <c r="AA426" s="5">
        <v>0</v>
      </c>
      <c r="AB426" s="5">
        <v>2.304568053622669E-4</v>
      </c>
      <c r="AC426" s="4">
        <f>ROUND((X426*100*1)+(Z426*100*2)+(AA426*100*3),2)</f>
        <v>103.41</v>
      </c>
      <c r="AD426">
        <f>ROUND(AVERAGE(Q426,W426,AC426),2)</f>
        <v>107.77</v>
      </c>
    </row>
    <row r="427" spans="1:30" x14ac:dyDescent="0.2">
      <c r="A427">
        <v>461</v>
      </c>
      <c r="B427">
        <v>1</v>
      </c>
      <c r="C427" t="s">
        <v>1827</v>
      </c>
      <c r="D427" t="s">
        <v>1828</v>
      </c>
      <c r="E427" t="s">
        <v>39</v>
      </c>
      <c r="H427" t="s">
        <v>67</v>
      </c>
      <c r="I427" t="s">
        <v>67</v>
      </c>
      <c r="J427" t="s">
        <v>34</v>
      </c>
      <c r="K427" t="s">
        <v>1829</v>
      </c>
      <c r="L427" s="5">
        <v>0</v>
      </c>
      <c r="M427" s="5">
        <v>0</v>
      </c>
      <c r="N427" s="5">
        <v>0.41213657182004498</v>
      </c>
      <c r="O427" s="5">
        <v>0.58786342818009796</v>
      </c>
      <c r="P427" s="5">
        <v>0</v>
      </c>
      <c r="Q427" s="4">
        <f>ROUND((L427*100*1)+(N427*100*2)+(O427*100*3),2)</f>
        <v>258.79000000000002</v>
      </c>
      <c r="R427" s="5">
        <v>0</v>
      </c>
      <c r="S427" s="5">
        <v>0</v>
      </c>
      <c r="T427" s="5">
        <v>0.42305010684053862</v>
      </c>
      <c r="U427" s="5">
        <v>0.57694989315942125</v>
      </c>
      <c r="V427" s="5">
        <v>4.0190073491430673E-14</v>
      </c>
      <c r="W427" s="4">
        <f>ROUND((R427*100*1)+(T427*100*2)+(U427*100*3),2)</f>
        <v>257.69</v>
      </c>
      <c r="X427" s="5">
        <v>0</v>
      </c>
      <c r="Y427" s="5">
        <v>3.9499053692149867E-6</v>
      </c>
      <c r="Z427" s="5">
        <v>0.43384740066549499</v>
      </c>
      <c r="AA427" s="5">
        <v>0.56614864942913001</v>
      </c>
      <c r="AB427" s="5">
        <v>5.773159728050814E-15</v>
      </c>
      <c r="AC427" s="4">
        <f>ROUND((X427*100*1)+(Z427*100*2)+(AA427*100*3),2)</f>
        <v>256.61</v>
      </c>
      <c r="AD427">
        <f>ROUND(AVERAGE(Q427,W427,AC427),2)</f>
        <v>257.7</v>
      </c>
    </row>
    <row r="428" spans="1:30" x14ac:dyDescent="0.2">
      <c r="A428">
        <v>462</v>
      </c>
      <c r="B428">
        <v>1</v>
      </c>
      <c r="C428" t="s">
        <v>1830</v>
      </c>
      <c r="D428" t="s">
        <v>1831</v>
      </c>
      <c r="E428" t="s">
        <v>333</v>
      </c>
      <c r="H428" t="s">
        <v>67</v>
      </c>
      <c r="I428" t="s">
        <v>67</v>
      </c>
      <c r="J428" t="s">
        <v>92</v>
      </c>
      <c r="K428" t="s">
        <v>621</v>
      </c>
      <c r="L428" s="5">
        <v>0</v>
      </c>
      <c r="M428" s="5">
        <v>0</v>
      </c>
      <c r="N428" s="5">
        <v>0.44732160497416867</v>
      </c>
      <c r="O428" s="5">
        <v>0.55267839502609584</v>
      </c>
      <c r="P428" s="5">
        <v>0</v>
      </c>
      <c r="Q428" s="4">
        <f>ROUND((L428*100*1)+(N428*100*2)+(O428*100*3),2)</f>
        <v>255.27</v>
      </c>
      <c r="R428" s="5">
        <v>1.260862356995094E-2</v>
      </c>
      <c r="S428" s="5">
        <v>0</v>
      </c>
      <c r="T428" s="5">
        <v>0.25387131466976931</v>
      </c>
      <c r="U428" s="5">
        <v>0.42832590526971348</v>
      </c>
      <c r="V428" s="5">
        <v>0.30519415649056619</v>
      </c>
      <c r="W428" s="4">
        <f>ROUND((R428*100*1)+(T428*100*2)+(U428*100*3),2)</f>
        <v>180.53</v>
      </c>
      <c r="X428" s="5">
        <v>8.9223291161082026E-3</v>
      </c>
      <c r="Y428" s="5">
        <v>0</v>
      </c>
      <c r="Z428" s="5">
        <v>0.20358664144313479</v>
      </c>
      <c r="AA428" s="5">
        <v>0.2148273860091871</v>
      </c>
      <c r="AB428" s="5">
        <v>0.57266364343156995</v>
      </c>
      <c r="AC428" s="4">
        <f>ROUND((X428*100*1)+(Z428*100*2)+(AA428*100*3),2)</f>
        <v>106.06</v>
      </c>
      <c r="AD428">
        <f>ROUND(AVERAGE(Q428,W428,AC428),2)</f>
        <v>180.62</v>
      </c>
    </row>
    <row r="429" spans="1:30" x14ac:dyDescent="0.2">
      <c r="A429">
        <v>463</v>
      </c>
      <c r="B429">
        <v>2</v>
      </c>
      <c r="C429" t="s">
        <v>1832</v>
      </c>
      <c r="D429" t="s">
        <v>1833</v>
      </c>
      <c r="E429" t="s">
        <v>291</v>
      </c>
      <c r="H429" t="s">
        <v>67</v>
      </c>
      <c r="I429" t="s">
        <v>67</v>
      </c>
      <c r="J429" t="s">
        <v>26</v>
      </c>
      <c r="K429" t="s">
        <v>1817</v>
      </c>
      <c r="L429" s="5">
        <v>0</v>
      </c>
      <c r="M429" s="5">
        <v>0</v>
      </c>
      <c r="N429" s="5">
        <v>0.32646557359107609</v>
      </c>
      <c r="O429" s="5">
        <v>0.67353442640911265</v>
      </c>
      <c r="P429" s="5">
        <v>0</v>
      </c>
      <c r="Q429" s="4">
        <f>ROUND((L429*100*1)+(N429*100*2)+(O429*100*3),2)</f>
        <v>267.35000000000002</v>
      </c>
      <c r="R429" s="5">
        <v>1.2333825107871579E-2</v>
      </c>
      <c r="S429" s="5">
        <v>0</v>
      </c>
      <c r="T429" s="5">
        <v>0.30228272796179739</v>
      </c>
      <c r="U429" s="5">
        <v>0.61645673662164124</v>
      </c>
      <c r="V429" s="5">
        <v>6.8926710308689687E-2</v>
      </c>
      <c r="W429" s="4">
        <f>ROUND((R429*100*1)+(T429*100*2)+(U429*100*3),2)</f>
        <v>246.63</v>
      </c>
      <c r="X429" s="5">
        <v>5.1962331434333708E-2</v>
      </c>
      <c r="Y429" s="5">
        <v>0</v>
      </c>
      <c r="Z429" s="5">
        <v>0.26205406093655798</v>
      </c>
      <c r="AA429" s="5">
        <v>0.47155935968817941</v>
      </c>
      <c r="AB429" s="5">
        <v>0.21442424794092879</v>
      </c>
      <c r="AC429" s="4">
        <f>ROUND((X429*100*1)+(Z429*100*2)+(AA429*100*3),2)</f>
        <v>199.07</v>
      </c>
      <c r="AD429">
        <f>ROUND(AVERAGE(Q429,W429,AC429),2)</f>
        <v>237.68</v>
      </c>
    </row>
    <row r="430" spans="1:30" x14ac:dyDescent="0.2">
      <c r="A430">
        <v>464</v>
      </c>
      <c r="B430">
        <v>1</v>
      </c>
      <c r="C430" t="s">
        <v>1834</v>
      </c>
      <c r="D430" t="s">
        <v>1835</v>
      </c>
      <c r="E430" t="s">
        <v>1476</v>
      </c>
      <c r="H430" t="s">
        <v>25</v>
      </c>
      <c r="I430" t="s">
        <v>25</v>
      </c>
      <c r="J430" t="s">
        <v>92</v>
      </c>
      <c r="K430" t="s">
        <v>775</v>
      </c>
      <c r="L430" s="5">
        <v>0.21024595099127141</v>
      </c>
      <c r="M430" s="5">
        <v>0</v>
      </c>
      <c r="N430" s="5">
        <v>9.9355805312869847E-2</v>
      </c>
      <c r="O430" s="5">
        <v>3.009545537529314E-2</v>
      </c>
      <c r="P430" s="5">
        <v>0.66030278832056566</v>
      </c>
      <c r="Q430" s="4">
        <f>ROUND((L430*100*1)+(N430*100*2)+(O430*100*3),2)</f>
        <v>49.92</v>
      </c>
      <c r="R430" s="5">
        <v>0.30461803060964598</v>
      </c>
      <c r="S430" s="5">
        <v>0</v>
      </c>
      <c r="T430" s="5">
        <v>0.12047792927776629</v>
      </c>
      <c r="U430" s="5">
        <v>6.5793767910271889E-2</v>
      </c>
      <c r="V430" s="5">
        <v>0.50911027220231575</v>
      </c>
      <c r="W430" s="4">
        <f>ROUND((R430*100*1)+(T430*100*2)+(U430*100*3),2)</f>
        <v>74.3</v>
      </c>
      <c r="X430" s="5">
        <v>0.2444370202041373</v>
      </c>
      <c r="Y430" s="5">
        <v>0</v>
      </c>
      <c r="Z430" s="5">
        <v>0.1177884627950178</v>
      </c>
      <c r="AA430" s="5">
        <v>5.2153525519525117E-2</v>
      </c>
      <c r="AB430" s="5">
        <v>0.58562099148131974</v>
      </c>
      <c r="AC430" s="4">
        <f>ROUND((X430*100*1)+(Z430*100*2)+(AA430*100*3),2)</f>
        <v>63.65</v>
      </c>
      <c r="AD430">
        <f>ROUND(AVERAGE(Q430,W430,AC430),2)</f>
        <v>62.62</v>
      </c>
    </row>
    <row r="431" spans="1:30" x14ac:dyDescent="0.2">
      <c r="A431">
        <v>465</v>
      </c>
      <c r="B431">
        <v>1</v>
      </c>
      <c r="C431" t="s">
        <v>1836</v>
      </c>
      <c r="D431" t="s">
        <v>1837</v>
      </c>
      <c r="E431" t="s">
        <v>474</v>
      </c>
      <c r="F431" t="s">
        <v>1838</v>
      </c>
      <c r="G431" t="s">
        <v>1839</v>
      </c>
      <c r="H431" t="s">
        <v>260</v>
      </c>
      <c r="I431" t="s">
        <v>260</v>
      </c>
      <c r="J431" t="s">
        <v>92</v>
      </c>
      <c r="K431" t="s">
        <v>621</v>
      </c>
      <c r="L431" s="5">
        <v>0</v>
      </c>
      <c r="M431" s="5">
        <v>0</v>
      </c>
      <c r="N431" s="5">
        <v>0.25997990043417202</v>
      </c>
      <c r="O431" s="5">
        <v>0.11550773494340021</v>
      </c>
      <c r="P431" s="5">
        <v>0.62451236462242776</v>
      </c>
      <c r="Q431" s="4">
        <f>ROUND((L431*100*1)+(N431*100*2)+(O431*100*3),2)</f>
        <v>86.65</v>
      </c>
      <c r="R431" s="5">
        <v>5.763244063227798E-2</v>
      </c>
      <c r="S431" s="5">
        <v>0</v>
      </c>
      <c r="T431" s="5">
        <v>0.13569526898595061</v>
      </c>
      <c r="U431" s="5">
        <v>1.7395244137722188E-2</v>
      </c>
      <c r="V431" s="5">
        <v>0.78927704624404915</v>
      </c>
      <c r="W431" s="4">
        <f>ROUND((R431*100*1)+(T431*100*2)+(U431*100*3),2)</f>
        <v>38.119999999999997</v>
      </c>
      <c r="X431" s="5">
        <v>0.15248581397993979</v>
      </c>
      <c r="Y431" s="5">
        <v>0</v>
      </c>
      <c r="Z431" s="5">
        <v>0.1254384820403536</v>
      </c>
      <c r="AA431" s="5">
        <v>1.434659157110919E-2</v>
      </c>
      <c r="AB431" s="5">
        <v>0.70772911240859737</v>
      </c>
      <c r="AC431" s="4">
        <f>ROUND((X431*100*1)+(Z431*100*2)+(AA431*100*3),2)</f>
        <v>44.64</v>
      </c>
      <c r="AD431">
        <f>ROUND(AVERAGE(Q431,W431,AC431),2)</f>
        <v>56.47</v>
      </c>
    </row>
    <row r="432" spans="1:30" x14ac:dyDescent="0.2">
      <c r="A432">
        <v>466</v>
      </c>
      <c r="B432">
        <v>1</v>
      </c>
      <c r="C432" t="s">
        <v>1840</v>
      </c>
      <c r="D432" t="s">
        <v>1841</v>
      </c>
      <c r="E432" t="s">
        <v>474</v>
      </c>
      <c r="F432" t="s">
        <v>1842</v>
      </c>
      <c r="G432" t="s">
        <v>1843</v>
      </c>
      <c r="H432" t="s">
        <v>67</v>
      </c>
      <c r="I432" t="s">
        <v>67</v>
      </c>
      <c r="J432" t="s">
        <v>26</v>
      </c>
      <c r="K432" t="s">
        <v>1844</v>
      </c>
      <c r="L432" s="5">
        <v>0</v>
      </c>
      <c r="M432" s="5">
        <v>0</v>
      </c>
      <c r="N432" s="5">
        <v>3.1366129760463268E-2</v>
      </c>
      <c r="O432" s="5">
        <v>0</v>
      </c>
      <c r="P432" s="5">
        <v>0.96863387023953662</v>
      </c>
      <c r="Q432" s="4">
        <f>ROUND((L432*100*1)+(N432*100*2)+(O432*100*3),2)</f>
        <v>6.27</v>
      </c>
      <c r="R432" s="5">
        <v>0.107206373284227</v>
      </c>
      <c r="S432" s="5">
        <v>0</v>
      </c>
      <c r="T432" s="5">
        <v>0.1575228399014717</v>
      </c>
      <c r="U432" s="5">
        <v>1.7729212353202271E-2</v>
      </c>
      <c r="V432" s="5">
        <v>0.71754157446109912</v>
      </c>
      <c r="W432" s="4">
        <f>ROUND((R432*100*1)+(T432*100*2)+(U432*100*3),2)</f>
        <v>47.54</v>
      </c>
      <c r="X432" s="5">
        <v>0.2125519891760182</v>
      </c>
      <c r="Y432" s="5">
        <v>0</v>
      </c>
      <c r="Z432" s="5">
        <v>0.13575565495106301</v>
      </c>
      <c r="AA432" s="5">
        <v>1.13520045467537E-2</v>
      </c>
      <c r="AB432" s="5">
        <v>0.64034035132616496</v>
      </c>
      <c r="AC432" s="4">
        <f>ROUND((X432*100*1)+(Z432*100*2)+(AA432*100*3),2)</f>
        <v>51.81</v>
      </c>
      <c r="AD432">
        <f>ROUND(AVERAGE(Q432,W432,AC432),2)</f>
        <v>35.21</v>
      </c>
    </row>
    <row r="433" spans="1:30" x14ac:dyDescent="0.2">
      <c r="A433">
        <v>467</v>
      </c>
      <c r="B433">
        <v>1</v>
      </c>
      <c r="C433" t="s">
        <v>1845</v>
      </c>
      <c r="D433" t="s">
        <v>1846</v>
      </c>
      <c r="E433" t="s">
        <v>1847</v>
      </c>
      <c r="F433" t="s">
        <v>1563</v>
      </c>
      <c r="G433" t="s">
        <v>1848</v>
      </c>
      <c r="H433" t="s">
        <v>67</v>
      </c>
      <c r="I433" t="s">
        <v>67</v>
      </c>
      <c r="J433" t="s">
        <v>26</v>
      </c>
      <c r="K433" t="s">
        <v>585</v>
      </c>
      <c r="L433" s="5">
        <v>0.4985658292602736</v>
      </c>
      <c r="M433" s="5">
        <v>0</v>
      </c>
      <c r="N433" s="5">
        <v>0.38984081778010199</v>
      </c>
      <c r="O433" s="5">
        <v>0.1114182993832538</v>
      </c>
      <c r="P433" s="5">
        <v>1.7505357637059851E-4</v>
      </c>
      <c r="Q433" s="4">
        <f>ROUND((L433*100*1)+(N433*100*2)+(O433*100*3),2)</f>
        <v>161.25</v>
      </c>
      <c r="R433" s="5">
        <v>0.32975557699658442</v>
      </c>
      <c r="S433" s="5">
        <v>0</v>
      </c>
      <c r="T433" s="5">
        <v>0.38341090496345759</v>
      </c>
      <c r="U433" s="5">
        <v>0.2495085104451141</v>
      </c>
      <c r="V433" s="5">
        <v>3.7325007594843813E-2</v>
      </c>
      <c r="W433" s="4">
        <f>ROUND((R433*100*1)+(T433*100*2)+(U433*100*3),2)</f>
        <v>184.51</v>
      </c>
      <c r="X433" s="5">
        <v>0.2059363736240947</v>
      </c>
      <c r="Y433" s="5">
        <v>0</v>
      </c>
      <c r="Z433" s="5">
        <v>0.37652993847172023</v>
      </c>
      <c r="AA433" s="5">
        <v>0.32385979475002591</v>
      </c>
      <c r="AB433" s="5">
        <v>9.3673893154159193E-2</v>
      </c>
      <c r="AC433" s="4">
        <f>ROUND((X433*100*1)+(Z433*100*2)+(AA433*100*3),2)</f>
        <v>193.06</v>
      </c>
      <c r="AD433">
        <f>ROUND(AVERAGE(Q433,W433,AC433),2)</f>
        <v>179.61</v>
      </c>
    </row>
    <row r="434" spans="1:30" x14ac:dyDescent="0.2">
      <c r="A434">
        <v>468</v>
      </c>
      <c r="B434">
        <v>3</v>
      </c>
      <c r="C434" t="s">
        <v>1849</v>
      </c>
      <c r="D434" t="s">
        <v>1850</v>
      </c>
      <c r="E434" t="s">
        <v>1618</v>
      </c>
      <c r="H434" t="s">
        <v>67</v>
      </c>
      <c r="I434" t="s">
        <v>67</v>
      </c>
      <c r="J434" t="s">
        <v>34</v>
      </c>
      <c r="K434" t="s">
        <v>1372</v>
      </c>
      <c r="L434" s="5">
        <v>0</v>
      </c>
      <c r="M434" s="5">
        <v>0</v>
      </c>
      <c r="N434" s="5">
        <v>0.5996153575730967</v>
      </c>
      <c r="O434" s="5">
        <v>0.25372862867063462</v>
      </c>
      <c r="P434" s="5">
        <v>0.14665601375626869</v>
      </c>
      <c r="Q434" s="4">
        <f>ROUND((L434*100*1)+(N434*100*2)+(O434*100*3),2)</f>
        <v>196.04</v>
      </c>
      <c r="R434" s="5">
        <v>3.5883134188419178E-3</v>
      </c>
      <c r="S434" s="5">
        <v>0</v>
      </c>
      <c r="T434" s="5">
        <v>0.39393549532297928</v>
      </c>
      <c r="U434" s="5">
        <v>0.25387978984457432</v>
      </c>
      <c r="V434" s="5">
        <v>0.34859640141360448</v>
      </c>
      <c r="W434" s="4">
        <f>ROUND((R434*100*1)+(T434*100*2)+(U434*100*3),2)</f>
        <v>155.31</v>
      </c>
      <c r="X434" s="5">
        <v>1.748775812285365E-3</v>
      </c>
      <c r="Y434" s="5">
        <v>2.095912655252483E-2</v>
      </c>
      <c r="Z434" s="5">
        <v>0.2357479107729879</v>
      </c>
      <c r="AA434" s="5">
        <v>0.2615755079127331</v>
      </c>
      <c r="AB434" s="5">
        <v>0.47996867894946887</v>
      </c>
      <c r="AC434" s="4">
        <f>ROUND((X434*100*1)+(Z434*100*2)+(AA434*100*3),2)</f>
        <v>125.8</v>
      </c>
      <c r="AD434">
        <f>ROUND(AVERAGE(Q434,W434,AC434),2)</f>
        <v>159.05000000000001</v>
      </c>
    </row>
    <row r="435" spans="1:30" x14ac:dyDescent="0.2">
      <c r="A435">
        <v>469</v>
      </c>
      <c r="B435">
        <v>5</v>
      </c>
      <c r="C435" t="s">
        <v>1851</v>
      </c>
      <c r="D435" t="s">
        <v>1852</v>
      </c>
      <c r="E435" t="s">
        <v>1853</v>
      </c>
      <c r="F435" t="s">
        <v>1854</v>
      </c>
      <c r="G435" t="s">
        <v>1855</v>
      </c>
      <c r="H435" t="s">
        <v>25</v>
      </c>
      <c r="I435" t="s">
        <v>25</v>
      </c>
      <c r="J435" t="s">
        <v>92</v>
      </c>
      <c r="K435" t="s">
        <v>1856</v>
      </c>
      <c r="L435" s="5">
        <v>0</v>
      </c>
      <c r="M435" s="5">
        <v>0</v>
      </c>
      <c r="N435" s="5">
        <v>0.25934851541977028</v>
      </c>
      <c r="O435" s="5">
        <v>0.58026592623880091</v>
      </c>
      <c r="P435" s="5">
        <v>0.1603855583414289</v>
      </c>
      <c r="Q435" s="4">
        <f>ROUND((L435*100*1)+(N435*100*2)+(O435*100*3),2)</f>
        <v>225.95</v>
      </c>
      <c r="R435" s="5">
        <v>1.841276976908357E-2</v>
      </c>
      <c r="S435" s="5">
        <v>0</v>
      </c>
      <c r="T435" s="5">
        <v>0.13541960948220949</v>
      </c>
      <c r="U435" s="5">
        <v>0.32268580934191049</v>
      </c>
      <c r="V435" s="5">
        <v>0.52348181140679639</v>
      </c>
      <c r="W435" s="4">
        <f>ROUND((R435*100*1)+(T435*100*2)+(U435*100*3),2)</f>
        <v>125.73</v>
      </c>
      <c r="X435" s="5">
        <v>0.23716592221121471</v>
      </c>
      <c r="Y435" s="5">
        <v>0</v>
      </c>
      <c r="Z435" s="5">
        <v>9.357897382152916E-2</v>
      </c>
      <c r="AA435" s="5">
        <v>0.18425403868180029</v>
      </c>
      <c r="AB435" s="5">
        <v>0.48500106528545572</v>
      </c>
      <c r="AC435" s="4">
        <f>ROUND((X435*100*1)+(Z435*100*2)+(AA435*100*3),2)</f>
        <v>97.71</v>
      </c>
      <c r="AD435">
        <f>ROUND(AVERAGE(Q435,W435,AC435),2)</f>
        <v>149.80000000000001</v>
      </c>
    </row>
    <row r="436" spans="1:30" x14ac:dyDescent="0.2">
      <c r="A436">
        <v>470</v>
      </c>
      <c r="B436">
        <v>1</v>
      </c>
      <c r="C436" t="s">
        <v>1857</v>
      </c>
      <c r="D436" t="s">
        <v>1858</v>
      </c>
      <c r="E436" t="s">
        <v>1859</v>
      </c>
      <c r="F436" t="s">
        <v>1860</v>
      </c>
      <c r="H436" t="s">
        <v>25</v>
      </c>
      <c r="I436" t="s">
        <v>25</v>
      </c>
      <c r="J436" t="s">
        <v>26</v>
      </c>
      <c r="K436" t="s">
        <v>43</v>
      </c>
      <c r="L436" s="5">
        <v>0.26788394239485119</v>
      </c>
      <c r="M436" s="5">
        <v>0</v>
      </c>
      <c r="N436" s="5">
        <v>0.25003762543103941</v>
      </c>
      <c r="O436" s="5">
        <v>0.39681248831492388</v>
      </c>
      <c r="P436" s="5">
        <v>8.52659438591854E-2</v>
      </c>
      <c r="Q436" s="4">
        <f>ROUND((L436*100*1)+(N436*100*2)+(O436*100*3),2)</f>
        <v>195.84</v>
      </c>
      <c r="R436" s="5">
        <v>0.78420052694791154</v>
      </c>
      <c r="S436" s="5">
        <v>0</v>
      </c>
      <c r="T436" s="5">
        <v>7.0665066000209206E-2</v>
      </c>
      <c r="U436" s="5">
        <v>7.9218444696024598E-2</v>
      </c>
      <c r="V436" s="5">
        <v>6.5915962355854729E-2</v>
      </c>
      <c r="W436" s="4">
        <f>ROUND((R436*100*1)+(T436*100*2)+(U436*100*3),2)</f>
        <v>116.32</v>
      </c>
      <c r="X436" s="5">
        <v>0.80418888337574534</v>
      </c>
      <c r="Y436" s="5">
        <v>0</v>
      </c>
      <c r="Z436" s="5">
        <v>7.911366501317979E-2</v>
      </c>
      <c r="AA436" s="5">
        <v>4.9138828648178312E-2</v>
      </c>
      <c r="AB436" s="5">
        <v>6.7558622962896497E-2</v>
      </c>
      <c r="AC436" s="4">
        <f>ROUND((X436*100*1)+(Z436*100*2)+(AA436*100*3),2)</f>
        <v>110.98</v>
      </c>
      <c r="AD436">
        <f>ROUND(AVERAGE(Q436,W436,AC436),2)</f>
        <v>141.05000000000001</v>
      </c>
    </row>
    <row r="437" spans="1:30" x14ac:dyDescent="0.2">
      <c r="A437">
        <v>471</v>
      </c>
      <c r="B437">
        <v>1</v>
      </c>
      <c r="C437" t="s">
        <v>1861</v>
      </c>
      <c r="D437" t="s">
        <v>1862</v>
      </c>
      <c r="E437" t="s">
        <v>638</v>
      </c>
      <c r="F437" t="s">
        <v>1863</v>
      </c>
      <c r="G437" t="s">
        <v>1864</v>
      </c>
      <c r="H437" t="s">
        <v>67</v>
      </c>
      <c r="I437" t="s">
        <v>67</v>
      </c>
      <c r="J437" t="s">
        <v>26</v>
      </c>
      <c r="K437" t="s">
        <v>277</v>
      </c>
      <c r="L437" s="5">
        <v>0</v>
      </c>
      <c r="M437" s="5">
        <v>0</v>
      </c>
      <c r="N437" s="5">
        <v>0.25559849663602019</v>
      </c>
      <c r="O437" s="5">
        <v>0</v>
      </c>
      <c r="P437" s="5">
        <v>0.74440150336397981</v>
      </c>
      <c r="Q437" s="4">
        <f>ROUND((L437*100*1)+(N437*100*2)+(O437*100*3),2)</f>
        <v>51.12</v>
      </c>
      <c r="R437" s="5">
        <v>2.062819435837196E-2</v>
      </c>
      <c r="S437" s="5">
        <v>0</v>
      </c>
      <c r="T437" s="5">
        <v>0.19487891358469919</v>
      </c>
      <c r="U437" s="5">
        <v>4.1977876645365959E-2</v>
      </c>
      <c r="V437" s="5">
        <v>0.74251501541156284</v>
      </c>
      <c r="W437" s="4">
        <f>ROUND((R437*100*1)+(T437*100*2)+(U437*100*3),2)</f>
        <v>53.63</v>
      </c>
      <c r="X437" s="5">
        <v>6.1163933029837643E-2</v>
      </c>
      <c r="Y437" s="5">
        <v>0</v>
      </c>
      <c r="Z437" s="5">
        <v>0.13241634656523621</v>
      </c>
      <c r="AA437" s="5">
        <v>3.1557391035301051E-2</v>
      </c>
      <c r="AB437" s="5">
        <v>0.77486232936962507</v>
      </c>
      <c r="AC437" s="4">
        <f>ROUND((X437*100*1)+(Z437*100*2)+(AA437*100*3),2)</f>
        <v>42.07</v>
      </c>
      <c r="AD437">
        <f>ROUND(AVERAGE(Q437,W437,AC437),2)</f>
        <v>48.94</v>
      </c>
    </row>
    <row r="438" spans="1:30" x14ac:dyDescent="0.2">
      <c r="A438">
        <v>472</v>
      </c>
      <c r="B438">
        <v>1</v>
      </c>
      <c r="C438" t="s">
        <v>1865</v>
      </c>
      <c r="D438" t="s">
        <v>1866</v>
      </c>
      <c r="E438" t="s">
        <v>612</v>
      </c>
      <c r="H438" t="s">
        <v>67</v>
      </c>
      <c r="I438" t="s">
        <v>67</v>
      </c>
      <c r="J438" t="s">
        <v>26</v>
      </c>
      <c r="K438" t="s">
        <v>56</v>
      </c>
      <c r="L438" s="5">
        <v>0.28584046528503332</v>
      </c>
      <c r="M438" s="5">
        <v>0</v>
      </c>
      <c r="N438" s="5">
        <v>0.49286851995783282</v>
      </c>
      <c r="O438" s="5">
        <v>7.7396632239097735E-2</v>
      </c>
      <c r="P438" s="5">
        <v>0.14389438251803599</v>
      </c>
      <c r="Q438" s="4">
        <f>ROUND((L438*100*1)+(N438*100*2)+(O438*100*3),2)</f>
        <v>150.38</v>
      </c>
      <c r="R438" s="5">
        <v>0.18662443535009471</v>
      </c>
      <c r="S438" s="5">
        <v>0</v>
      </c>
      <c r="T438" s="5">
        <v>0.43919518910112648</v>
      </c>
      <c r="U438" s="5">
        <v>7.9681901198497912E-2</v>
      </c>
      <c r="V438" s="5">
        <v>0.29449847435028093</v>
      </c>
      <c r="W438" s="4">
        <f>ROUND((R438*100*1)+(T438*100*2)+(U438*100*3),2)</f>
        <v>130.41</v>
      </c>
      <c r="X438" s="5">
        <v>0.1430160149976209</v>
      </c>
      <c r="Y438" s="5">
        <v>0</v>
      </c>
      <c r="Z438" s="5">
        <v>0.42613182523169463</v>
      </c>
      <c r="AA438" s="5">
        <v>0.1265825353563515</v>
      </c>
      <c r="AB438" s="5">
        <v>0.30426962441433292</v>
      </c>
      <c r="AC438" s="4">
        <f>ROUND((X438*100*1)+(Z438*100*2)+(AA438*100*3),2)</f>
        <v>137.5</v>
      </c>
      <c r="AD438">
        <f>ROUND(AVERAGE(Q438,W438,AC438),2)</f>
        <v>139.43</v>
      </c>
    </row>
    <row r="439" spans="1:30" x14ac:dyDescent="0.2">
      <c r="A439">
        <v>473</v>
      </c>
      <c r="B439">
        <v>1</v>
      </c>
      <c r="C439" t="s">
        <v>1867</v>
      </c>
      <c r="D439" t="s">
        <v>1868</v>
      </c>
      <c r="E439" t="s">
        <v>1869</v>
      </c>
      <c r="F439" t="s">
        <v>1870</v>
      </c>
      <c r="G439" t="s">
        <v>1871</v>
      </c>
      <c r="H439" t="s">
        <v>25</v>
      </c>
      <c r="I439" t="s">
        <v>25</v>
      </c>
      <c r="J439" t="s">
        <v>92</v>
      </c>
      <c r="K439" t="s">
        <v>266</v>
      </c>
      <c r="L439" s="5">
        <v>0.71600321263565159</v>
      </c>
      <c r="M439" s="5">
        <v>0</v>
      </c>
      <c r="N439" s="5">
        <v>0.27899096914448668</v>
      </c>
      <c r="O439" s="5">
        <v>5.0058182201275451E-3</v>
      </c>
      <c r="P439" s="5">
        <v>0</v>
      </c>
      <c r="Q439" s="4">
        <f>ROUND((L439*100*1)+(N439*100*2)+(O439*100*3),2)</f>
        <v>128.9</v>
      </c>
      <c r="R439" s="5">
        <v>0.89009953775020068</v>
      </c>
      <c r="S439" s="5">
        <v>0</v>
      </c>
      <c r="T439" s="5">
        <v>0.1049539050413642</v>
      </c>
      <c r="U439" s="5">
        <v>4.9465572084329921E-3</v>
      </c>
      <c r="V439" s="5">
        <v>2.109423746787797E-15</v>
      </c>
      <c r="W439" s="4">
        <f>ROUND((R439*100*1)+(T439*100*2)+(U439*100*3),2)</f>
        <v>111.48</v>
      </c>
      <c r="X439" s="5">
        <v>0.8968776517531365</v>
      </c>
      <c r="Y439" s="5">
        <v>0</v>
      </c>
      <c r="Z439" s="5">
        <v>0.10135421306293869</v>
      </c>
      <c r="AA439" s="5">
        <v>1.7681351839399951E-3</v>
      </c>
      <c r="AB439" s="5">
        <v>0</v>
      </c>
      <c r="AC439" s="4">
        <f>ROUND((X439*100*1)+(Z439*100*2)+(AA439*100*3),2)</f>
        <v>110.49</v>
      </c>
      <c r="AD439">
        <f>ROUND(AVERAGE(Q439,W439,AC439),2)</f>
        <v>116.96</v>
      </c>
    </row>
    <row r="440" spans="1:30" x14ac:dyDescent="0.2">
      <c r="A440">
        <v>474</v>
      </c>
      <c r="B440">
        <v>1</v>
      </c>
      <c r="C440" t="s">
        <v>1872</v>
      </c>
      <c r="D440" t="s">
        <v>1873</v>
      </c>
      <c r="E440" t="s">
        <v>513</v>
      </c>
      <c r="H440" t="s">
        <v>25</v>
      </c>
      <c r="I440" t="s">
        <v>25</v>
      </c>
      <c r="J440" t="s">
        <v>26</v>
      </c>
      <c r="K440" t="s">
        <v>705</v>
      </c>
      <c r="L440" s="5">
        <v>0.22672536801575571</v>
      </c>
      <c r="M440" s="5">
        <v>0</v>
      </c>
      <c r="N440" s="5">
        <v>0.13738037976566009</v>
      </c>
      <c r="O440" s="5">
        <v>1.0370396956294339E-2</v>
      </c>
      <c r="P440" s="5">
        <v>0.62552385526228993</v>
      </c>
      <c r="Q440" s="4">
        <f>ROUND((L440*100*1)+(N440*100*2)+(O440*100*3),2)</f>
        <v>53.26</v>
      </c>
      <c r="R440" s="5">
        <v>0.20278954182642581</v>
      </c>
      <c r="S440" s="5">
        <v>0</v>
      </c>
      <c r="T440" s="5">
        <v>6.2070482049191841E-2</v>
      </c>
      <c r="U440" s="5">
        <v>1.076995629499074E-3</v>
      </c>
      <c r="V440" s="5">
        <v>0.73406298049488328</v>
      </c>
      <c r="W440" s="4">
        <f>ROUND((R440*100*1)+(T440*100*2)+(U440*100*3),2)</f>
        <v>33.020000000000003</v>
      </c>
      <c r="X440" s="5">
        <v>0.13300910124142751</v>
      </c>
      <c r="Y440" s="5">
        <v>0</v>
      </c>
      <c r="Z440" s="5">
        <v>6.043289317480454E-2</v>
      </c>
      <c r="AA440" s="5">
        <v>3.7511054443183702E-4</v>
      </c>
      <c r="AB440" s="5">
        <v>0.80618289503933616</v>
      </c>
      <c r="AC440" s="4">
        <f>ROUND((X440*100*1)+(Z440*100*2)+(AA440*100*3),2)</f>
        <v>25.5</v>
      </c>
      <c r="AD440">
        <f>ROUND(AVERAGE(Q440,W440,AC440),2)</f>
        <v>37.26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100m_By_GISNo_Merged</vt:lpstr>
      <vt:lpstr>250m_By_GISNo_Merged</vt:lpstr>
      <vt:lpstr>500m_By_GISNo_Merged</vt:lpstr>
      <vt:lpstr>GISNo_Points_Average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Verwoert</cp:lastModifiedBy>
  <dcterms:created xsi:type="dcterms:W3CDTF">2026-03-17T12:02:31Z</dcterms:created>
  <dcterms:modified xsi:type="dcterms:W3CDTF">2026-03-17T15:47:14Z</dcterms:modified>
</cp:coreProperties>
</file>